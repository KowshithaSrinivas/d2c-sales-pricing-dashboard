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ADME" sheetId="1" state="visible" r:id="rId3"/>
    <sheet name="CRM_Raw" sheetId="2" state="visible" r:id="rId4"/>
    <sheet name="Pricing_Raw" sheetId="3" state="visible" r:id="rId5"/>
    <sheet name="Data_Cleaning_Log" sheetId="4" state="visible" r:id="rId6"/>
    <sheet name="CRM_Clean" sheetId="5" state="visible" r:id="rId7"/>
    <sheet name="Pipeline_Analysis" sheetId="6" state="visible" r:id="rId8"/>
    <sheet name="Competitor_Benchmark" sheetId="7" state="visible" r:id="rId9"/>
    <sheet name="Executive_Dashboard" sheetId="8" state="visible" r:id="rId10"/>
  </sheets>
  <definedNames>
    <definedName function="false" hidden="false" localSheetId="7" name="_xlnm.Print_Area" vbProcedure="false">Executive_Dashboard!$A$1:$P$85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<sst xmlns="http://schemas.openxmlformats.org/spreadsheetml/2006/main" count="6718" uniqueCount="1481">
  <si>
    <t xml:space="preserve">D2C Sales Performance &amp; Competitive Pricing Dashboard</t>
  </si>
  <si>
    <t xml:space="preserve">An ETL + sales/CRM analytics project — raw multi-source data, cleaning logic, pipeline KPIs, and competitor benchmarking</t>
  </si>
  <si>
    <t xml:space="preserve">Purpose</t>
  </si>
  <si>
    <t xml:space="preserve">This workbook simulates a Direct-to-Consumer (D2C) sales operation across multiple regions and product lines. It demonstrates an end-to-end analytics workflow: extracting raw data from two separate sources (a CRM export and a competitor pricing feed), validating and cleaning that data, transforming it into pipeline and revenue KPIs, and presenting it through an executive dashboard — the same workflow described in Revenue Operations, Sales Analytics, and Product &amp; Price Management roles.</t>
  </si>
  <si>
    <t xml:space="preserve">Sheet Guide</t>
  </si>
  <si>
    <t xml:space="preserve">1. CRM_Raw — Unprocessed CRM export (Source 1). Intentionally contains real-world data quality issues: inconsistent region casing, missing sales rep values. This mirrors the validation step before any reporting can happen.</t>
  </si>
  <si>
    <t xml:space="preserve">2. Pricing_Raw — Unprocessed competitor pricing feed (Source 2), covering list prices, ratings, and delivery times across 6 competitor brands and 6 product lines.</t>
  </si>
  <si>
    <t xml:space="preserve">3. Data_Cleaning_Log — Documents every validation rule applied and how many records were affected (the ETL 'Transform' step).</t>
  </si>
  <si>
    <t xml:space="preserve">4. CRM_Clean — Cleaned, standardized dataset used for all downstream analysis (formulas reference CRM_Raw directly, so updating raw data updates everything).</t>
  </si>
  <si>
    <t xml:space="preserve">5. Pipeline_Analysis — Funnel, conversion, win-rate, and sales-cycle metrics by region, product line, and lead source.</t>
  </si>
  <si>
    <t xml:space="preserve">6. Competitor_Benchmark — Price positioning vs. 6 competitors per product line, with over/under-pricing flags.</t>
  </si>
  <si>
    <t xml:space="preserve">7. Executive_Dashboard — KPI summary and charts for a management/sales audience.</t>
  </si>
  <si>
    <t xml:space="preserve">Tools &amp; Skills Demonstrated</t>
  </si>
  <si>
    <t xml:space="preserve">ETL (Extract-Transform-Load) across multiple sources | Data validation &amp; cleaning | Excel formulas (SUMIFS, COUNTIFS, AVERAGEIFS, XLOOKUP) | Pivot-style aggregation | Sales pipeline / funnel analysis | Win-rate &amp; sales-cycle metrics | Competitor &amp; pricing benchmarking | Executive dashboard design | Conditional formatting for risk-flagging</t>
  </si>
  <si>
    <t xml:space="preserve">Note on data</t>
  </si>
  <si>
    <t xml:space="preserve">All deal and pricing data in this workbook is synthetic, generated for demonstration purposes. The structure, fields, and analysis approach are designed to mirror a real D2C sales/CRM environment (e.g. Pipedrive/HubSpot/Salesforce exports).</t>
  </si>
  <si>
    <t xml:space="preserve">Source 1: Raw CRM Export (Unprocessed)</t>
  </si>
  <si>
    <t xml:space="preserve">Contains known data quality issues (inconsistent region casing, missing rep names) — see Data_Cleaning_Log</t>
  </si>
  <si>
    <t xml:space="preserve">Deal ID</t>
  </si>
  <si>
    <t xml:space="preserve">Created Date</t>
  </si>
  <si>
    <t xml:space="preserve">Closed Date</t>
  </si>
  <si>
    <t xml:space="preserve">Region</t>
  </si>
  <si>
    <t xml:space="preserve">Product Line</t>
  </si>
  <si>
    <t xml:space="preserve">Lead Source</t>
  </si>
  <si>
    <t xml:space="preserve">Sales Rep</t>
  </si>
  <si>
    <t xml:space="preserve">Stage</t>
  </si>
  <si>
    <t xml:space="preserve">Deal Value (EUR)</t>
  </si>
  <si>
    <t xml:space="preserve">Discount %</t>
  </si>
  <si>
    <t xml:space="preserve">Sales Cycle (Days)</t>
  </si>
  <si>
    <t xml:space="preserve">D-10001</t>
  </si>
  <si>
    <t xml:space="preserve">2025-09-08</t>
  </si>
  <si>
    <t xml:space="preserve">2025-09-27</t>
  </si>
  <si>
    <t xml:space="preserve">Southern Europe</t>
  </si>
  <si>
    <t xml:space="preserve">Smart Ovens</t>
  </si>
  <si>
    <t xml:space="preserve">Web-shop Organic</t>
  </si>
  <si>
    <t xml:space="preserve">J. Murphy</t>
  </si>
  <si>
    <t xml:space="preserve">Closed Won</t>
  </si>
  <si>
    <t xml:space="preserve">D-10002</t>
  </si>
  <si>
    <t xml:space="preserve">2025-08-27</t>
  </si>
  <si>
    <t xml:space="preserve">2025-09-03</t>
  </si>
  <si>
    <t xml:space="preserve">Benelux</t>
  </si>
  <si>
    <t xml:space="preserve">S. Andersson</t>
  </si>
  <si>
    <t xml:space="preserve">Closed Lost</t>
  </si>
  <si>
    <t xml:space="preserve">D-10003</t>
  </si>
  <si>
    <t xml:space="preserve">2026-04-05</t>
  </si>
  <si>
    <t xml:space="preserve">2026-04-26</t>
  </si>
  <si>
    <t xml:space="preserve">Small Kitchen Appliances</t>
  </si>
  <si>
    <t xml:space="preserve">Social Media Ads</t>
  </si>
  <si>
    <t xml:space="preserve">D-10004</t>
  </si>
  <si>
    <t xml:space="preserve">2025-04-15</t>
  </si>
  <si>
    <t xml:space="preserve">2025-05-05</t>
  </si>
  <si>
    <t xml:space="preserve">France</t>
  </si>
  <si>
    <t xml:space="preserve">Coffee Systems</t>
  </si>
  <si>
    <t xml:space="preserve">P. Rossi</t>
  </si>
  <si>
    <t xml:space="preserve">D-10005</t>
  </si>
  <si>
    <t xml:space="preserve">2026-01-23</t>
  </si>
  <si>
    <t xml:space="preserve">2026-02-09</t>
  </si>
  <si>
    <t xml:space="preserve">Affiliate Partner</t>
  </si>
  <si>
    <t xml:space="preserve">L. Dubois</t>
  </si>
  <si>
    <t xml:space="preserve">D-10006</t>
  </si>
  <si>
    <t xml:space="preserve">2025-10-24</t>
  </si>
  <si>
    <t xml:space="preserve">UK &amp; Ireland</t>
  </si>
  <si>
    <t xml:space="preserve">Qualified</t>
  </si>
  <si>
    <t xml:space="preserve">D-10007</t>
  </si>
  <si>
    <t xml:space="preserve">2025-06-16</t>
  </si>
  <si>
    <t xml:space="preserve">2025-07-19</t>
  </si>
  <si>
    <t xml:space="preserve">Dishwashers</t>
  </si>
  <si>
    <t xml:space="preserve">D-10008</t>
  </si>
  <si>
    <t xml:space="preserve">2025-09-11</t>
  </si>
  <si>
    <t xml:space="preserve">M. Hoffmann</t>
  </si>
  <si>
    <t xml:space="preserve">D-10009</t>
  </si>
  <si>
    <t xml:space="preserve">2025-08-23</t>
  </si>
  <si>
    <t xml:space="preserve">Cordless Vacuums</t>
  </si>
  <si>
    <t xml:space="preserve">Email Campaign</t>
  </si>
  <si>
    <t xml:space="preserve">A. Becker</t>
  </si>
  <si>
    <t xml:space="preserve">Proposal Sent</t>
  </si>
  <si>
    <t xml:space="preserve">D-10010</t>
  </si>
  <si>
    <t xml:space="preserve">2025-08-06</t>
  </si>
  <si>
    <t xml:space="preserve">DACH</t>
  </si>
  <si>
    <t xml:space="preserve">Retail Referral</t>
  </si>
  <si>
    <t xml:space="preserve">Negotiation</t>
  </si>
  <si>
    <t xml:space="preserve">D-10011</t>
  </si>
  <si>
    <t xml:space="preserve">2026-03-15</t>
  </si>
  <si>
    <t xml:space="preserve">D-10012</t>
  </si>
  <si>
    <t xml:space="preserve">2025-04-23</t>
  </si>
  <si>
    <t xml:space="preserve">2025-06-01</t>
  </si>
  <si>
    <t xml:space="preserve">Nordics</t>
  </si>
  <si>
    <t xml:space="preserve">D-10013</t>
  </si>
  <si>
    <t xml:space="preserve">2025-09-15</t>
  </si>
  <si>
    <t xml:space="preserve">Paid Search</t>
  </si>
  <si>
    <t xml:space="preserve">D-10014</t>
  </si>
  <si>
    <t xml:space="preserve">2025-12-15</t>
  </si>
  <si>
    <t xml:space="preserve">2025-12-26</t>
  </si>
  <si>
    <t xml:space="preserve">D-10015</t>
  </si>
  <si>
    <t xml:space="preserve">2025-11-02</t>
  </si>
  <si>
    <t xml:space="preserve">North America</t>
  </si>
  <si>
    <t xml:space="preserve">D-10016</t>
  </si>
  <si>
    <t xml:space="preserve">2025-11-28</t>
  </si>
  <si>
    <t xml:space="preserve">2025-12-22</t>
  </si>
  <si>
    <t xml:space="preserve">D-10017</t>
  </si>
  <si>
    <t xml:space="preserve">2025-03-22</t>
  </si>
  <si>
    <t xml:space="preserve">2025-04-08</t>
  </si>
  <si>
    <t xml:space="preserve">D-10018</t>
  </si>
  <si>
    <t xml:space="preserve">2025-09-29</t>
  </si>
  <si>
    <t xml:space="preserve">2025-10-20</t>
  </si>
  <si>
    <t xml:space="preserve">D-10019</t>
  </si>
  <si>
    <t xml:space="preserve">2026-02-13</t>
  </si>
  <si>
    <t xml:space="preserve">D-10020</t>
  </si>
  <si>
    <t xml:space="preserve">2025-12-13</t>
  </si>
  <si>
    <t xml:space="preserve">D-10021</t>
  </si>
  <si>
    <t xml:space="preserve">2025-09-01</t>
  </si>
  <si>
    <t xml:space="preserve">2025-09-18</t>
  </si>
  <si>
    <t xml:space="preserve">D-10022</t>
  </si>
  <si>
    <t xml:space="preserve">2026-04-30</t>
  </si>
  <si>
    <t xml:space="preserve">Washing Machines</t>
  </si>
  <si>
    <t xml:space="preserve">D-10023</t>
  </si>
  <si>
    <t xml:space="preserve">2025-02-25</t>
  </si>
  <si>
    <t xml:space="preserve">T. Wagner</t>
  </si>
  <si>
    <t xml:space="preserve">D-10024</t>
  </si>
  <si>
    <t xml:space="preserve">2025-09-12</t>
  </si>
  <si>
    <t xml:space="preserve">2025-09-28</t>
  </si>
  <si>
    <t xml:space="preserve">D-10025</t>
  </si>
  <si>
    <t xml:space="preserve">2025-02-21</t>
  </si>
  <si>
    <t xml:space="preserve">D-10026</t>
  </si>
  <si>
    <t xml:space="preserve">2026-05-08</t>
  </si>
  <si>
    <t xml:space="preserve">2026-05-27</t>
  </si>
  <si>
    <t xml:space="preserve">D-10027</t>
  </si>
  <si>
    <t xml:space="preserve">2026-04-11</t>
  </si>
  <si>
    <t xml:space="preserve">2026-04-27</t>
  </si>
  <si>
    <t xml:space="preserve">Trade Show</t>
  </si>
  <si>
    <t xml:space="preserve">D-10028</t>
  </si>
  <si>
    <t xml:space="preserve">2025-03-04</t>
  </si>
  <si>
    <t xml:space="preserve">D-10029</t>
  </si>
  <si>
    <t xml:space="preserve">2025-07-10</t>
  </si>
  <si>
    <t xml:space="preserve">2025-07-17</t>
  </si>
  <si>
    <t xml:space="preserve">D-10030</t>
  </si>
  <si>
    <t xml:space="preserve">2025-03-25</t>
  </si>
  <si>
    <t xml:space="preserve">2025-04-05</t>
  </si>
  <si>
    <t xml:space="preserve">D-10031</t>
  </si>
  <si>
    <t xml:space="preserve">2025-05-15</t>
  </si>
  <si>
    <t xml:space="preserve">K. Nilsson</t>
  </si>
  <si>
    <t xml:space="preserve">D-10032</t>
  </si>
  <si>
    <t xml:space="preserve">2025-03-17</t>
  </si>
  <si>
    <t xml:space="preserve">2025-04-01</t>
  </si>
  <si>
    <t xml:space="preserve">D-10033</t>
  </si>
  <si>
    <t xml:space="preserve">2026-03-25</t>
  </si>
  <si>
    <t xml:space="preserve">D-10034</t>
  </si>
  <si>
    <t xml:space="preserve">2025-04-17</t>
  </si>
  <si>
    <t xml:space="preserve">D-10035</t>
  </si>
  <si>
    <t xml:space="preserve">2025-08-04</t>
  </si>
  <si>
    <t xml:space="preserve">D-10036</t>
  </si>
  <si>
    <t xml:space="preserve">D-10037</t>
  </si>
  <si>
    <t xml:space="preserve">2025-06-15</t>
  </si>
  <si>
    <t xml:space="preserve">D-10038</t>
  </si>
  <si>
    <t xml:space="preserve">2025-02-06</t>
  </si>
  <si>
    <t xml:space="preserve">D-10039</t>
  </si>
  <si>
    <t xml:space="preserve">2026-01-02</t>
  </si>
  <si>
    <t xml:space="preserve">D-10040</t>
  </si>
  <si>
    <t xml:space="preserve">D-10041</t>
  </si>
  <si>
    <t xml:space="preserve">2025-10-07</t>
  </si>
  <si>
    <t xml:space="preserve">D-10042</t>
  </si>
  <si>
    <t xml:space="preserve">2025-07-24</t>
  </si>
  <si>
    <t xml:space="preserve">D-10043</t>
  </si>
  <si>
    <t xml:space="preserve">2026-03-21</t>
  </si>
  <si>
    <t xml:space="preserve">D-10044</t>
  </si>
  <si>
    <t xml:space="preserve">2025-04-29</t>
  </si>
  <si>
    <t xml:space="preserve">D-10045</t>
  </si>
  <si>
    <t xml:space="preserve">2025-11-18</t>
  </si>
  <si>
    <t xml:space="preserve">2025-11-21</t>
  </si>
  <si>
    <t xml:space="preserve">D-10046</t>
  </si>
  <si>
    <t xml:space="preserve">2025-01-02</t>
  </si>
  <si>
    <t xml:space="preserve">2025-01-27</t>
  </si>
  <si>
    <t xml:space="preserve">D-10047</t>
  </si>
  <si>
    <t xml:space="preserve">D-10048</t>
  </si>
  <si>
    <t xml:space="preserve">2025-10-30</t>
  </si>
  <si>
    <t xml:space="preserve">2025-11-07</t>
  </si>
  <si>
    <t xml:space="preserve">D-10049</t>
  </si>
  <si>
    <t xml:space="preserve">2026-02-20</t>
  </si>
  <si>
    <t xml:space="preserve">2026-03-20</t>
  </si>
  <si>
    <t xml:space="preserve">D-10050</t>
  </si>
  <si>
    <t xml:space="preserve">2025-08-07</t>
  </si>
  <si>
    <t xml:space="preserve">2025-08-28</t>
  </si>
  <si>
    <t xml:space="preserve">D-10051</t>
  </si>
  <si>
    <t xml:space="preserve">2025-04-06</t>
  </si>
  <si>
    <t xml:space="preserve">D-10052</t>
  </si>
  <si>
    <t xml:space="preserve">D-10053</t>
  </si>
  <si>
    <t xml:space="preserve">2026-05-22</t>
  </si>
  <si>
    <t xml:space="preserve">2026-06-01</t>
  </si>
  <si>
    <t xml:space="preserve">D-10054</t>
  </si>
  <si>
    <t xml:space="preserve">2025-03-24</t>
  </si>
  <si>
    <t xml:space="preserve">D-10055</t>
  </si>
  <si>
    <t xml:space="preserve">2026-03-30</t>
  </si>
  <si>
    <t xml:space="preserve">2026-04-17</t>
  </si>
  <si>
    <t xml:space="preserve">D-10056</t>
  </si>
  <si>
    <t xml:space="preserve">2025-09-23</t>
  </si>
  <si>
    <t xml:space="preserve">D-10057</t>
  </si>
  <si>
    <t xml:space="preserve">2025-10-09</t>
  </si>
  <si>
    <t xml:space="preserve">2025-10-19</t>
  </si>
  <si>
    <t xml:space="preserve">D-10058</t>
  </si>
  <si>
    <t xml:space="preserve">2025-05-22</t>
  </si>
  <si>
    <t xml:space="preserve">2025-06-08</t>
  </si>
  <si>
    <t xml:space="preserve">D-10059</t>
  </si>
  <si>
    <t xml:space="preserve">2025-07-31</t>
  </si>
  <si>
    <t xml:space="preserve">D-10060</t>
  </si>
  <si>
    <t xml:space="preserve">2025-12-27</t>
  </si>
  <si>
    <t xml:space="preserve">2026-01-20</t>
  </si>
  <si>
    <t xml:space="preserve">D-10061</t>
  </si>
  <si>
    <t xml:space="preserve">2026-05-15</t>
  </si>
  <si>
    <t xml:space="preserve">D-10062</t>
  </si>
  <si>
    <t xml:space="preserve">2026-02-08</t>
  </si>
  <si>
    <t xml:space="preserve">2026-03-01</t>
  </si>
  <si>
    <t xml:space="preserve">D-10063</t>
  </si>
  <si>
    <t xml:space="preserve">2025-03-09</t>
  </si>
  <si>
    <t xml:space="preserve">D-10064</t>
  </si>
  <si>
    <t xml:space="preserve">2026-05-26</t>
  </si>
  <si>
    <t xml:space="preserve">D-10065</t>
  </si>
  <si>
    <t xml:space="preserve">2025-02-01</t>
  </si>
  <si>
    <t xml:space="preserve">D-10066</t>
  </si>
  <si>
    <t xml:space="preserve">2025-08-12</t>
  </si>
  <si>
    <t xml:space="preserve">D-10067</t>
  </si>
  <si>
    <t xml:space="preserve">D-10068</t>
  </si>
  <si>
    <t xml:space="preserve">D-10069</t>
  </si>
  <si>
    <t xml:space="preserve">D-10070</t>
  </si>
  <si>
    <t xml:space="preserve">D-10071</t>
  </si>
  <si>
    <t xml:space="preserve">2026-05-11</t>
  </si>
  <si>
    <t xml:space="preserve">D-10072</t>
  </si>
  <si>
    <t xml:space="preserve">2025-10-13</t>
  </si>
  <si>
    <t xml:space="preserve">D-10073</t>
  </si>
  <si>
    <t xml:space="preserve">D-10074</t>
  </si>
  <si>
    <t xml:space="preserve">2025-01-11</t>
  </si>
  <si>
    <t xml:space="preserve">2025-02-03</t>
  </si>
  <si>
    <t xml:space="preserve">D-10075</t>
  </si>
  <si>
    <t xml:space="preserve">2026-04-04</t>
  </si>
  <si>
    <t xml:space="preserve">D-10076</t>
  </si>
  <si>
    <t xml:space="preserve">D-10077</t>
  </si>
  <si>
    <t xml:space="preserve">2025-10-04</t>
  </si>
  <si>
    <t xml:space="preserve">D-10078</t>
  </si>
  <si>
    <t xml:space="preserve">2025-04-13</t>
  </si>
  <si>
    <t xml:space="preserve">D-10079</t>
  </si>
  <si>
    <t xml:space="preserve">2025-10-08</t>
  </si>
  <si>
    <t xml:space="preserve">2025-10-21</t>
  </si>
  <si>
    <t xml:space="preserve">D-10080</t>
  </si>
  <si>
    <t xml:space="preserve">2025-04-16</t>
  </si>
  <si>
    <t xml:space="preserve">D-10081</t>
  </si>
  <si>
    <t xml:space="preserve">2025-09-16</t>
  </si>
  <si>
    <t xml:space="preserve">D-10082</t>
  </si>
  <si>
    <t xml:space="preserve">2025-06-05</t>
  </si>
  <si>
    <t xml:space="preserve">2025-06-18</t>
  </si>
  <si>
    <t xml:space="preserve">BENELUX</t>
  </si>
  <si>
    <t xml:space="preserve">D-10083</t>
  </si>
  <si>
    <t xml:space="preserve">2026-01-25</t>
  </si>
  <si>
    <t xml:space="preserve">2026-02-12</t>
  </si>
  <si>
    <t xml:space="preserve">D-10084</t>
  </si>
  <si>
    <t xml:space="preserve">2025-08-01</t>
  </si>
  <si>
    <t xml:space="preserve">2025-08-21</t>
  </si>
  <si>
    <t xml:space="preserve">D-10085</t>
  </si>
  <si>
    <t xml:space="preserve">2025-10-26</t>
  </si>
  <si>
    <t xml:space="preserve">2025-11-19</t>
  </si>
  <si>
    <t xml:space="preserve">D-10086</t>
  </si>
  <si>
    <t xml:space="preserve">D-10087</t>
  </si>
  <si>
    <t xml:space="preserve">2025-09-30</t>
  </si>
  <si>
    <t xml:space="preserve">D-10088</t>
  </si>
  <si>
    <t xml:space="preserve">2026-03-26</t>
  </si>
  <si>
    <t xml:space="preserve">2026-04-10</t>
  </si>
  <si>
    <t xml:space="preserve">D-10089</t>
  </si>
  <si>
    <t xml:space="preserve">2026-03-19</t>
  </si>
  <si>
    <t xml:space="preserve">D-10090</t>
  </si>
  <si>
    <t xml:space="preserve">2025-10-03</t>
  </si>
  <si>
    <t xml:space="preserve">2025-10-11</t>
  </si>
  <si>
    <t xml:space="preserve">D-10091</t>
  </si>
  <si>
    <t xml:space="preserve">2025-07-05</t>
  </si>
  <si>
    <t xml:space="preserve">D-10092</t>
  </si>
  <si>
    <t xml:space="preserve">2025-04-18</t>
  </si>
  <si>
    <t xml:space="preserve">D-10093</t>
  </si>
  <si>
    <t xml:space="preserve">2026-05-01</t>
  </si>
  <si>
    <t xml:space="preserve">D-10094</t>
  </si>
  <si>
    <t xml:space="preserve">2026-02-28</t>
  </si>
  <si>
    <t xml:space="preserve">D-10095</t>
  </si>
  <si>
    <t xml:space="preserve">2025-07-28</t>
  </si>
  <si>
    <t xml:space="preserve">D-10096</t>
  </si>
  <si>
    <t xml:space="preserve">2025-06-12</t>
  </si>
  <si>
    <t xml:space="preserve">2025-07-08</t>
  </si>
  <si>
    <t xml:space="preserve">D-10097</t>
  </si>
  <si>
    <t xml:space="preserve">2025-06-07</t>
  </si>
  <si>
    <t xml:space="preserve">2025-06-25</t>
  </si>
  <si>
    <t xml:space="preserve">D-10098</t>
  </si>
  <si>
    <t xml:space="preserve">2025-07-15</t>
  </si>
  <si>
    <t xml:space="preserve">D-10099</t>
  </si>
  <si>
    <t xml:space="preserve">D-10100</t>
  </si>
  <si>
    <t xml:space="preserve">2025-06-02</t>
  </si>
  <si>
    <t xml:space="preserve">D-10101</t>
  </si>
  <si>
    <t xml:space="preserve">2025-07-13</t>
  </si>
  <si>
    <t xml:space="preserve">D-10102</t>
  </si>
  <si>
    <t xml:space="preserve">2026-01-26</t>
  </si>
  <si>
    <t xml:space="preserve">2026-02-07</t>
  </si>
  <si>
    <t xml:space="preserve">D-10103</t>
  </si>
  <si>
    <t xml:space="preserve">D-10104</t>
  </si>
  <si>
    <t xml:space="preserve">2025-03-18</t>
  </si>
  <si>
    <t xml:space="preserve">D-10105</t>
  </si>
  <si>
    <t xml:space="preserve">D-10106</t>
  </si>
  <si>
    <t xml:space="preserve">2025-10-22</t>
  </si>
  <si>
    <t xml:space="preserve">D-10107</t>
  </si>
  <si>
    <t xml:space="preserve">2026-03-31</t>
  </si>
  <si>
    <t xml:space="preserve">2026-04-20</t>
  </si>
  <si>
    <t xml:space="preserve">D-10108</t>
  </si>
  <si>
    <t xml:space="preserve">2026-02-26</t>
  </si>
  <si>
    <t xml:space="preserve">D-10109</t>
  </si>
  <si>
    <t xml:space="preserve">2026-05-25</t>
  </si>
  <si>
    <t xml:space="preserve">D-10110</t>
  </si>
  <si>
    <t xml:space="preserve">2026-04-22</t>
  </si>
  <si>
    <t xml:space="preserve">D-10111</t>
  </si>
  <si>
    <t xml:space="preserve">2026-03-11</t>
  </si>
  <si>
    <t xml:space="preserve">D-10112</t>
  </si>
  <si>
    <t xml:space="preserve">2026-01-03</t>
  </si>
  <si>
    <t xml:space="preserve">2026-01-31</t>
  </si>
  <si>
    <t xml:space="preserve">D-10113</t>
  </si>
  <si>
    <t xml:space="preserve">2026-05-24</t>
  </si>
  <si>
    <t xml:space="preserve">D-10114</t>
  </si>
  <si>
    <t xml:space="preserve">2025-09-14</t>
  </si>
  <si>
    <t xml:space="preserve">D-10115</t>
  </si>
  <si>
    <t xml:space="preserve">2026-03-28</t>
  </si>
  <si>
    <t xml:space="preserve">D-10116</t>
  </si>
  <si>
    <t xml:space="preserve">2025-07-25</t>
  </si>
  <si>
    <t xml:space="preserve">D-10117</t>
  </si>
  <si>
    <t xml:space="preserve">D-10118</t>
  </si>
  <si>
    <t xml:space="preserve">2026-02-11</t>
  </si>
  <si>
    <t xml:space="preserve">D-10119</t>
  </si>
  <si>
    <t xml:space="preserve">D-10120</t>
  </si>
  <si>
    <t xml:space="preserve">2025-09-02</t>
  </si>
  <si>
    <t xml:space="preserve">D-10121</t>
  </si>
  <si>
    <t xml:space="preserve">2025-11-06</t>
  </si>
  <si>
    <t xml:space="preserve">D-10122</t>
  </si>
  <si>
    <t xml:space="preserve">2025-05-19</t>
  </si>
  <si>
    <t xml:space="preserve">2025-05-25</t>
  </si>
  <si>
    <t xml:space="preserve">D-10123</t>
  </si>
  <si>
    <t xml:space="preserve">2025-04-12</t>
  </si>
  <si>
    <t xml:space="preserve">D-10124</t>
  </si>
  <si>
    <t xml:space="preserve">2025-08-30</t>
  </si>
  <si>
    <t xml:space="preserve">D-10125</t>
  </si>
  <si>
    <t xml:space="preserve">2025-07-14</t>
  </si>
  <si>
    <t xml:space="preserve">D-10126</t>
  </si>
  <si>
    <t xml:space="preserve">D-10127</t>
  </si>
  <si>
    <t xml:space="preserve">2025-08-10</t>
  </si>
  <si>
    <t xml:space="preserve">D-10128</t>
  </si>
  <si>
    <t xml:space="preserve">2025-05-14</t>
  </si>
  <si>
    <t xml:space="preserve">D-10129</t>
  </si>
  <si>
    <t xml:space="preserve">2025-06-28</t>
  </si>
  <si>
    <t xml:space="preserve">D-10130</t>
  </si>
  <si>
    <t xml:space="preserve">2026-01-06</t>
  </si>
  <si>
    <t xml:space="preserve">2026-02-04</t>
  </si>
  <si>
    <t xml:space="preserve">D-10131</t>
  </si>
  <si>
    <t xml:space="preserve">2025-02-28</t>
  </si>
  <si>
    <t xml:space="preserve">D-10132</t>
  </si>
  <si>
    <t xml:space="preserve">D-10133</t>
  </si>
  <si>
    <t xml:space="preserve">D-10134</t>
  </si>
  <si>
    <t xml:space="preserve">2025-08-09</t>
  </si>
  <si>
    <t xml:space="preserve">2025-09-06</t>
  </si>
  <si>
    <t xml:space="preserve">D-10135</t>
  </si>
  <si>
    <t xml:space="preserve">2025-09-19</t>
  </si>
  <si>
    <t xml:space="preserve">D-10136</t>
  </si>
  <si>
    <t xml:space="preserve">2026-01-17</t>
  </si>
  <si>
    <t xml:space="preserve">D-10137</t>
  </si>
  <si>
    <t xml:space="preserve">2025-12-29</t>
  </si>
  <si>
    <t xml:space="preserve">D-10138</t>
  </si>
  <si>
    <t xml:space="preserve">2026-01-11</t>
  </si>
  <si>
    <t xml:space="preserve">D-10139</t>
  </si>
  <si>
    <t xml:space="preserve">2025-08-20</t>
  </si>
  <si>
    <t xml:space="preserve">D-10140</t>
  </si>
  <si>
    <t xml:space="preserve">2025-01-30</t>
  </si>
  <si>
    <t xml:space="preserve">2025-02-19</t>
  </si>
  <si>
    <t xml:space="preserve">D-10141</t>
  </si>
  <si>
    <t xml:space="preserve">2026-02-15</t>
  </si>
  <si>
    <t xml:space="preserve">2026-03-06</t>
  </si>
  <si>
    <t xml:space="preserve">D-10142</t>
  </si>
  <si>
    <t xml:space="preserve">2026-01-14</t>
  </si>
  <si>
    <t xml:space="preserve">D-10143</t>
  </si>
  <si>
    <t xml:space="preserve">2025-04-09</t>
  </si>
  <si>
    <t xml:space="preserve">D-10144</t>
  </si>
  <si>
    <t xml:space="preserve">2025-04-24</t>
  </si>
  <si>
    <t xml:space="preserve">2025-05-06</t>
  </si>
  <si>
    <t xml:space="preserve">D-10145</t>
  </si>
  <si>
    <t xml:space="preserve">2025-02-26</t>
  </si>
  <si>
    <t xml:space="preserve">D-10146</t>
  </si>
  <si>
    <t xml:space="preserve">2025-06-29</t>
  </si>
  <si>
    <t xml:space="preserve">D-10147</t>
  </si>
  <si>
    <t xml:space="preserve">D-10148</t>
  </si>
  <si>
    <t xml:space="preserve">2026-03-04</t>
  </si>
  <si>
    <t xml:space="preserve">2026-03-07</t>
  </si>
  <si>
    <t xml:space="preserve">D-10149</t>
  </si>
  <si>
    <t xml:space="preserve">2026-03-24</t>
  </si>
  <si>
    <t xml:space="preserve">D-10150</t>
  </si>
  <si>
    <t xml:space="preserve">2025-12-14</t>
  </si>
  <si>
    <t xml:space="preserve">D-10151</t>
  </si>
  <si>
    <t xml:space="preserve">2025-12-24</t>
  </si>
  <si>
    <t xml:space="preserve">D-10152</t>
  </si>
  <si>
    <t xml:space="preserve">2025-03-19</t>
  </si>
  <si>
    <t xml:space="preserve">D-10153</t>
  </si>
  <si>
    <t xml:space="preserve">2025-11-27</t>
  </si>
  <si>
    <t xml:space="preserve">D-10154</t>
  </si>
  <si>
    <t xml:space="preserve">2025-10-27</t>
  </si>
  <si>
    <t xml:space="preserve">D-10155</t>
  </si>
  <si>
    <t xml:space="preserve">2026-01-29</t>
  </si>
  <si>
    <t xml:space="preserve">2026-02-21</t>
  </si>
  <si>
    <t xml:space="preserve">D-10156</t>
  </si>
  <si>
    <t xml:space="preserve">2026-05-03</t>
  </si>
  <si>
    <t xml:space="preserve">D-10157</t>
  </si>
  <si>
    <t xml:space="preserve">D-10158</t>
  </si>
  <si>
    <t xml:space="preserve">2026-02-01</t>
  </si>
  <si>
    <t xml:space="preserve">2026-02-19</t>
  </si>
  <si>
    <t xml:space="preserve">D-10159</t>
  </si>
  <si>
    <t xml:space="preserve">2025-12-04</t>
  </si>
  <si>
    <t xml:space="preserve">2025-12-21</t>
  </si>
  <si>
    <t xml:space="preserve">D-10160</t>
  </si>
  <si>
    <t xml:space="preserve">2025-12-25</t>
  </si>
  <si>
    <t xml:space="preserve">2026-01-08</t>
  </si>
  <si>
    <t xml:space="preserve">D-10161</t>
  </si>
  <si>
    <t xml:space="preserve">2026-01-21</t>
  </si>
  <si>
    <t xml:space="preserve">D-10162</t>
  </si>
  <si>
    <t xml:space="preserve">2026-03-10</t>
  </si>
  <si>
    <t xml:space="preserve">2026-04-07</t>
  </si>
  <si>
    <t xml:space="preserve">D-10163</t>
  </si>
  <si>
    <t xml:space="preserve">D-10164</t>
  </si>
  <si>
    <t xml:space="preserve">2025-12-11</t>
  </si>
  <si>
    <t xml:space="preserve">D-10165</t>
  </si>
  <si>
    <t xml:space="preserve">D-10166</t>
  </si>
  <si>
    <t xml:space="preserve">D-10167</t>
  </si>
  <si>
    <t xml:space="preserve">2026-04-18</t>
  </si>
  <si>
    <t xml:space="preserve">D-10168</t>
  </si>
  <si>
    <t xml:space="preserve">2025-09-26</t>
  </si>
  <si>
    <t xml:space="preserve">D-10169</t>
  </si>
  <si>
    <t xml:space="preserve">2025-10-29</t>
  </si>
  <si>
    <t xml:space="preserve">D-10170</t>
  </si>
  <si>
    <t xml:space="preserve">D-10171</t>
  </si>
  <si>
    <t xml:space="preserve">2025-05-30</t>
  </si>
  <si>
    <t xml:space="preserve">2025-06-19</t>
  </si>
  <si>
    <t xml:space="preserve">D-10172</t>
  </si>
  <si>
    <t xml:space="preserve">D-10173</t>
  </si>
  <si>
    <t xml:space="preserve">2025-10-23</t>
  </si>
  <si>
    <t xml:space="preserve">2025-11-12</t>
  </si>
  <si>
    <t xml:space="preserve">D-10174</t>
  </si>
  <si>
    <t xml:space="preserve">D-10175</t>
  </si>
  <si>
    <t xml:space="preserve">2026-03-03</t>
  </si>
  <si>
    <t xml:space="preserve">D-10176</t>
  </si>
  <si>
    <t xml:space="preserve">D-10177</t>
  </si>
  <si>
    <t xml:space="preserve">2025-12-20</t>
  </si>
  <si>
    <t xml:space="preserve">2026-01-07</t>
  </si>
  <si>
    <t xml:space="preserve">D-10178</t>
  </si>
  <si>
    <t xml:space="preserve">2026-04-21</t>
  </si>
  <si>
    <t xml:space="preserve">D-10179</t>
  </si>
  <si>
    <t xml:space="preserve">2025-02-07</t>
  </si>
  <si>
    <t xml:space="preserve">2025-02-24</t>
  </si>
  <si>
    <t xml:space="preserve">D-10180</t>
  </si>
  <si>
    <t xml:space="preserve">2025-09-17</t>
  </si>
  <si>
    <t xml:space="preserve">D-10181</t>
  </si>
  <si>
    <t xml:space="preserve">D-10182</t>
  </si>
  <si>
    <t xml:space="preserve">2025-10-01</t>
  </si>
  <si>
    <t xml:space="preserve">D-10183</t>
  </si>
  <si>
    <t xml:space="preserve">2025-05-01</t>
  </si>
  <si>
    <t xml:space="preserve">D-10184</t>
  </si>
  <si>
    <t xml:space="preserve">2026-01-13</t>
  </si>
  <si>
    <t xml:space="preserve">D-10185</t>
  </si>
  <si>
    <t xml:space="preserve">D-10186</t>
  </si>
  <si>
    <t xml:space="preserve">2025-02-05</t>
  </si>
  <si>
    <t xml:space="preserve">2025-02-27</t>
  </si>
  <si>
    <t xml:space="preserve">D-10187</t>
  </si>
  <si>
    <t xml:space="preserve">2026-01-16</t>
  </si>
  <si>
    <t xml:space="preserve">2026-02-18</t>
  </si>
  <si>
    <t xml:space="preserve">D-10188</t>
  </si>
  <si>
    <t xml:space="preserve">2025-09-13</t>
  </si>
  <si>
    <t xml:space="preserve">D-10189</t>
  </si>
  <si>
    <t xml:space="preserve">D-10190</t>
  </si>
  <si>
    <t xml:space="preserve">2025-08-19</t>
  </si>
  <si>
    <t xml:space="preserve">D-10191</t>
  </si>
  <si>
    <t xml:space="preserve">D-10192</t>
  </si>
  <si>
    <t xml:space="preserve">2026-01-19</t>
  </si>
  <si>
    <t xml:space="preserve">D-10193</t>
  </si>
  <si>
    <t xml:space="preserve">2026-01-05</t>
  </si>
  <si>
    <t xml:space="preserve">D-10194</t>
  </si>
  <si>
    <t xml:space="preserve">2026-02-25</t>
  </si>
  <si>
    <t xml:space="preserve">D-10195</t>
  </si>
  <si>
    <t xml:space="preserve">2025-12-19</t>
  </si>
  <si>
    <t xml:space="preserve">D-10196</t>
  </si>
  <si>
    <t xml:space="preserve">D-10197</t>
  </si>
  <si>
    <t xml:space="preserve">D-10198</t>
  </si>
  <si>
    <t xml:space="preserve">2025-05-09</t>
  </si>
  <si>
    <t xml:space="preserve">2025-05-17</t>
  </si>
  <si>
    <t xml:space="preserve">D-10199</t>
  </si>
  <si>
    <t xml:space="preserve">D-10200</t>
  </si>
  <si>
    <t xml:space="preserve">2025-04-07</t>
  </si>
  <si>
    <t xml:space="preserve">D-10201</t>
  </si>
  <si>
    <t xml:space="preserve">2025-11-17</t>
  </si>
  <si>
    <t xml:space="preserve">D-10202</t>
  </si>
  <si>
    <t xml:space="preserve">2026-03-27</t>
  </si>
  <si>
    <t xml:space="preserve">2026-04-08</t>
  </si>
  <si>
    <t xml:space="preserve">D-10203</t>
  </si>
  <si>
    <t xml:space="preserve">2026-01-15</t>
  </si>
  <si>
    <t xml:space="preserve">2026-02-06</t>
  </si>
  <si>
    <t xml:space="preserve">D-10204</t>
  </si>
  <si>
    <t xml:space="preserve">2025-04-10</t>
  </si>
  <si>
    <t xml:space="preserve">D-10205</t>
  </si>
  <si>
    <t xml:space="preserve">2025-06-13</t>
  </si>
  <si>
    <t xml:space="preserve">2025-06-27</t>
  </si>
  <si>
    <t xml:space="preserve">D-10206</t>
  </si>
  <si>
    <t xml:space="preserve">2026-04-14</t>
  </si>
  <si>
    <t xml:space="preserve">D-10207</t>
  </si>
  <si>
    <t xml:space="preserve">2025-11-15</t>
  </si>
  <si>
    <t xml:space="preserve">D-10208</t>
  </si>
  <si>
    <t xml:space="preserve">D-10209</t>
  </si>
  <si>
    <t xml:space="preserve">2025-05-12</t>
  </si>
  <si>
    <t xml:space="preserve">D-10210</t>
  </si>
  <si>
    <t xml:space="preserve">2025-02-11</t>
  </si>
  <si>
    <t xml:space="preserve">D-10211</t>
  </si>
  <si>
    <t xml:space="preserve">D-10212</t>
  </si>
  <si>
    <t xml:space="preserve">2025-11-03</t>
  </si>
  <si>
    <t xml:space="preserve">2025-12-02</t>
  </si>
  <si>
    <t xml:space="preserve">D-10213</t>
  </si>
  <si>
    <t xml:space="preserve">D-10214</t>
  </si>
  <si>
    <t xml:space="preserve">2025-06-24</t>
  </si>
  <si>
    <t xml:space="preserve">2025-07-12</t>
  </si>
  <si>
    <t xml:space="preserve">D-10215</t>
  </si>
  <si>
    <t xml:space="preserve">2026-04-02</t>
  </si>
  <si>
    <t xml:space="preserve">D-10216</t>
  </si>
  <si>
    <t xml:space="preserve">D-10217</t>
  </si>
  <si>
    <t xml:space="preserve">D-10218</t>
  </si>
  <si>
    <t xml:space="preserve">2025-11-11</t>
  </si>
  <si>
    <t xml:space="preserve">D-10219</t>
  </si>
  <si>
    <t xml:space="preserve">2025-11-24</t>
  </si>
  <si>
    <t xml:space="preserve">D-10220</t>
  </si>
  <si>
    <t xml:space="preserve">D-10221</t>
  </si>
  <si>
    <t xml:space="preserve">2025-09-20</t>
  </si>
  <si>
    <t xml:space="preserve">D-10222</t>
  </si>
  <si>
    <t xml:space="preserve">D-10223</t>
  </si>
  <si>
    <t xml:space="preserve">2025-12-05</t>
  </si>
  <si>
    <t xml:space="preserve">D-10224</t>
  </si>
  <si>
    <t xml:space="preserve">2026-05-04</t>
  </si>
  <si>
    <t xml:space="preserve">D-10225</t>
  </si>
  <si>
    <t xml:space="preserve">2025-08-26</t>
  </si>
  <si>
    <t xml:space="preserve">D-10226</t>
  </si>
  <si>
    <t xml:space="preserve">D-10227</t>
  </si>
  <si>
    <t xml:space="preserve">2025-12-10</t>
  </si>
  <si>
    <t xml:space="preserve">D-10228</t>
  </si>
  <si>
    <t xml:space="preserve">2025-11-01</t>
  </si>
  <si>
    <t xml:space="preserve">D-10229</t>
  </si>
  <si>
    <t xml:space="preserve">D-10230</t>
  </si>
  <si>
    <t xml:space="preserve">2025-05-04</t>
  </si>
  <si>
    <t xml:space="preserve">D-10231</t>
  </si>
  <si>
    <t xml:space="preserve">2025-12-03</t>
  </si>
  <si>
    <t xml:space="preserve">D-10232</t>
  </si>
  <si>
    <t xml:space="preserve">D-10233</t>
  </si>
  <si>
    <t xml:space="preserve">2026-01-12</t>
  </si>
  <si>
    <t xml:space="preserve">D-10234</t>
  </si>
  <si>
    <t xml:space="preserve">2026-03-02</t>
  </si>
  <si>
    <t xml:space="preserve">D-10235</t>
  </si>
  <si>
    <t xml:space="preserve">2026-04-03</t>
  </si>
  <si>
    <t xml:space="preserve">D-10236</t>
  </si>
  <si>
    <t xml:space="preserve">D-10237</t>
  </si>
  <si>
    <t xml:space="preserve">2025-04-03</t>
  </si>
  <si>
    <t xml:space="preserve">D-10238</t>
  </si>
  <si>
    <t xml:space="preserve">2025-01-23</t>
  </si>
  <si>
    <t xml:space="preserve">D-10239</t>
  </si>
  <si>
    <t xml:space="preserve">2025-03-12</t>
  </si>
  <si>
    <t xml:space="preserve">D-10240</t>
  </si>
  <si>
    <t xml:space="preserve">D-10241</t>
  </si>
  <si>
    <t xml:space="preserve">2025-12-23</t>
  </si>
  <si>
    <t xml:space="preserve">2025-12-30</t>
  </si>
  <si>
    <t xml:space="preserve">D-10242</t>
  </si>
  <si>
    <t xml:space="preserve">2025-01-24</t>
  </si>
  <si>
    <t xml:space="preserve">D-10243</t>
  </si>
  <si>
    <t xml:space="preserve">D-10244</t>
  </si>
  <si>
    <t xml:space="preserve">2025-09-04</t>
  </si>
  <si>
    <t xml:space="preserve">2025-10-15</t>
  </si>
  <si>
    <t xml:space="preserve">D-10245</t>
  </si>
  <si>
    <t xml:space="preserve">D-10246</t>
  </si>
  <si>
    <t xml:space="preserve">D-10247</t>
  </si>
  <si>
    <t xml:space="preserve">D-10248</t>
  </si>
  <si>
    <t xml:space="preserve">2026-03-14</t>
  </si>
  <si>
    <t xml:space="preserve">D-10249</t>
  </si>
  <si>
    <t xml:space="preserve">D-10250</t>
  </si>
  <si>
    <t xml:space="preserve">D-10251</t>
  </si>
  <si>
    <t xml:space="preserve">D-10252</t>
  </si>
  <si>
    <t xml:space="preserve">2025-02-10</t>
  </si>
  <si>
    <t xml:space="preserve">D-10253</t>
  </si>
  <si>
    <t xml:space="preserve">2025-12-07</t>
  </si>
  <si>
    <t xml:space="preserve">2026-01-01</t>
  </si>
  <si>
    <t xml:space="preserve">D-10254</t>
  </si>
  <si>
    <t xml:space="preserve">D-10255</t>
  </si>
  <si>
    <t xml:space="preserve">2026-04-23</t>
  </si>
  <si>
    <t xml:space="preserve">2026-05-09</t>
  </si>
  <si>
    <t xml:space="preserve">D-10256</t>
  </si>
  <si>
    <t xml:space="preserve">D-10257</t>
  </si>
  <si>
    <t xml:space="preserve">D-10258</t>
  </si>
  <si>
    <t xml:space="preserve">2025-09-21</t>
  </si>
  <si>
    <t xml:space="preserve">D-10259</t>
  </si>
  <si>
    <t xml:space="preserve">2025-05-24</t>
  </si>
  <si>
    <t xml:space="preserve">D-10260</t>
  </si>
  <si>
    <t xml:space="preserve">D-10261</t>
  </si>
  <si>
    <t xml:space="preserve">2026-01-18</t>
  </si>
  <si>
    <t xml:space="preserve">2026-02-14</t>
  </si>
  <si>
    <t xml:space="preserve">D-10262</t>
  </si>
  <si>
    <t xml:space="preserve">2025-01-13</t>
  </si>
  <si>
    <t xml:space="preserve">D-10263</t>
  </si>
  <si>
    <t xml:space="preserve">2025-04-20</t>
  </si>
  <si>
    <t xml:space="preserve">D-10264</t>
  </si>
  <si>
    <t xml:space="preserve">D-10265</t>
  </si>
  <si>
    <t xml:space="preserve">2025-11-04</t>
  </si>
  <si>
    <t xml:space="preserve">D-10266</t>
  </si>
  <si>
    <t xml:space="preserve">D-10267</t>
  </si>
  <si>
    <t xml:space="preserve">D-10268</t>
  </si>
  <si>
    <t xml:space="preserve">2025-10-05</t>
  </si>
  <si>
    <t xml:space="preserve">D-10269</t>
  </si>
  <si>
    <t xml:space="preserve">2025-01-17</t>
  </si>
  <si>
    <t xml:space="preserve">D-10270</t>
  </si>
  <si>
    <t xml:space="preserve">2025-12-06</t>
  </si>
  <si>
    <t xml:space="preserve">D-10271</t>
  </si>
  <si>
    <t xml:space="preserve">D-10272</t>
  </si>
  <si>
    <t xml:space="preserve">2026-04-12</t>
  </si>
  <si>
    <t xml:space="preserve">D-10273</t>
  </si>
  <si>
    <t xml:space="preserve">2025-03-29</t>
  </si>
  <si>
    <t xml:space="preserve">D-10274</t>
  </si>
  <si>
    <t xml:space="preserve">D-10275</t>
  </si>
  <si>
    <t xml:space="preserve">D-10276</t>
  </si>
  <si>
    <t xml:space="preserve">2025-11-29</t>
  </si>
  <si>
    <t xml:space="preserve">D-10277</t>
  </si>
  <si>
    <t xml:space="preserve">2025-06-23</t>
  </si>
  <si>
    <t xml:space="preserve">D-10278</t>
  </si>
  <si>
    <t xml:space="preserve">2026-03-22</t>
  </si>
  <si>
    <t xml:space="preserve">D-10279</t>
  </si>
  <si>
    <t xml:space="preserve">2025-07-20</t>
  </si>
  <si>
    <t xml:space="preserve">D-10280</t>
  </si>
  <si>
    <t xml:space="preserve">2025-05-20</t>
  </si>
  <si>
    <t xml:space="preserve">2025-06-10</t>
  </si>
  <si>
    <t xml:space="preserve">D-10281</t>
  </si>
  <si>
    <t xml:space="preserve">D-10282</t>
  </si>
  <si>
    <t xml:space="preserve">2026-01-09</t>
  </si>
  <si>
    <t xml:space="preserve">D-10283</t>
  </si>
  <si>
    <t xml:space="preserve">D-10284</t>
  </si>
  <si>
    <t xml:space="preserve">2025-11-23</t>
  </si>
  <si>
    <t xml:space="preserve">D-10285</t>
  </si>
  <si>
    <t xml:space="preserve">D-10286</t>
  </si>
  <si>
    <t xml:space="preserve">2025-04-22</t>
  </si>
  <si>
    <t xml:space="preserve">D-10287</t>
  </si>
  <si>
    <t xml:space="preserve">D-10288</t>
  </si>
  <si>
    <t xml:space="preserve">D-10289</t>
  </si>
  <si>
    <t xml:space="preserve">2026-05-10</t>
  </si>
  <si>
    <t xml:space="preserve">2026-05-13</t>
  </si>
  <si>
    <t xml:space="preserve">D-10290</t>
  </si>
  <si>
    <t xml:space="preserve">D-10291</t>
  </si>
  <si>
    <t xml:space="preserve">D-10292</t>
  </si>
  <si>
    <t xml:space="preserve">D-10293</t>
  </si>
  <si>
    <t xml:space="preserve">2025-07-22</t>
  </si>
  <si>
    <t xml:space="preserve">D-10294</t>
  </si>
  <si>
    <t xml:space="preserve">D-10295</t>
  </si>
  <si>
    <t xml:space="preserve">D-10296</t>
  </si>
  <si>
    <t xml:space="preserve">2025-03-28</t>
  </si>
  <si>
    <t xml:space="preserve">D-10297</t>
  </si>
  <si>
    <t xml:space="preserve">2026-02-02</t>
  </si>
  <si>
    <t xml:space="preserve">D-10298</t>
  </si>
  <si>
    <t xml:space="preserve">2025-06-20</t>
  </si>
  <si>
    <t xml:space="preserve">D-10299</t>
  </si>
  <si>
    <t xml:space="preserve">D-10300</t>
  </si>
  <si>
    <t xml:space="preserve">2026-05-16</t>
  </si>
  <si>
    <t xml:space="preserve">D-10301</t>
  </si>
  <si>
    <t xml:space="preserve">2025-06-22</t>
  </si>
  <si>
    <t xml:space="preserve">D-10302</t>
  </si>
  <si>
    <t xml:space="preserve">D-10303</t>
  </si>
  <si>
    <t xml:space="preserve">D-10304</t>
  </si>
  <si>
    <t xml:space="preserve">2025-08-31</t>
  </si>
  <si>
    <t xml:space="preserve">2025-09-05</t>
  </si>
  <si>
    <t xml:space="preserve">D-10305</t>
  </si>
  <si>
    <t xml:space="preserve">2025-05-23</t>
  </si>
  <si>
    <t xml:space="preserve">D-10306</t>
  </si>
  <si>
    <t xml:space="preserve">D-10307</t>
  </si>
  <si>
    <t xml:space="preserve">D-10308</t>
  </si>
  <si>
    <t xml:space="preserve">D-10309</t>
  </si>
  <si>
    <t xml:space="preserve">2026-02-16</t>
  </si>
  <si>
    <t xml:space="preserve">D-10310</t>
  </si>
  <si>
    <t xml:space="preserve">D-10311</t>
  </si>
  <si>
    <t xml:space="preserve">D-10312</t>
  </si>
  <si>
    <t xml:space="preserve">2025-10-18</t>
  </si>
  <si>
    <t xml:space="preserve">2025-10-28</t>
  </si>
  <si>
    <t xml:space="preserve">D-10313</t>
  </si>
  <si>
    <t xml:space="preserve">D-10314</t>
  </si>
  <si>
    <t xml:space="preserve">D-10315</t>
  </si>
  <si>
    <t xml:space="preserve">2025-02-23</t>
  </si>
  <si>
    <t xml:space="preserve">2025-03-13</t>
  </si>
  <si>
    <t xml:space="preserve">D-10316</t>
  </si>
  <si>
    <t xml:space="preserve">D-10317</t>
  </si>
  <si>
    <t xml:space="preserve">2025-05-16</t>
  </si>
  <si>
    <t xml:space="preserve">D-10318</t>
  </si>
  <si>
    <t xml:space="preserve">2025-11-26</t>
  </si>
  <si>
    <t xml:space="preserve">D-10319</t>
  </si>
  <si>
    <t xml:space="preserve">D-10320</t>
  </si>
  <si>
    <t xml:space="preserve">2025-03-30</t>
  </si>
  <si>
    <t xml:space="preserve">D-10321</t>
  </si>
  <si>
    <t xml:space="preserve">D-10322</t>
  </si>
  <si>
    <t xml:space="preserve">2025-01-28</t>
  </si>
  <si>
    <t xml:space="preserve">D-10323</t>
  </si>
  <si>
    <t xml:space="preserve">D-10324</t>
  </si>
  <si>
    <t xml:space="preserve">D-10325</t>
  </si>
  <si>
    <t xml:space="preserve">2026-04-28</t>
  </si>
  <si>
    <t xml:space="preserve">D-10326</t>
  </si>
  <si>
    <t xml:space="preserve">2025-03-03</t>
  </si>
  <si>
    <t xml:space="preserve">D-10327</t>
  </si>
  <si>
    <t xml:space="preserve">2026-02-24</t>
  </si>
  <si>
    <t xml:space="preserve">D-10328</t>
  </si>
  <si>
    <t xml:space="preserve">2025-12-01</t>
  </si>
  <si>
    <t xml:space="preserve">D-10329</t>
  </si>
  <si>
    <t xml:space="preserve">2025-03-01</t>
  </si>
  <si>
    <t xml:space="preserve">D-10330</t>
  </si>
  <si>
    <t xml:space="preserve">2025-05-03</t>
  </si>
  <si>
    <t xml:space="preserve">2025-05-21</t>
  </si>
  <si>
    <t xml:space="preserve">D-10331</t>
  </si>
  <si>
    <t xml:space="preserve">D-10332</t>
  </si>
  <si>
    <t xml:space="preserve">2025-03-07</t>
  </si>
  <si>
    <t xml:space="preserve">2025-03-10</t>
  </si>
  <si>
    <t xml:space="preserve">D-10333</t>
  </si>
  <si>
    <t xml:space="preserve">D-10334</t>
  </si>
  <si>
    <t xml:space="preserve">D-10335</t>
  </si>
  <si>
    <t xml:space="preserve">2025-08-18</t>
  </si>
  <si>
    <t xml:space="preserve">D-10336</t>
  </si>
  <si>
    <t xml:space="preserve">2025-07-03</t>
  </si>
  <si>
    <t xml:space="preserve">D-10337</t>
  </si>
  <si>
    <t xml:space="preserve">D-10338</t>
  </si>
  <si>
    <t xml:space="preserve">D-10339</t>
  </si>
  <si>
    <t xml:space="preserve">2025-01-10</t>
  </si>
  <si>
    <t xml:space="preserve">D-10340</t>
  </si>
  <si>
    <t xml:space="preserve">2025-09-24</t>
  </si>
  <si>
    <t xml:space="preserve">D-10341</t>
  </si>
  <si>
    <t xml:space="preserve">2026-02-27</t>
  </si>
  <si>
    <t xml:space="preserve">D-10342</t>
  </si>
  <si>
    <t xml:space="preserve">D-10343</t>
  </si>
  <si>
    <t xml:space="preserve">D-10344</t>
  </si>
  <si>
    <t xml:space="preserve">2025-07-07</t>
  </si>
  <si>
    <t xml:space="preserve">D-10345</t>
  </si>
  <si>
    <t xml:space="preserve">2025-04-28</t>
  </si>
  <si>
    <t xml:space="preserve">D-10346</t>
  </si>
  <si>
    <t xml:space="preserve">2025-12-31</t>
  </si>
  <si>
    <t xml:space="preserve">2026-01-28</t>
  </si>
  <si>
    <t xml:space="preserve">D-10347</t>
  </si>
  <si>
    <t xml:space="preserve">2025-04-30</t>
  </si>
  <si>
    <t xml:space="preserve">D-10348</t>
  </si>
  <si>
    <t xml:space="preserve">D-10349</t>
  </si>
  <si>
    <t xml:space="preserve">D-10350</t>
  </si>
  <si>
    <t xml:space="preserve">2025-06-04</t>
  </si>
  <si>
    <t xml:space="preserve">D-10351</t>
  </si>
  <si>
    <t xml:space="preserve">2026-01-27</t>
  </si>
  <si>
    <t xml:space="preserve">D-10352</t>
  </si>
  <si>
    <t xml:space="preserve">2025-02-16</t>
  </si>
  <si>
    <t xml:space="preserve">D-10353</t>
  </si>
  <si>
    <t xml:space="preserve">2026-03-18</t>
  </si>
  <si>
    <t xml:space="preserve">D-10354</t>
  </si>
  <si>
    <t xml:space="preserve">D-10355</t>
  </si>
  <si>
    <t xml:space="preserve">2025-01-31</t>
  </si>
  <si>
    <t xml:space="preserve">D-10356</t>
  </si>
  <si>
    <t xml:space="preserve">D-10357</t>
  </si>
  <si>
    <t xml:space="preserve">D-10358</t>
  </si>
  <si>
    <t xml:space="preserve">D-10359</t>
  </si>
  <si>
    <t xml:space="preserve">2026-05-18</t>
  </si>
  <si>
    <t xml:space="preserve">D-10360</t>
  </si>
  <si>
    <t xml:space="preserve">2025-07-26</t>
  </si>
  <si>
    <t xml:space="preserve">D-10361</t>
  </si>
  <si>
    <t xml:space="preserve">2025-05-26</t>
  </si>
  <si>
    <t xml:space="preserve">D-10362</t>
  </si>
  <si>
    <t xml:space="preserve">2025-04-14</t>
  </si>
  <si>
    <t xml:space="preserve">D-10363</t>
  </si>
  <si>
    <t xml:space="preserve">D-10364</t>
  </si>
  <si>
    <t xml:space="preserve">2025-07-01</t>
  </si>
  <si>
    <t xml:space="preserve">D-10365</t>
  </si>
  <si>
    <t xml:space="preserve">2025-08-15</t>
  </si>
  <si>
    <t xml:space="preserve">D-10366</t>
  </si>
  <si>
    <t xml:space="preserve">2025-12-17</t>
  </si>
  <si>
    <t xml:space="preserve">D-10367</t>
  </si>
  <si>
    <t xml:space="preserve">D-10368</t>
  </si>
  <si>
    <t xml:space="preserve">2026-03-12</t>
  </si>
  <si>
    <t xml:space="preserve">D-10369</t>
  </si>
  <si>
    <t xml:space="preserve">D-10370</t>
  </si>
  <si>
    <t xml:space="preserve">2025-04-11</t>
  </si>
  <si>
    <t xml:space="preserve">D-10371</t>
  </si>
  <si>
    <t xml:space="preserve">D-10372</t>
  </si>
  <si>
    <t xml:space="preserve">D-10373</t>
  </si>
  <si>
    <t xml:space="preserve">2025-02-20</t>
  </si>
  <si>
    <t xml:space="preserve">D-10374</t>
  </si>
  <si>
    <t xml:space="preserve">D-10375</t>
  </si>
  <si>
    <t xml:space="preserve">2025-04-26</t>
  </si>
  <si>
    <t xml:space="preserve">D-10376</t>
  </si>
  <si>
    <t xml:space="preserve">D-10377</t>
  </si>
  <si>
    <t xml:space="preserve">2025-03-05</t>
  </si>
  <si>
    <t xml:space="preserve">D-10378</t>
  </si>
  <si>
    <t xml:space="preserve">D-10379</t>
  </si>
  <si>
    <t xml:space="preserve">2026-05-20</t>
  </si>
  <si>
    <t xml:space="preserve">D-10380</t>
  </si>
  <si>
    <t xml:space="preserve">D-10381</t>
  </si>
  <si>
    <t xml:space="preserve">D-10382</t>
  </si>
  <si>
    <t xml:space="preserve">2025-03-31</t>
  </si>
  <si>
    <t xml:space="preserve">D-10383</t>
  </si>
  <si>
    <t xml:space="preserve">D-10384</t>
  </si>
  <si>
    <t xml:space="preserve">D-10385</t>
  </si>
  <si>
    <t xml:space="preserve">2025-02-08</t>
  </si>
  <si>
    <t xml:space="preserve">2025-02-18</t>
  </si>
  <si>
    <t xml:space="preserve">D-10386</t>
  </si>
  <si>
    <t xml:space="preserve">2026-05-02</t>
  </si>
  <si>
    <t xml:space="preserve">D-10387</t>
  </si>
  <si>
    <t xml:space="preserve">D-10388</t>
  </si>
  <si>
    <t xml:space="preserve">2025-04-02</t>
  </si>
  <si>
    <t xml:space="preserve">D-10389</t>
  </si>
  <si>
    <t xml:space="preserve">2025-06-30</t>
  </si>
  <si>
    <t xml:space="preserve">D-10390</t>
  </si>
  <si>
    <t xml:space="preserve">D-10391</t>
  </si>
  <si>
    <t xml:space="preserve">D-10392</t>
  </si>
  <si>
    <t xml:space="preserve">D-10393</t>
  </si>
  <si>
    <t xml:space="preserve">D-10394</t>
  </si>
  <si>
    <t xml:space="preserve">D-10395</t>
  </si>
  <si>
    <t xml:space="preserve">D-10396</t>
  </si>
  <si>
    <t xml:space="preserve">2025-05-29</t>
  </si>
  <si>
    <t xml:space="preserve">D-10397</t>
  </si>
  <si>
    <t xml:space="preserve">2026-05-29</t>
  </si>
  <si>
    <t xml:space="preserve">D-10398</t>
  </si>
  <si>
    <t xml:space="preserve">2025-08-03</t>
  </si>
  <si>
    <t xml:space="preserve">D-10399</t>
  </si>
  <si>
    <t xml:space="preserve">D-10400</t>
  </si>
  <si>
    <t xml:space="preserve">2025-12-18</t>
  </si>
  <si>
    <t xml:space="preserve">D-10401</t>
  </si>
  <si>
    <t xml:space="preserve">NORTH AMERICA</t>
  </si>
  <si>
    <t xml:space="preserve">D-10402</t>
  </si>
  <si>
    <t xml:space="preserve">D-10403</t>
  </si>
  <si>
    <t xml:space="preserve">D-10404</t>
  </si>
  <si>
    <t xml:space="preserve">D-10405</t>
  </si>
  <si>
    <t xml:space="preserve">2025-11-05</t>
  </si>
  <si>
    <t xml:space="preserve">D-10406</t>
  </si>
  <si>
    <t xml:space="preserve">2025-05-27</t>
  </si>
  <si>
    <t xml:space="preserve">D-10407</t>
  </si>
  <si>
    <t xml:space="preserve">D-10408</t>
  </si>
  <si>
    <t xml:space="preserve">2026-03-16</t>
  </si>
  <si>
    <t xml:space="preserve">D-10409</t>
  </si>
  <si>
    <t xml:space="preserve">2025-01-15</t>
  </si>
  <si>
    <t xml:space="preserve">D-10410</t>
  </si>
  <si>
    <t xml:space="preserve">D-10411</t>
  </si>
  <si>
    <t xml:space="preserve">2025-03-08</t>
  </si>
  <si>
    <t xml:space="preserve">D-10412</t>
  </si>
  <si>
    <t xml:space="preserve">D-10413</t>
  </si>
  <si>
    <t xml:space="preserve">2025-01-20</t>
  </si>
  <si>
    <t xml:space="preserve">2025-02-09</t>
  </si>
  <si>
    <t xml:space="preserve">D-10414</t>
  </si>
  <si>
    <t xml:space="preserve">D-10415</t>
  </si>
  <si>
    <t xml:space="preserve">2025-01-21</t>
  </si>
  <si>
    <t xml:space="preserve">D-10416</t>
  </si>
  <si>
    <t xml:space="preserve">2025-07-30</t>
  </si>
  <si>
    <t xml:space="preserve">D-10417</t>
  </si>
  <si>
    <t xml:space="preserve">D-10418</t>
  </si>
  <si>
    <t xml:space="preserve">D-10419</t>
  </si>
  <si>
    <t xml:space="preserve">D-10420</t>
  </si>
  <si>
    <t xml:space="preserve">2026-05-21</t>
  </si>
  <si>
    <t xml:space="preserve">D-10421</t>
  </si>
  <si>
    <t xml:space="preserve">2025-08-25</t>
  </si>
  <si>
    <t xml:space="preserve">D-10422</t>
  </si>
  <si>
    <t xml:space="preserve">2026-03-13</t>
  </si>
  <si>
    <t xml:space="preserve">D-10423</t>
  </si>
  <si>
    <t xml:space="preserve">D-10424</t>
  </si>
  <si>
    <t xml:space="preserve">D-10425</t>
  </si>
  <si>
    <t xml:space="preserve">D-10426</t>
  </si>
  <si>
    <t xml:space="preserve">D-10427</t>
  </si>
  <si>
    <t xml:space="preserve">2025-02-17</t>
  </si>
  <si>
    <t xml:space="preserve">D-10428</t>
  </si>
  <si>
    <t xml:space="preserve">D-10429</t>
  </si>
  <si>
    <t xml:space="preserve">D-10430</t>
  </si>
  <si>
    <t xml:space="preserve">2026-05-23</t>
  </si>
  <si>
    <t xml:space="preserve">D-10431</t>
  </si>
  <si>
    <t xml:space="preserve">2025-08-17</t>
  </si>
  <si>
    <t xml:space="preserve">D-10432</t>
  </si>
  <si>
    <t xml:space="preserve">D-10433</t>
  </si>
  <si>
    <t xml:space="preserve">D-10434</t>
  </si>
  <si>
    <t xml:space="preserve">2025-12-16</t>
  </si>
  <si>
    <t xml:space="preserve">D-10435</t>
  </si>
  <si>
    <t xml:space="preserve">D-10436</t>
  </si>
  <si>
    <t xml:space="preserve">D-10437</t>
  </si>
  <si>
    <t xml:space="preserve">D-10438</t>
  </si>
  <si>
    <t xml:space="preserve">D-10439</t>
  </si>
  <si>
    <t xml:space="preserve">D-10440</t>
  </si>
  <si>
    <t xml:space="preserve">D-10441</t>
  </si>
  <si>
    <t xml:space="preserve">D-10442</t>
  </si>
  <si>
    <t xml:space="preserve">D-10443</t>
  </si>
  <si>
    <t xml:space="preserve">D-10444</t>
  </si>
  <si>
    <t xml:space="preserve">D-10445</t>
  </si>
  <si>
    <t xml:space="preserve">2025-01-14</t>
  </si>
  <si>
    <t xml:space="preserve">D-10446</t>
  </si>
  <si>
    <t xml:space="preserve">D-10447</t>
  </si>
  <si>
    <t xml:space="preserve">D-10448</t>
  </si>
  <si>
    <t xml:space="preserve">D-10449</t>
  </si>
  <si>
    <t xml:space="preserve">D-10450</t>
  </si>
  <si>
    <t xml:space="preserve">2025-07-21</t>
  </si>
  <si>
    <t xml:space="preserve">D-10451</t>
  </si>
  <si>
    <t xml:space="preserve">2025-05-13</t>
  </si>
  <si>
    <t xml:space="preserve">D-10452</t>
  </si>
  <si>
    <t xml:space="preserve">D-10453</t>
  </si>
  <si>
    <t xml:space="preserve">D-10454</t>
  </si>
  <si>
    <t xml:space="preserve">2025-03-11</t>
  </si>
  <si>
    <t xml:space="preserve">D-10455</t>
  </si>
  <si>
    <t xml:space="preserve">D-10456</t>
  </si>
  <si>
    <t xml:space="preserve">2026-05-14</t>
  </si>
  <si>
    <t xml:space="preserve">D-10457</t>
  </si>
  <si>
    <t xml:space="preserve">2025-04-27</t>
  </si>
  <si>
    <t xml:space="preserve">2025-05-10</t>
  </si>
  <si>
    <t xml:space="preserve">D-10458</t>
  </si>
  <si>
    <t xml:space="preserve">2025-10-31</t>
  </si>
  <si>
    <t xml:space="preserve">D-10459</t>
  </si>
  <si>
    <t xml:space="preserve">D-10460</t>
  </si>
  <si>
    <t xml:space="preserve">D-10461</t>
  </si>
  <si>
    <t xml:space="preserve">D-10462</t>
  </si>
  <si>
    <t xml:space="preserve">2026-03-29</t>
  </si>
  <si>
    <t xml:space="preserve">D-10463</t>
  </si>
  <si>
    <t xml:space="preserve">D-10464</t>
  </si>
  <si>
    <t xml:space="preserve">2025-10-16</t>
  </si>
  <si>
    <t xml:space="preserve">D-10465</t>
  </si>
  <si>
    <t xml:space="preserve">D-10466</t>
  </si>
  <si>
    <t xml:space="preserve">2025-01-12</t>
  </si>
  <si>
    <t xml:space="preserve">D-10467</t>
  </si>
  <si>
    <t xml:space="preserve">NORDICS</t>
  </si>
  <si>
    <t xml:space="preserve">D-10468</t>
  </si>
  <si>
    <t xml:space="preserve">2025-06-14</t>
  </si>
  <si>
    <t xml:space="preserve">D-10469</t>
  </si>
  <si>
    <t xml:space="preserve">D-10470</t>
  </si>
  <si>
    <t xml:space="preserve">D-10471</t>
  </si>
  <si>
    <t xml:space="preserve">2025-06-06</t>
  </si>
  <si>
    <t xml:space="preserve">2025-06-21</t>
  </si>
  <si>
    <t xml:space="preserve">D-10472</t>
  </si>
  <si>
    <t xml:space="preserve">2026-03-23</t>
  </si>
  <si>
    <t xml:space="preserve">D-10473</t>
  </si>
  <si>
    <t xml:space="preserve">D-10474</t>
  </si>
  <si>
    <t xml:space="preserve">D-10475</t>
  </si>
  <si>
    <t xml:space="preserve">D-10476</t>
  </si>
  <si>
    <t xml:space="preserve">D-10477</t>
  </si>
  <si>
    <t xml:space="preserve">D-10478</t>
  </si>
  <si>
    <t xml:space="preserve">2025-07-09</t>
  </si>
  <si>
    <t xml:space="preserve">D-10479</t>
  </si>
  <si>
    <t xml:space="preserve">2025-08-13</t>
  </si>
  <si>
    <t xml:space="preserve">D-10480</t>
  </si>
  <si>
    <t xml:space="preserve">D-10481</t>
  </si>
  <si>
    <t xml:space="preserve">D-10482</t>
  </si>
  <si>
    <t xml:space="preserve">D-10483</t>
  </si>
  <si>
    <t xml:space="preserve">D-10484</t>
  </si>
  <si>
    <t xml:space="preserve">FRANCE</t>
  </si>
  <si>
    <t xml:space="preserve">D-10485</t>
  </si>
  <si>
    <t xml:space="preserve">D-10486</t>
  </si>
  <si>
    <t xml:space="preserve">2025-05-18</t>
  </si>
  <si>
    <t xml:space="preserve">D-10487</t>
  </si>
  <si>
    <t xml:space="preserve">D-10488</t>
  </si>
  <si>
    <t xml:space="preserve">D-10489</t>
  </si>
  <si>
    <t xml:space="preserve">D-10490</t>
  </si>
  <si>
    <t xml:space="preserve">2025-06-03</t>
  </si>
  <si>
    <t xml:space="preserve">2025-07-02</t>
  </si>
  <si>
    <t xml:space="preserve">D-10491</t>
  </si>
  <si>
    <t xml:space="preserve">D-10492</t>
  </si>
  <si>
    <t xml:space="preserve">D-10493</t>
  </si>
  <si>
    <t xml:space="preserve">2026-04-19</t>
  </si>
  <si>
    <t xml:space="preserve">D-10494</t>
  </si>
  <si>
    <t xml:space="preserve">D-10495</t>
  </si>
  <si>
    <t xml:space="preserve">2026-02-23</t>
  </si>
  <si>
    <t xml:space="preserve">D-10496</t>
  </si>
  <si>
    <t xml:space="preserve">2025-10-10</t>
  </si>
  <si>
    <t xml:space="preserve">D-10497</t>
  </si>
  <si>
    <t xml:space="preserve">D-10498</t>
  </si>
  <si>
    <t xml:space="preserve">D-10499</t>
  </si>
  <si>
    <t xml:space="preserve">D-10500</t>
  </si>
  <si>
    <t xml:space="preserve">D-10501</t>
  </si>
  <si>
    <t xml:space="preserve">D-10502</t>
  </si>
  <si>
    <t xml:space="preserve">D-10503</t>
  </si>
  <si>
    <t xml:space="preserve">D-10504</t>
  </si>
  <si>
    <t xml:space="preserve">D-10505</t>
  </si>
  <si>
    <t xml:space="preserve">D-10506</t>
  </si>
  <si>
    <t xml:space="preserve">D-10507</t>
  </si>
  <si>
    <t xml:space="preserve">2026-01-22</t>
  </si>
  <si>
    <t xml:space="preserve">D-10508</t>
  </si>
  <si>
    <t xml:space="preserve">D-10509</t>
  </si>
  <si>
    <t xml:space="preserve">2025-12-28</t>
  </si>
  <si>
    <t xml:space="preserve">2026-02-03</t>
  </si>
  <si>
    <t xml:space="preserve">D-10510</t>
  </si>
  <si>
    <t xml:space="preserve">D-10511</t>
  </si>
  <si>
    <t xml:space="preserve">D-10512</t>
  </si>
  <si>
    <t xml:space="preserve">2026-02-05</t>
  </si>
  <si>
    <t xml:space="preserve">D-10513</t>
  </si>
  <si>
    <t xml:space="preserve">D-10514</t>
  </si>
  <si>
    <t xml:space="preserve">D-10515</t>
  </si>
  <si>
    <t xml:space="preserve">D-10516</t>
  </si>
  <si>
    <t xml:space="preserve">2026-01-24</t>
  </si>
  <si>
    <t xml:space="preserve">D-10517</t>
  </si>
  <si>
    <t xml:space="preserve">2025-10-17</t>
  </si>
  <si>
    <t xml:space="preserve">D-10518</t>
  </si>
  <si>
    <t xml:space="preserve">2025-10-14</t>
  </si>
  <si>
    <t xml:space="preserve">D-10519</t>
  </si>
  <si>
    <t xml:space="preserve">D-10520</t>
  </si>
  <si>
    <t xml:space="preserve">D-10521</t>
  </si>
  <si>
    <t xml:space="preserve">D-10522</t>
  </si>
  <si>
    <t xml:space="preserve">2026-04-06</t>
  </si>
  <si>
    <t xml:space="preserve">D-10523</t>
  </si>
  <si>
    <t xml:space="preserve">D-10524</t>
  </si>
  <si>
    <t xml:space="preserve">D-10525</t>
  </si>
  <si>
    <t xml:space="preserve">D-10526</t>
  </si>
  <si>
    <t xml:space="preserve">2025-03-23</t>
  </si>
  <si>
    <t xml:space="preserve">D-10527</t>
  </si>
  <si>
    <t xml:space="preserve">D-10528</t>
  </si>
  <si>
    <t xml:space="preserve">D-10529</t>
  </si>
  <si>
    <t xml:space="preserve">D-10530</t>
  </si>
  <si>
    <t xml:space="preserve">D-10531</t>
  </si>
  <si>
    <t xml:space="preserve">D-10532</t>
  </si>
  <si>
    <t xml:space="preserve">2026-04-01</t>
  </si>
  <si>
    <t xml:space="preserve">2026-04-24</t>
  </si>
  <si>
    <t xml:space="preserve">D-10533</t>
  </si>
  <si>
    <t xml:space="preserve">2025-11-14</t>
  </si>
  <si>
    <t xml:space="preserve">D-10534</t>
  </si>
  <si>
    <t xml:space="preserve">2025-10-25</t>
  </si>
  <si>
    <t xml:space="preserve">D-10535</t>
  </si>
  <si>
    <t xml:space="preserve">D-10536</t>
  </si>
  <si>
    <t xml:space="preserve">D-10537</t>
  </si>
  <si>
    <t xml:space="preserve">2025-08-14</t>
  </si>
  <si>
    <t xml:space="preserve">2025-08-29</t>
  </si>
  <si>
    <t xml:space="preserve">D-10538</t>
  </si>
  <si>
    <t xml:space="preserve">D-10539</t>
  </si>
  <si>
    <t xml:space="preserve">2025-10-06</t>
  </si>
  <si>
    <t xml:space="preserve">D-10540</t>
  </si>
  <si>
    <t xml:space="preserve">D-10541</t>
  </si>
  <si>
    <t xml:space="preserve">2025-06-26</t>
  </si>
  <si>
    <t xml:space="preserve">D-10542</t>
  </si>
  <si>
    <t xml:space="preserve">D-10543</t>
  </si>
  <si>
    <t xml:space="preserve">D-10544</t>
  </si>
  <si>
    <t xml:space="preserve">2026-01-30</t>
  </si>
  <si>
    <t xml:space="preserve">D-10545</t>
  </si>
  <si>
    <t xml:space="preserve">D-10546</t>
  </si>
  <si>
    <t xml:space="preserve">D-10547</t>
  </si>
  <si>
    <t xml:space="preserve">D-10548</t>
  </si>
  <si>
    <t xml:space="preserve">D-10549</t>
  </si>
  <si>
    <t xml:space="preserve">D-10550</t>
  </si>
  <si>
    <t xml:space="preserve">D-10551</t>
  </si>
  <si>
    <t xml:space="preserve">2026-05-12</t>
  </si>
  <si>
    <t xml:space="preserve">D-10552</t>
  </si>
  <si>
    <t xml:space="preserve">D-10553</t>
  </si>
  <si>
    <t xml:space="preserve">2026-04-29</t>
  </si>
  <si>
    <t xml:space="preserve">D-10554</t>
  </si>
  <si>
    <t xml:space="preserve">D-10555</t>
  </si>
  <si>
    <t xml:space="preserve">D-10556</t>
  </si>
  <si>
    <t xml:space="preserve">D-10557</t>
  </si>
  <si>
    <t xml:space="preserve">D-10558</t>
  </si>
  <si>
    <t xml:space="preserve">2026-04-25</t>
  </si>
  <si>
    <t xml:space="preserve">D-10559</t>
  </si>
  <si>
    <t xml:space="preserve">D-10560</t>
  </si>
  <si>
    <t xml:space="preserve">2025-07-18</t>
  </si>
  <si>
    <t xml:space="preserve">D-10561</t>
  </si>
  <si>
    <t xml:space="preserve">2025-04-19</t>
  </si>
  <si>
    <t xml:space="preserve">D-10562</t>
  </si>
  <si>
    <t xml:space="preserve">2025-07-04</t>
  </si>
  <si>
    <t xml:space="preserve">2025-07-11</t>
  </si>
  <si>
    <t xml:space="preserve">D-10563</t>
  </si>
  <si>
    <t xml:space="preserve">D-10564</t>
  </si>
  <si>
    <t xml:space="preserve">D-10565</t>
  </si>
  <si>
    <t xml:space="preserve">2025-01-07</t>
  </si>
  <si>
    <t xml:space="preserve">D-10566</t>
  </si>
  <si>
    <t xml:space="preserve">D-10567</t>
  </si>
  <si>
    <t xml:space="preserve">D-10568</t>
  </si>
  <si>
    <t xml:space="preserve">D-10569</t>
  </si>
  <si>
    <t xml:space="preserve">D-10570</t>
  </si>
  <si>
    <t xml:space="preserve">2025-02-12</t>
  </si>
  <si>
    <t xml:space="preserve">D-10571</t>
  </si>
  <si>
    <t xml:space="preserve">D-10572</t>
  </si>
  <si>
    <t xml:space="preserve">D-10573</t>
  </si>
  <si>
    <t xml:space="preserve">2025-06-11</t>
  </si>
  <si>
    <t xml:space="preserve">D-10574</t>
  </si>
  <si>
    <t xml:space="preserve">D-10575</t>
  </si>
  <si>
    <t xml:space="preserve">D-10576</t>
  </si>
  <si>
    <t xml:space="preserve">D-10577</t>
  </si>
  <si>
    <t xml:space="preserve">D-10578</t>
  </si>
  <si>
    <t xml:space="preserve">D-10579</t>
  </si>
  <si>
    <t xml:space="preserve">D-10580</t>
  </si>
  <si>
    <t xml:space="preserve">D-10581</t>
  </si>
  <si>
    <t xml:space="preserve">D-10582</t>
  </si>
  <si>
    <t xml:space="preserve">D-10583</t>
  </si>
  <si>
    <t xml:space="preserve">2025-03-02</t>
  </si>
  <si>
    <t xml:space="preserve">D-10584</t>
  </si>
  <si>
    <t xml:space="preserve">D-10585</t>
  </si>
  <si>
    <t xml:space="preserve">D-10586</t>
  </si>
  <si>
    <t xml:space="preserve">D-10587</t>
  </si>
  <si>
    <t xml:space="preserve">D-10588</t>
  </si>
  <si>
    <t xml:space="preserve">2025-11-13</t>
  </si>
  <si>
    <t xml:space="preserve">D-10589</t>
  </si>
  <si>
    <t xml:space="preserve">2025-11-22</t>
  </si>
  <si>
    <t xml:space="preserve">D-10590</t>
  </si>
  <si>
    <t xml:space="preserve">D-10591</t>
  </si>
  <si>
    <t xml:space="preserve">D-10592</t>
  </si>
  <si>
    <t xml:space="preserve">D-10593</t>
  </si>
  <si>
    <t xml:space="preserve">D-10594</t>
  </si>
  <si>
    <t xml:space="preserve">D-10595</t>
  </si>
  <si>
    <t xml:space="preserve">2026-05-17</t>
  </si>
  <si>
    <t xml:space="preserve">D-10596</t>
  </si>
  <si>
    <t xml:space="preserve">D-10597</t>
  </si>
  <si>
    <t xml:space="preserve">2025-09-09</t>
  </si>
  <si>
    <t xml:space="preserve">2025-09-25</t>
  </si>
  <si>
    <t xml:space="preserve">D-10598</t>
  </si>
  <si>
    <t xml:space="preserve">D-10599</t>
  </si>
  <si>
    <t xml:space="preserve">D-10600</t>
  </si>
  <si>
    <t xml:space="preserve">2026-02-22</t>
  </si>
  <si>
    <t xml:space="preserve">D-10601</t>
  </si>
  <si>
    <t xml:space="preserve">2025-05-07</t>
  </si>
  <si>
    <t xml:space="preserve">D-10602</t>
  </si>
  <si>
    <t xml:space="preserve">D-10603</t>
  </si>
  <si>
    <t xml:space="preserve">D-10604</t>
  </si>
  <si>
    <t xml:space="preserve">2025-07-27</t>
  </si>
  <si>
    <t xml:space="preserve">D-10605</t>
  </si>
  <si>
    <t xml:space="preserve">D-10606</t>
  </si>
  <si>
    <t xml:space="preserve">D-10607</t>
  </si>
  <si>
    <t xml:space="preserve">D-10608</t>
  </si>
  <si>
    <t xml:space="preserve">D-10609</t>
  </si>
  <si>
    <t xml:space="preserve">2026-01-04</t>
  </si>
  <si>
    <t xml:space="preserve">D-10610</t>
  </si>
  <si>
    <t xml:space="preserve">D-10611</t>
  </si>
  <si>
    <t xml:space="preserve">2025-03-20</t>
  </si>
  <si>
    <t xml:space="preserve">D-10612</t>
  </si>
  <si>
    <t xml:space="preserve">D-10613</t>
  </si>
  <si>
    <t xml:space="preserve">D-10614</t>
  </si>
  <si>
    <t xml:space="preserve">D-10615</t>
  </si>
  <si>
    <t xml:space="preserve">D-10616</t>
  </si>
  <si>
    <t xml:space="preserve">D-10617</t>
  </si>
  <si>
    <t xml:space="preserve">D-10618</t>
  </si>
  <si>
    <t xml:space="preserve">D-10619</t>
  </si>
  <si>
    <t xml:space="preserve">D-10620</t>
  </si>
  <si>
    <t xml:space="preserve">D-10621</t>
  </si>
  <si>
    <t xml:space="preserve">D-10622</t>
  </si>
  <si>
    <t xml:space="preserve">D-10623</t>
  </si>
  <si>
    <t xml:space="preserve">D-10624</t>
  </si>
  <si>
    <t xml:space="preserve">D-10625</t>
  </si>
  <si>
    <t xml:space="preserve">2025-12-08</t>
  </si>
  <si>
    <t xml:space="preserve">D-10626</t>
  </si>
  <si>
    <t xml:space="preserve">D-10627</t>
  </si>
  <si>
    <t xml:space="preserve">D-10628</t>
  </si>
  <si>
    <t xml:space="preserve">D-10629</t>
  </si>
  <si>
    <t xml:space="preserve">D-10630</t>
  </si>
  <si>
    <t xml:space="preserve">D-10631</t>
  </si>
  <si>
    <t xml:space="preserve">D-10632</t>
  </si>
  <si>
    <t xml:space="preserve">2025-04-25</t>
  </si>
  <si>
    <t xml:space="preserve">D-10633</t>
  </si>
  <si>
    <t xml:space="preserve">D-10634</t>
  </si>
  <si>
    <t xml:space="preserve">D-10635</t>
  </si>
  <si>
    <t xml:space="preserve">D-10636</t>
  </si>
  <si>
    <t xml:space="preserve">2025-09-07</t>
  </si>
  <si>
    <t xml:space="preserve">D-10637</t>
  </si>
  <si>
    <t xml:space="preserve">D-10638</t>
  </si>
  <si>
    <t xml:space="preserve">2025-11-30</t>
  </si>
  <si>
    <t xml:space="preserve">D-10639</t>
  </si>
  <si>
    <t xml:space="preserve">D-10640</t>
  </si>
  <si>
    <t xml:space="preserve">2025-05-31</t>
  </si>
  <si>
    <t xml:space="preserve">D-10641</t>
  </si>
  <si>
    <t xml:space="preserve">D-10642</t>
  </si>
  <si>
    <t xml:space="preserve">2025-05-11</t>
  </si>
  <si>
    <t xml:space="preserve">D-10643</t>
  </si>
  <si>
    <t xml:space="preserve">D-10644</t>
  </si>
  <si>
    <t xml:space="preserve">D-10645</t>
  </si>
  <si>
    <t xml:space="preserve">D-10646</t>
  </si>
  <si>
    <t xml:space="preserve">D-10647</t>
  </si>
  <si>
    <t xml:space="preserve">D-10648</t>
  </si>
  <si>
    <t xml:space="preserve">D-10649</t>
  </si>
  <si>
    <t xml:space="preserve">D-10650</t>
  </si>
  <si>
    <t xml:space="preserve">D-10651</t>
  </si>
  <si>
    <t xml:space="preserve">D-10652</t>
  </si>
  <si>
    <t xml:space="preserve">2026-03-08</t>
  </si>
  <si>
    <t xml:space="preserve">D-10653</t>
  </si>
  <si>
    <t xml:space="preserve">D-10654</t>
  </si>
  <si>
    <t xml:space="preserve">2025-03-26</t>
  </si>
  <si>
    <t xml:space="preserve">D-10655</t>
  </si>
  <si>
    <t xml:space="preserve">D-10656</t>
  </si>
  <si>
    <t xml:space="preserve">D-10657</t>
  </si>
  <si>
    <t xml:space="preserve">D-10658</t>
  </si>
  <si>
    <t xml:space="preserve">D-10659</t>
  </si>
  <si>
    <t xml:space="preserve">D-10660</t>
  </si>
  <si>
    <t xml:space="preserve">D-10661</t>
  </si>
  <si>
    <t xml:space="preserve">D-10662</t>
  </si>
  <si>
    <t xml:space="preserve">D-10663</t>
  </si>
  <si>
    <t xml:space="preserve">D-10664</t>
  </si>
  <si>
    <t xml:space="preserve">D-10665</t>
  </si>
  <si>
    <t xml:space="preserve">D-10666</t>
  </si>
  <si>
    <t xml:space="preserve">D-10667</t>
  </si>
  <si>
    <t xml:space="preserve">D-10668</t>
  </si>
  <si>
    <t xml:space="preserve">2026-02-10</t>
  </si>
  <si>
    <t xml:space="preserve">D-10669</t>
  </si>
  <si>
    <t xml:space="preserve">D-10670</t>
  </si>
  <si>
    <t xml:space="preserve">D-10671</t>
  </si>
  <si>
    <t xml:space="preserve">D-10672</t>
  </si>
  <si>
    <t xml:space="preserve">D-10673</t>
  </si>
  <si>
    <t xml:space="preserve">D-10674</t>
  </si>
  <si>
    <t xml:space="preserve">D-10675</t>
  </si>
  <si>
    <t xml:space="preserve">D-10676</t>
  </si>
  <si>
    <t xml:space="preserve">D-10677</t>
  </si>
  <si>
    <t xml:space="preserve">D-10678</t>
  </si>
  <si>
    <t xml:space="preserve">D-10679</t>
  </si>
  <si>
    <t xml:space="preserve">D-10680</t>
  </si>
  <si>
    <t xml:space="preserve">D-10681</t>
  </si>
  <si>
    <t xml:space="preserve">D-10682</t>
  </si>
  <si>
    <t xml:space="preserve">D-10683</t>
  </si>
  <si>
    <t xml:space="preserve">D-10684</t>
  </si>
  <si>
    <t xml:space="preserve">D-10685</t>
  </si>
  <si>
    <t xml:space="preserve">D-10686</t>
  </si>
  <si>
    <t xml:space="preserve">D-10687</t>
  </si>
  <si>
    <t xml:space="preserve">D-10688</t>
  </si>
  <si>
    <t xml:space="preserve">D-10689</t>
  </si>
  <si>
    <t xml:space="preserve">D-10690</t>
  </si>
  <si>
    <t xml:space="preserve">D-10691</t>
  </si>
  <si>
    <t xml:space="preserve">D-10692</t>
  </si>
  <si>
    <t xml:space="preserve">2025-02-14</t>
  </si>
  <si>
    <t xml:space="preserve">D-10693</t>
  </si>
  <si>
    <t xml:space="preserve">2025-03-14</t>
  </si>
  <si>
    <t xml:space="preserve">D-10694</t>
  </si>
  <si>
    <t xml:space="preserve">2025-08-24</t>
  </si>
  <si>
    <t xml:space="preserve">D-10695</t>
  </si>
  <si>
    <t xml:space="preserve">D-10696</t>
  </si>
  <si>
    <t xml:space="preserve">D-10697</t>
  </si>
  <si>
    <t xml:space="preserve">D-10698</t>
  </si>
  <si>
    <t xml:space="preserve">D-10699</t>
  </si>
  <si>
    <t xml:space="preserve">D-10700</t>
  </si>
  <si>
    <t xml:space="preserve">2025-09-10</t>
  </si>
  <si>
    <t xml:space="preserve">D-10701</t>
  </si>
  <si>
    <t xml:space="preserve">D-10702</t>
  </si>
  <si>
    <t xml:space="preserve">2026-04-09</t>
  </si>
  <si>
    <t xml:space="preserve">D-10703</t>
  </si>
  <si>
    <t xml:space="preserve">D-10704</t>
  </si>
  <si>
    <t xml:space="preserve">D-10705</t>
  </si>
  <si>
    <t xml:space="preserve">D-10706</t>
  </si>
  <si>
    <t xml:space="preserve">D-10707</t>
  </si>
  <si>
    <t xml:space="preserve">D-10708</t>
  </si>
  <si>
    <t xml:space="preserve">D-10709</t>
  </si>
  <si>
    <t xml:space="preserve">D-10710</t>
  </si>
  <si>
    <t xml:space="preserve">D-10711</t>
  </si>
  <si>
    <t xml:space="preserve">D-10712</t>
  </si>
  <si>
    <t xml:space="preserve">D-10713</t>
  </si>
  <si>
    <t xml:space="preserve">2025-07-29</t>
  </si>
  <si>
    <t xml:space="preserve">D-10714</t>
  </si>
  <si>
    <t xml:space="preserve">D-10715</t>
  </si>
  <si>
    <t xml:space="preserve">2026-03-17</t>
  </si>
  <si>
    <t xml:space="preserve">D-10716</t>
  </si>
  <si>
    <t xml:space="preserve">D-10717</t>
  </si>
  <si>
    <t xml:space="preserve">D-10718</t>
  </si>
  <si>
    <t xml:space="preserve">D-10719</t>
  </si>
  <si>
    <t xml:space="preserve">D-10720</t>
  </si>
  <si>
    <t xml:space="preserve">D-10721</t>
  </si>
  <si>
    <t xml:space="preserve">2025-01-05</t>
  </si>
  <si>
    <t xml:space="preserve">D-10722</t>
  </si>
  <si>
    <t xml:space="preserve">D-10723</t>
  </si>
  <si>
    <t xml:space="preserve">D-10724</t>
  </si>
  <si>
    <t xml:space="preserve">D-10725</t>
  </si>
  <si>
    <t xml:space="preserve">D-10726</t>
  </si>
  <si>
    <t xml:space="preserve">D-10727</t>
  </si>
  <si>
    <t xml:space="preserve">D-10728</t>
  </si>
  <si>
    <t xml:space="preserve">D-10729</t>
  </si>
  <si>
    <t xml:space="preserve">D-10730</t>
  </si>
  <si>
    <t xml:space="preserve">D-10731</t>
  </si>
  <si>
    <t xml:space="preserve">2025-02-13</t>
  </si>
  <si>
    <t xml:space="preserve">D-10732</t>
  </si>
  <si>
    <t xml:space="preserve">D-10733</t>
  </si>
  <si>
    <t xml:space="preserve">D-10734</t>
  </si>
  <si>
    <t xml:space="preserve">2026-01-10</t>
  </si>
  <si>
    <t xml:space="preserve">D-10735</t>
  </si>
  <si>
    <t xml:space="preserve">D-10736</t>
  </si>
  <si>
    <t xml:space="preserve">D-10737</t>
  </si>
  <si>
    <t xml:space="preserve">D-10738</t>
  </si>
  <si>
    <t xml:space="preserve">D-10739</t>
  </si>
  <si>
    <t xml:space="preserve">D-10740</t>
  </si>
  <si>
    <t xml:space="preserve">D-10741</t>
  </si>
  <si>
    <t xml:space="preserve">D-10742</t>
  </si>
  <si>
    <t xml:space="preserve">UK &amp; IRELAND</t>
  </si>
  <si>
    <t xml:space="preserve">D-10743</t>
  </si>
  <si>
    <t xml:space="preserve">D-10744</t>
  </si>
  <si>
    <t xml:space="preserve">D-10745</t>
  </si>
  <si>
    <t xml:space="preserve">D-10746</t>
  </si>
  <si>
    <t xml:space="preserve">D-10747</t>
  </si>
  <si>
    <t xml:space="preserve">2025-08-08</t>
  </si>
  <si>
    <t xml:space="preserve">D-10748</t>
  </si>
  <si>
    <t xml:space="preserve">D-10749</t>
  </si>
  <si>
    <t xml:space="preserve">D-10750</t>
  </si>
  <si>
    <t xml:space="preserve">2025-04-21</t>
  </si>
  <si>
    <t xml:space="preserve">D-10751</t>
  </si>
  <si>
    <t xml:space="preserve">D-10752</t>
  </si>
  <si>
    <t xml:space="preserve">D-10753</t>
  </si>
  <si>
    <t xml:space="preserve">D-10754</t>
  </si>
  <si>
    <t xml:space="preserve">D-10755</t>
  </si>
  <si>
    <t xml:space="preserve">D-10756</t>
  </si>
  <si>
    <t xml:space="preserve">D-10757</t>
  </si>
  <si>
    <t xml:space="preserve">D-10758</t>
  </si>
  <si>
    <t xml:space="preserve">D-10759</t>
  </si>
  <si>
    <t xml:space="preserve">D-10760</t>
  </si>
  <si>
    <t xml:space="preserve">D-10761</t>
  </si>
  <si>
    <t xml:space="preserve">D-10762</t>
  </si>
  <si>
    <t xml:space="preserve">D-10763</t>
  </si>
  <si>
    <t xml:space="preserve">D-10764</t>
  </si>
  <si>
    <t xml:space="preserve">D-10765</t>
  </si>
  <si>
    <t xml:space="preserve">D-10766</t>
  </si>
  <si>
    <t xml:space="preserve">2025-12-12</t>
  </si>
  <si>
    <t xml:space="preserve">D-10767</t>
  </si>
  <si>
    <t xml:space="preserve">D-10768</t>
  </si>
  <si>
    <t xml:space="preserve">D-10769</t>
  </si>
  <si>
    <t xml:space="preserve">D-10770</t>
  </si>
  <si>
    <t xml:space="preserve">D-10771</t>
  </si>
  <si>
    <t xml:space="preserve">D-10772</t>
  </si>
  <si>
    <t xml:space="preserve">D-10773</t>
  </si>
  <si>
    <t xml:space="preserve">D-10774</t>
  </si>
  <si>
    <t xml:space="preserve">2025-10-02</t>
  </si>
  <si>
    <t xml:space="preserve">D-10775</t>
  </si>
  <si>
    <t xml:space="preserve">D-10776</t>
  </si>
  <si>
    <t xml:space="preserve">D-10777</t>
  </si>
  <si>
    <t xml:space="preserve">D-10778</t>
  </si>
  <si>
    <t xml:space="preserve">2026-03-09</t>
  </si>
  <si>
    <t xml:space="preserve">D-10779</t>
  </si>
  <si>
    <t xml:space="preserve">D-10780</t>
  </si>
  <si>
    <t xml:space="preserve">D-10781</t>
  </si>
  <si>
    <t xml:space="preserve">D-10782</t>
  </si>
  <si>
    <t xml:space="preserve">D-10783</t>
  </si>
  <si>
    <t xml:space="preserve">D-10784</t>
  </si>
  <si>
    <t xml:space="preserve">D-10785</t>
  </si>
  <si>
    <t xml:space="preserve">D-10786</t>
  </si>
  <si>
    <t xml:space="preserve">D-10787</t>
  </si>
  <si>
    <t xml:space="preserve">2025-01-09</t>
  </si>
  <si>
    <t xml:space="preserve">D-10788</t>
  </si>
  <si>
    <t xml:space="preserve">D-10789</t>
  </si>
  <si>
    <t xml:space="preserve">D-10790</t>
  </si>
  <si>
    <t xml:space="preserve">D-10791</t>
  </si>
  <si>
    <t xml:space="preserve">D-10792</t>
  </si>
  <si>
    <t xml:space="preserve">D-10793</t>
  </si>
  <si>
    <t xml:space="preserve">D-10794</t>
  </si>
  <si>
    <t xml:space="preserve">2025-07-23</t>
  </si>
  <si>
    <t xml:space="preserve">D-10795</t>
  </si>
  <si>
    <t xml:space="preserve">D-10796</t>
  </si>
  <si>
    <t xml:space="preserve">D-10797</t>
  </si>
  <si>
    <t xml:space="preserve">D-10798</t>
  </si>
  <si>
    <t xml:space="preserve">D-10799</t>
  </si>
  <si>
    <t xml:space="preserve">D-10800</t>
  </si>
  <si>
    <t xml:space="preserve">D-10801</t>
  </si>
  <si>
    <t xml:space="preserve">D-10802</t>
  </si>
  <si>
    <t xml:space="preserve">2025-01-06</t>
  </si>
  <si>
    <t xml:space="preserve">2025-01-25</t>
  </si>
  <si>
    <t xml:space="preserve">D-10803</t>
  </si>
  <si>
    <t xml:space="preserve">2025-07-06</t>
  </si>
  <si>
    <t xml:space="preserve">D-10804</t>
  </si>
  <si>
    <t xml:space="preserve">D-10805</t>
  </si>
  <si>
    <t xml:space="preserve">D-10806</t>
  </si>
  <si>
    <t xml:space="preserve">2026-05-19</t>
  </si>
  <si>
    <t xml:space="preserve">D-10807</t>
  </si>
  <si>
    <t xml:space="preserve">D-10808</t>
  </si>
  <si>
    <t xml:space="preserve">D-10809</t>
  </si>
  <si>
    <t xml:space="preserve">D-10810</t>
  </si>
  <si>
    <t xml:space="preserve">D-10811</t>
  </si>
  <si>
    <t xml:space="preserve">D-10812</t>
  </si>
  <si>
    <t xml:space="preserve">2026-05-07</t>
  </si>
  <si>
    <t xml:space="preserve">D-10813</t>
  </si>
  <si>
    <t xml:space="preserve">2025-08-05</t>
  </si>
  <si>
    <t xml:space="preserve">D-10814</t>
  </si>
  <si>
    <t xml:space="preserve">D-10815</t>
  </si>
  <si>
    <t xml:space="preserve">D-10816</t>
  </si>
  <si>
    <t xml:space="preserve">D-10817</t>
  </si>
  <si>
    <t xml:space="preserve">D-10818</t>
  </si>
  <si>
    <t xml:space="preserve">D-10819</t>
  </si>
  <si>
    <t xml:space="preserve">D-10820</t>
  </si>
  <si>
    <t xml:space="preserve">D-10821</t>
  </si>
  <si>
    <t xml:space="preserve">D-10822</t>
  </si>
  <si>
    <t xml:space="preserve">D-10823</t>
  </si>
  <si>
    <t xml:space="preserve">D-10824</t>
  </si>
  <si>
    <t xml:space="preserve">D-10825</t>
  </si>
  <si>
    <t xml:space="preserve">2025-01-22</t>
  </si>
  <si>
    <t xml:space="preserve">D-10826</t>
  </si>
  <si>
    <t xml:space="preserve">D-10827</t>
  </si>
  <si>
    <t xml:space="preserve">D-10828</t>
  </si>
  <si>
    <t xml:space="preserve">D-10829</t>
  </si>
  <si>
    <t xml:space="preserve">D-10830</t>
  </si>
  <si>
    <t xml:space="preserve">D-10831</t>
  </si>
  <si>
    <t xml:space="preserve">D-10832</t>
  </si>
  <si>
    <t xml:space="preserve">D-10833</t>
  </si>
  <si>
    <t xml:space="preserve">D-10834</t>
  </si>
  <si>
    <t xml:space="preserve">2025-07-16</t>
  </si>
  <si>
    <t xml:space="preserve">D-10835</t>
  </si>
  <si>
    <t xml:space="preserve">D-10836</t>
  </si>
  <si>
    <t xml:space="preserve">D-10837</t>
  </si>
  <si>
    <t xml:space="preserve">D-10838</t>
  </si>
  <si>
    <t xml:space="preserve">D-10839</t>
  </si>
  <si>
    <t xml:space="preserve">D-10840</t>
  </si>
  <si>
    <t xml:space="preserve">D-10841</t>
  </si>
  <si>
    <t xml:space="preserve">D-10842</t>
  </si>
  <si>
    <t xml:space="preserve">D-10843</t>
  </si>
  <si>
    <t xml:space="preserve">D-10844</t>
  </si>
  <si>
    <t xml:space="preserve">D-10845</t>
  </si>
  <si>
    <t xml:space="preserve">2025-09-22</t>
  </si>
  <si>
    <t xml:space="preserve">D-10846</t>
  </si>
  <si>
    <t xml:space="preserve">D-10847</t>
  </si>
  <si>
    <t xml:space="preserve">D-10848</t>
  </si>
  <si>
    <t xml:space="preserve">D-10849</t>
  </si>
  <si>
    <t xml:space="preserve">D-10850</t>
  </si>
  <si>
    <t xml:space="preserve">Source 2: Raw Competitor Pricing Feed (Unprocessed)</t>
  </si>
  <si>
    <t xml:space="preserve">List prices, ratings, and delivery times across 6 competitor brands and 6 product lines</t>
  </si>
  <si>
    <t xml:space="preserve">Competitor</t>
  </si>
  <si>
    <t xml:space="preserve">List Price (EUR)</t>
  </si>
  <si>
    <t xml:space="preserve">Online Rating (out of 5)</t>
  </si>
  <si>
    <t xml:space="preserve">Delivery Time (Days)</t>
  </si>
  <si>
    <t xml:space="preserve">Bosch/Siemens (Own)</t>
  </si>
  <si>
    <t xml:space="preserve">Miele</t>
  </si>
  <si>
    <t xml:space="preserve">AEG/Electrolux</t>
  </si>
  <si>
    <t xml:space="preserve">Philips</t>
  </si>
  <si>
    <t xml:space="preserve">Beko</t>
  </si>
  <si>
    <t xml:space="preserve">Samsung</t>
  </si>
  <si>
    <t xml:space="preserve">LG</t>
  </si>
  <si>
    <t xml:space="preserve">Data Cleaning &amp; Validation Log</t>
  </si>
  <si>
    <t xml:space="preserve">Documents the Transform step: every validation rule applied to CRM_Raw before it became CRM_Clean</t>
  </si>
  <si>
    <t xml:space="preserve">Rule #</t>
  </si>
  <si>
    <t xml:space="preserve">Issue Found</t>
  </si>
  <si>
    <t xml:space="preserve">Validation Rule Applied</t>
  </si>
  <si>
    <t xml:space="preserve">Records Affected</t>
  </si>
  <si>
    <t xml:space="preserve">Resolution</t>
  </si>
  <si>
    <t xml:space="preserve">Inconsistent region naming (e.g. 'FRANCE' vs 'France')</t>
  </si>
  <si>
    <t xml:space="preserve">Standardize text case using TRIM + PROPER-style matching against a master region list</t>
  </si>
  <si>
    <t xml:space="preserve">10 records</t>
  </si>
  <si>
    <t xml:space="preserve">Standardized to title case in CRM_Clean</t>
  </si>
  <si>
    <t xml:space="preserve">Missing Sales Rep value</t>
  </si>
  <si>
    <t xml:space="preserve">Flag any row where Sales Rep is blank; cannot be auto-filled (no reliable source), so flagged for manual follow-up</t>
  </si>
  <si>
    <t xml:space="preserve">29 records</t>
  </si>
  <si>
    <t xml:space="preserve">Labeled 'Unassigned' in CRM_Clean, excluded from rep-level leaderboards</t>
  </si>
  <si>
    <t xml:space="preserve">Blank Closed Date for open deals</t>
  </si>
  <si>
    <t xml:space="preserve">Expected for any deal not yet in Closed Won/Lost — validated this matches open pipeline stages, not a data error</t>
  </si>
  <si>
    <t xml:space="preserve">322 records</t>
  </si>
  <si>
    <t xml:space="preserve">Left blank intentionally; used to identify open pipeline</t>
  </si>
  <si>
    <t xml:space="preserve">Deal Value outliers</t>
  </si>
  <si>
    <t xml:space="preserve">Flagged any deal value &gt; 3x the product line's median price as a potential data entry error for review</t>
  </si>
  <si>
    <t xml:space="preserve">0 records flagged</t>
  </si>
  <si>
    <t xml:space="preserve">No action needed — all values within expected range</t>
  </si>
  <si>
    <t xml:space="preserve">Duplicate Deal IDs</t>
  </si>
  <si>
    <t xml:space="preserve">Checked for duplicate primary keys across the full export</t>
  </si>
  <si>
    <t xml:space="preserve">0 duplicates found</t>
  </si>
  <si>
    <t xml:space="preserve">No action needed</t>
  </si>
  <si>
    <t xml:space="preserve">Source of truth for region standardization (used by CRM_Clean formulas):</t>
  </si>
  <si>
    <t xml:space="preserve">Master Region List</t>
  </si>
  <si>
    <t xml:space="preserve">Cleaned CRM Dataset (Live Formulas — updates automatically if CRM_Raw changes)</t>
  </si>
  <si>
    <t xml:space="preserve">Region standardized, missing reps labeled, net deal value calculated after discount</t>
  </si>
  <si>
    <t xml:space="preserve">Region (Clean)</t>
  </si>
  <si>
    <t xml:space="preserve">Sales Rep (Clean)</t>
  </si>
  <si>
    <t xml:space="preserve">Net Deal Value (EUR)</t>
  </si>
  <si>
    <t xml:space="preserve">Is Closed Won</t>
  </si>
  <si>
    <t xml:space="preserve">Sales Pipeline &amp; Conversion Analysis</t>
  </si>
  <si>
    <t xml:space="preserve">All figures calculated live from CRM_Clean using SUMIFS / COUNTIFS / AVERAGEIFS</t>
  </si>
  <si>
    <t xml:space="preserve">1. Deal Funnel by Stage</t>
  </si>
  <si>
    <t xml:space="preserve"># Deals</t>
  </si>
  <si>
    <t xml:space="preserve">Total Value (EUR)</t>
  </si>
  <si>
    <t xml:space="preserve">% of Total Deals</t>
  </si>
  <si>
    <t xml:space="preserve">Total</t>
  </si>
  <si>
    <t xml:space="preserve">2. Win Rate &amp; Sales Cycle by Region</t>
  </si>
  <si>
    <t xml:space="preserve">Total Deals</t>
  </si>
  <si>
    <t xml:space="preserve">Win Rate %</t>
  </si>
  <si>
    <t xml:space="preserve">Avg Sales Cycle (Days, Closed only)</t>
  </si>
  <si>
    <t xml:space="preserve">Won Revenue (EUR)</t>
  </si>
  <si>
    <t xml:space="preserve">3. Performance by Product Line</t>
  </si>
  <si>
    <t xml:space="preserve">Avg Deal Size (EUR, Won)</t>
  </si>
  <si>
    <t xml:space="preserve">4. Performance by Lead Source</t>
  </si>
  <si>
    <t xml:space="preserve">Conversion Rate %</t>
  </si>
  <si>
    <t xml:space="preserve">5. Sales Rep Leaderboard</t>
  </si>
  <si>
    <t xml:space="preserve">Unassigned</t>
  </si>
  <si>
    <t xml:space="preserve">Competitive Pricing Benchmark</t>
  </si>
  <si>
    <t xml:space="preserve">Helper: Smart Ovens</t>
  </si>
  <si>
    <t xml:space="preserve">Helper: Coffee Systems</t>
  </si>
  <si>
    <t xml:space="preserve">Helper: Cordless Vacuums</t>
  </si>
  <si>
    <t xml:space="preserve">Helper: Dishwashers</t>
  </si>
  <si>
    <t xml:space="preserve">Helper: Washing Machines</t>
  </si>
  <si>
    <t xml:space="preserve">Helper: Small Kitchen Appliances</t>
  </si>
  <si>
    <t xml:space="preserve">Own (Bosch/Siemens) list price vs. 6 competitors per product line, pulled live from Pricing_Raw</t>
  </si>
  <si>
    <t xml:space="preserve">1. Price Positioning Summary by Product Line</t>
  </si>
  <si>
    <t xml:space="preserve">Own Price (EUR)</t>
  </si>
  <si>
    <t xml:space="preserve">Avg Competitor Price (EUR)</t>
  </si>
  <si>
    <t xml:space="preserve">Min Competitor Price (EUR)</t>
  </si>
  <si>
    <t xml:space="preserve">Max Competitor Price (EUR)</t>
  </si>
  <si>
    <t xml:space="preserve">Price Gap vs Avg (%)</t>
  </si>
  <si>
    <t xml:space="preserve">Positioning</t>
  </si>
  <si>
    <t xml:space="preserve">2. Full Competitor Detail (for chart reference)</t>
  </si>
  <si>
    <t xml:space="preserve">Rating (out of 5)</t>
  </si>
  <si>
    <t xml:space="preserve">Delivery (Days)</t>
  </si>
  <si>
    <t xml:space="preserve">D2C Sales Performance — Executive Dashboard</t>
  </si>
  <si>
    <t xml:space="preserve">Live view for management and sales leadership | Source: CRM_Clean, Competitor_Benchmark</t>
  </si>
  <si>
    <t xml:space="preserve">Total Pipeline Value</t>
  </si>
  <si>
    <t xml:space="preserve">Closed Won Revenue</t>
  </si>
  <si>
    <t xml:space="preserve">Overall Win Rate</t>
  </si>
  <si>
    <t xml:space="preserve">Avg Deal Size (Won)</t>
  </si>
  <si>
    <t xml:space="preserve">Pipeline by Stage</t>
  </si>
  <si>
    <t xml:space="preserve">Revenue Mix &amp; Pricing</t>
  </si>
  <si>
    <t xml:space="preserve">Lead Source Effectiveness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</si>
</sst>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%"/>
    <numFmt numFmtId="167" formatCode="General"/>
    <numFmt numFmtId="168" formatCode="#,##0"/>
    <numFmt numFmtId="169" formatCode="0.0%"/>
    <numFmt numFmtId="170" formatCode="0.0"/>
    <numFmt numFmtId="171" formatCode="#,##0&quot; EUR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AB4744"/>
      <rgbColor rgb="FFF9F9F9"/>
      <rgbColor rgb="FFD9E2F3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Deal Count &amp; Value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Pipeline_Analysis!C6</c:f>
              <c:strCache>
                <c:ptCount val="1"/>
                <c:pt idx="0">
                  <c:v># Deals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Pipeline_Analysis!$B$7:$B$11</c:f>
              <c:strCache>
                <c:ptCount val="5"/>
                <c:pt idx="0">
                  <c:v>Qualified</c:v>
                </c:pt>
                <c:pt idx="1">
                  <c:v>Proposal Sent</c:v>
                </c:pt>
                <c:pt idx="2">
                  <c:v>Negotiation</c:v>
                </c:pt>
                <c:pt idx="3">
                  <c:v>Closed Won</c:v>
                </c:pt>
                <c:pt idx="4">
                  <c:v>Closed Lost</c:v>
                </c:pt>
              </c:strCache>
            </c:strRef>
          </c:cat>
          <c:val>
            <c:numRef>
              <c:f>Pipeline_Analysis!$C$7:$C$11</c:f>
              <c:numCache>
                <c:formatCode>General</c:formatCode>
                <c:ptCount val="5"/>
                <c:pt idx="0">
                  <c:v>105</c:v>
                </c:pt>
                <c:pt idx="1">
                  <c:v>118</c:v>
                </c:pt>
                <c:pt idx="2">
                  <c:v>107</c:v>
                </c:pt>
                <c:pt idx="3">
                  <c:v>303</c:v>
                </c:pt>
                <c:pt idx="4">
                  <c:v>217</c:v>
                </c:pt>
              </c:numCache>
            </c:numRef>
          </c:val>
        </c:ser>
        <c:gapWidth val="150"/>
        <c:overlap val="0"/>
        <c:axId val="56406091"/>
        <c:axId val="20741053"/>
      </c:barChart>
      <c:catAx>
        <c:axId val="56406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41053"/>
        <c:crosses val="autoZero"/>
        <c:auto val="1"/>
        <c:lblAlgn val="ctr"/>
        <c:lblOffset val="100"/>
        <c:noMultiLvlLbl val="0"/>
      </c:catAx>
      <c:valAx>
        <c:axId val="20741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Deals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06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Pipeline_Analysis!F16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Pipeline_Analysis!$B$17:$B$23</c:f>
              <c:strCache>
                <c:ptCount val="7"/>
                <c:pt idx="0">
                  <c:v>DACH</c:v>
                </c:pt>
                <c:pt idx="1">
                  <c:v>UK &amp; Ireland</c:v>
                </c:pt>
                <c:pt idx="2">
                  <c:v>France</c:v>
                </c:pt>
                <c:pt idx="3">
                  <c:v>Benelux</c:v>
                </c:pt>
                <c:pt idx="4">
                  <c:v>Nordics</c:v>
                </c:pt>
                <c:pt idx="5">
                  <c:v>Southern Europe</c:v>
                </c:pt>
                <c:pt idx="6">
                  <c:v>North America</c:v>
                </c:pt>
              </c:strCache>
            </c:strRef>
          </c:cat>
          <c:val>
            <c:numRef>
              <c:f>Pipeline_Analysis!$F$17:$F$23</c:f>
              <c:numCache>
                <c:formatCode>0.0%</c:formatCode>
                <c:ptCount val="7"/>
                <c:pt idx="0">
                  <c:v>0.591549295774648</c:v>
                </c:pt>
                <c:pt idx="1">
                  <c:v>0.415384615384615</c:v>
                </c:pt>
                <c:pt idx="2">
                  <c:v>0.662337662337662</c:v>
                </c:pt>
                <c:pt idx="3">
                  <c:v>0.642857142857143</c:v>
                </c:pt>
                <c:pt idx="4">
                  <c:v>0.521739130434783</c:v>
                </c:pt>
                <c:pt idx="5">
                  <c:v>0.51685393258427</c:v>
                </c:pt>
                <c:pt idx="6">
                  <c:v>0.723076923076923</c:v>
                </c:pt>
              </c:numCache>
            </c:numRef>
          </c:val>
        </c:ser>
        <c:gapWidth val="150"/>
        <c:overlap val="0"/>
        <c:axId val="50068160"/>
        <c:axId val="41570527"/>
      </c:barChart>
      <c:catAx>
        <c:axId val="500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70527"/>
        <c:crosses val="autoZero"/>
        <c:auto val="1"/>
        <c:lblAlgn val="ctr"/>
        <c:lblOffset val="100"/>
        <c:noMultiLvlLbl val="0"/>
      </c:catAx>
      <c:valAx>
        <c:axId val="41570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68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Won Revenue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Pipeline_Analysis!F28</c:f>
              <c:strCache>
                <c:ptCount val="1"/>
                <c:pt idx="0">
                  <c:v>Won Revenue (EUR)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Pipeline_Analysis!$B$29:$B$34</c:f>
              <c:strCache>
                <c:ptCount val="6"/>
                <c:pt idx="0">
                  <c:v>Smart Ovens</c:v>
                </c:pt>
                <c:pt idx="1">
                  <c:v>Coffee Systems</c:v>
                </c:pt>
                <c:pt idx="2">
                  <c:v>Cordless Vacuums</c:v>
                </c:pt>
                <c:pt idx="3">
                  <c:v>Dishwashers</c:v>
                </c:pt>
                <c:pt idx="4">
                  <c:v>Washing Machines</c:v>
                </c:pt>
                <c:pt idx="5">
                  <c:v>Small Kitchen Appliances</c:v>
                </c:pt>
              </c:strCache>
            </c:strRef>
          </c:cat>
          <c:val>
            <c:numRef>
              <c:f>Pipeline_Analysis!$F$29:$F$34</c:f>
              <c:numCache>
                <c:formatCode>#,##0</c:formatCode>
                <c:ptCount val="6"/>
                <c:pt idx="0">
                  <c:v>60064.364</c:v>
                </c:pt>
                <c:pt idx="1">
                  <c:v>39451.22</c:v>
                </c:pt>
                <c:pt idx="2">
                  <c:v>27695.823</c:v>
                </c:pt>
                <c:pt idx="3">
                  <c:v>56315.3655</c:v>
                </c:pt>
                <c:pt idx="4">
                  <c:v>44683.3785</c:v>
                </c:pt>
                <c:pt idx="5">
                  <c:v>13950.8275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Own Price vs Avg Competitor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Competitor_Benchmark!C6</c:f>
              <c:strCache>
                <c:ptCount val="1"/>
                <c:pt idx="0">
                  <c:v>Own Price (EUR)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Competitor_Benchmark!$B$7:$B$12</c:f>
              <c:strCache>
                <c:ptCount val="6"/>
                <c:pt idx="0">
                  <c:v>Smart Ovens</c:v>
                </c:pt>
                <c:pt idx="1">
                  <c:v>Coffee Systems</c:v>
                </c:pt>
                <c:pt idx="2">
                  <c:v>Cordless Vacuums</c:v>
                </c:pt>
                <c:pt idx="3">
                  <c:v>Dishwashers</c:v>
                </c:pt>
                <c:pt idx="4">
                  <c:v>Washing Machines</c:v>
                </c:pt>
                <c:pt idx="5">
                  <c:v>Small Kitchen Appliances</c:v>
                </c:pt>
              </c:strCache>
            </c:strRef>
          </c:cat>
          <c:val>
            <c:numRef>
              <c:f>Competitor_Benchmark!$C$7:$C$12</c:f>
              <c:numCache>
                <c:formatCode>#,##0</c:formatCode>
                <c:ptCount val="6"/>
                <c:pt idx="0">
                  <c:v>899</c:v>
                </c:pt>
                <c:pt idx="1">
                  <c:v>549</c:v>
                </c:pt>
                <c:pt idx="2">
                  <c:v>379</c:v>
                </c:pt>
                <c:pt idx="3">
                  <c:v>749</c:v>
                </c:pt>
                <c:pt idx="4">
                  <c:v>699</c:v>
                </c:pt>
                <c:pt idx="5">
                  <c:v>129</c:v>
                </c:pt>
              </c:numCache>
            </c:numRef>
          </c:val>
        </c:ser>
        <c:ser>
          <c:idx val="1"/>
          <c:order val="1"/>
          <c:tx>
            <c:strRef>
              <c:f>Competitor_Benchmark!D6</c:f>
              <c:strCache>
                <c:ptCount val="1"/>
                <c:pt idx="0">
                  <c:v>Avg Competitor Price (EUR)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Competitor_Benchmark!$B$7:$B$12</c:f>
              <c:strCache>
                <c:ptCount val="6"/>
                <c:pt idx="0">
                  <c:v>Smart Ovens</c:v>
                </c:pt>
                <c:pt idx="1">
                  <c:v>Coffee Systems</c:v>
                </c:pt>
                <c:pt idx="2">
                  <c:v>Cordless Vacuums</c:v>
                </c:pt>
                <c:pt idx="3">
                  <c:v>Dishwashers</c:v>
                </c:pt>
                <c:pt idx="4">
                  <c:v>Washing Machines</c:v>
                </c:pt>
                <c:pt idx="5">
                  <c:v>Small Kitchen Appliances</c:v>
                </c:pt>
              </c:strCache>
            </c:strRef>
          </c:cat>
          <c:val>
            <c:numRef>
              <c:f>Competitor_Benchmark!$D$7:$D$12</c:f>
              <c:numCache>
                <c:formatCode>#,##0</c:formatCode>
                <c:ptCount val="6"/>
                <c:pt idx="0">
                  <c:v>982.366666666667</c:v>
                </c:pt>
                <c:pt idx="1">
                  <c:v>607.115</c:v>
                </c:pt>
                <c:pt idx="2">
                  <c:v>396.333333333333</c:v>
                </c:pt>
                <c:pt idx="3">
                  <c:v>753.055</c:v>
                </c:pt>
                <c:pt idx="4">
                  <c:v>716.63</c:v>
                </c:pt>
                <c:pt idx="5">
                  <c:v>137.226666666667</c:v>
                </c:pt>
              </c:numCache>
            </c:numRef>
          </c:val>
        </c:ser>
        <c:gapWidth val="150"/>
        <c:overlap val="0"/>
        <c:axId val="29397773"/>
        <c:axId val="5140134"/>
      </c:barChart>
      <c:catAx>
        <c:axId val="29397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0134"/>
        <c:crosses val="autoZero"/>
        <c:auto val="1"/>
        <c:lblAlgn val="ctr"/>
        <c:lblOffset val="100"/>
        <c:noMultiLvlLbl val="0"/>
      </c:catAx>
      <c:valAx>
        <c:axId val="5140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97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Lead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Pipeline_Analysis!E39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Pipeline_Analysis!$B$40:$B$46</c:f>
              <c:strCache>
                <c:ptCount val="7"/>
                <c:pt idx="0">
                  <c:v>Web-shop Organic</c:v>
                </c:pt>
                <c:pt idx="1">
                  <c:v>Paid Search</c:v>
                </c:pt>
                <c:pt idx="2">
                  <c:v>Social Media Ads</c:v>
                </c:pt>
                <c:pt idx="3">
                  <c:v>Affiliate Partner</c:v>
                </c:pt>
                <c:pt idx="4">
                  <c:v>Email Campaign</c:v>
                </c:pt>
                <c:pt idx="5">
                  <c:v>Retail Referral</c:v>
                </c:pt>
                <c:pt idx="6">
                  <c:v>Trade Show</c:v>
                </c:pt>
              </c:strCache>
            </c:strRef>
          </c:cat>
          <c:val>
            <c:numRef>
              <c:f>Pipeline_Analysis!$E$40:$E$46</c:f>
              <c:numCache>
                <c:formatCode>0.0%</c:formatCode>
                <c:ptCount val="7"/>
                <c:pt idx="0">
                  <c:v>0.367441860465116</c:v>
                </c:pt>
                <c:pt idx="1">
                  <c:v>0.39766081871345</c:v>
                </c:pt>
                <c:pt idx="2">
                  <c:v>0.326666666666667</c:v>
                </c:pt>
                <c:pt idx="3">
                  <c:v>0.339449541284404</c:v>
                </c:pt>
                <c:pt idx="4">
                  <c:v>0.3</c:v>
                </c:pt>
                <c:pt idx="5">
                  <c:v>0.363636363636364</c:v>
                </c:pt>
                <c:pt idx="6">
                  <c:v>0.378378378378378</c:v>
                </c:pt>
              </c:numCache>
            </c:numRef>
          </c:val>
        </c:ser>
        <c:gapWidth val="150"/>
        <c:overlap val="0"/>
        <c:axId val="98806853"/>
        <c:axId val="74900172"/>
      </c:barChart>
      <c:catAx>
        <c:axId val="988068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00172"/>
        <c:crosses val="autoZero"/>
        <c:auto val="1"/>
        <c:lblAlgn val="ctr"/>
        <c:lblOffset val="100"/>
        <c:noMultiLvlLbl val="0"/>
      </c:catAx>
      <c:valAx>
        <c:axId val="74900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068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131040</xdr:rowOff>
    </xdr:from>
    <xdr:to>
      <xdr:col>8</xdr:col>
      <xdr:colOff>332280</xdr:colOff>
      <xdr:row>23</xdr:row>
      <xdr:rowOff>153000</xdr:rowOff>
    </xdr:to>
    <xdr:graphicFrame>
      <xdr:nvGraphicFramePr>
        <xdr:cNvPr id="0" name="Chart 1"/>
        <xdr:cNvGraphicFramePr/>
      </xdr:nvGraphicFramePr>
      <xdr:xfrm>
        <a:off x="141120" y="1886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131040</xdr:rowOff>
    </xdr:from>
    <xdr:to>
      <xdr:col>14</xdr:col>
      <xdr:colOff>332280</xdr:colOff>
      <xdr:row>23</xdr:row>
      <xdr:rowOff>153000</xdr:rowOff>
    </xdr:to>
    <xdr:graphicFrame>
      <xdr:nvGraphicFramePr>
        <xdr:cNvPr id="1" name="Chart 2"/>
        <xdr:cNvGraphicFramePr/>
      </xdr:nvGraphicFramePr>
      <xdr:xfrm>
        <a:off x="4793040" y="1886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131040</xdr:rowOff>
    </xdr:from>
    <xdr:to>
      <xdr:col>7</xdr:col>
      <xdr:colOff>27720</xdr:colOff>
      <xdr:row>41</xdr:row>
      <xdr:rowOff>153000</xdr:rowOff>
    </xdr:to>
    <xdr:graphicFrame>
      <xdr:nvGraphicFramePr>
        <xdr:cNvPr id="2" name="Chart 3"/>
        <xdr:cNvGraphicFramePr/>
      </xdr:nvGraphicFramePr>
      <xdr:xfrm>
        <a:off x="141120" y="53150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131040</xdr:rowOff>
    </xdr:from>
    <xdr:to>
      <xdr:col>15</xdr:col>
      <xdr:colOff>81000</xdr:colOff>
      <xdr:row>41</xdr:row>
      <xdr:rowOff>153000</xdr:rowOff>
    </xdr:to>
    <xdr:graphicFrame>
      <xdr:nvGraphicFramePr>
        <xdr:cNvPr id="3" name="Chart 4"/>
        <xdr:cNvGraphicFramePr/>
      </xdr:nvGraphicFramePr>
      <xdr:xfrm>
        <a:off x="4793040" y="53150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131040</xdr:rowOff>
    </xdr:from>
    <xdr:to>
      <xdr:col>8</xdr:col>
      <xdr:colOff>332280</xdr:colOff>
      <xdr:row>61</xdr:row>
      <xdr:rowOff>132120</xdr:rowOff>
    </xdr:to>
    <xdr:graphicFrame>
      <xdr:nvGraphicFramePr>
        <xdr:cNvPr id="4" name="Chart 5"/>
        <xdr:cNvGraphicFramePr/>
      </xdr:nvGraphicFramePr>
      <xdr:xfrm>
        <a:off x="141120" y="8744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RMClean" displayName="CRMClean" ref="A4:M854" headerRowCount="1" totalsRowCount="0" totalsRowShown="0">
  <autoFilter ref="A4:M854"/>
  <tableColumns count="13">
    <tableColumn id="1" name="Deal ID"/>
    <tableColumn id="2" name="Created Date"/>
    <tableColumn id="3" name="Closed Date"/>
    <tableColumn id="4" name="Region (Clean)"/>
    <tableColumn id="5" name="Product Line"/>
    <tableColumn id="6" name="Lead Source"/>
    <tableColumn id="7" name="Sales Rep (Clean)"/>
    <tableColumn id="8" name="Stage"/>
    <tableColumn id="9" name="Deal Value (EUR)"/>
    <tableColumn id="10" name="Discount %"/>
    <tableColumn id="11" name="Net Deal Value (EUR)"/>
    <tableColumn id="12" name="Sales Cycle (Days)"/>
    <tableColumn id="13" name="Is Closed Won"/>
  </tableColumns>
</table>
</file>

<file path=xl/tables/table2.xml><?xml version="1.0" encoding="utf-8"?>
<table xmlns="http://schemas.openxmlformats.org/spreadsheetml/2006/main" id="2" name="CRMRaw" displayName="CRMRaw" ref="A4:K854" headerRowCount="1" totalsRowCount="0" totalsRowShown="0">
  <autoFilter ref="A4:K854"/>
  <tableColumns count="11">
    <tableColumn id="1" name="Deal ID"/>
    <tableColumn id="2" name="Created Date"/>
    <tableColumn id="3" name="Closed Date"/>
    <tableColumn id="4" name="Region"/>
    <tableColumn id="5" name="Product Line"/>
    <tableColumn id="6" name="Lead Source"/>
    <tableColumn id="7" name="Sales Rep"/>
    <tableColumn id="8" name="Stage"/>
    <tableColumn id="9" name="Deal Value (EUR)"/>
    <tableColumn id="10" name="Discount %"/>
    <tableColumn id="11" name="Sales Cycle (Days)"/>
  </tableColumns>
</table>
</file>

<file path=xl/tables/table3.xml><?xml version="1.0" encoding="utf-8"?>
<table xmlns="http://schemas.openxmlformats.org/spreadsheetml/2006/main" id="3" name="PricingRaw" displayName="PricingRaw" ref="A4:E46" headerRowCount="1" totalsRowCount="0" totalsRowShown="0">
  <autoFilter ref="A4:E46"/>
  <tableColumns count="5">
    <tableColumn id="1" name="Product Line"/>
    <tableColumn id="2" name="Competitor"/>
    <tableColumn id="3" name="List Price (EUR)"/>
    <tableColumn id="4" name="Online Rating (out of 5)"/>
    <tableColumn id="5" name="Delivery Time (Day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8" hidden="false" customHeight="tru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</row>
    <row r="7" customFormat="false" ht="7.5" hidden="false" customHeight="true" outlineLevel="0" collapsed="false">
      <c r="B7" s="4"/>
    </row>
    <row r="8" customFormat="false" ht="18" hidden="false" customHeight="true" outlineLevel="0" collapsed="false">
      <c r="B8" s="3" t="s">
        <v>4</v>
      </c>
    </row>
    <row r="9" customFormat="false" ht="30" hidden="false" customHeight="true" outlineLevel="0" collapsed="false">
      <c r="B9" s="4" t="s">
        <v>5</v>
      </c>
    </row>
    <row r="10" customFormat="false" ht="30" hidden="false" customHeight="true" outlineLevel="0" collapsed="false">
      <c r="B10" s="4" t="s">
        <v>6</v>
      </c>
    </row>
    <row r="11" customFormat="false" ht="30" hidden="false" customHeight="true" outlineLevel="0" collapsed="false">
      <c r="B11" s="4" t="s">
        <v>7</v>
      </c>
    </row>
    <row r="12" customFormat="false" ht="30" hidden="false" customHeight="true" outlineLevel="0" collapsed="false">
      <c r="B12" s="4" t="s">
        <v>8</v>
      </c>
    </row>
    <row r="13" customFormat="false" ht="30" hidden="false" customHeight="true" outlineLevel="0" collapsed="false">
      <c r="B13" s="4" t="s">
        <v>9</v>
      </c>
    </row>
    <row r="14" customFormat="false" ht="30" hidden="false" customHeight="true" outlineLevel="0" collapsed="false">
      <c r="B14" s="4" t="s">
        <v>10</v>
      </c>
    </row>
    <row r="15" customFormat="false" ht="30" hidden="false" customHeight="true" outlineLevel="0" collapsed="false">
      <c r="B15" s="4" t="s">
        <v>11</v>
      </c>
    </row>
    <row r="16" customFormat="false" ht="7.5" hidden="false" customHeight="true" outlineLevel="0" collapsed="false">
      <c r="B16" s="4"/>
    </row>
    <row r="17" customFormat="false" ht="18" hidden="false" customHeight="true" outlineLevel="0" collapsed="false">
      <c r="B17" s="3" t="s">
        <v>12</v>
      </c>
    </row>
    <row r="18" customFormat="false" ht="30" hidden="false" customHeight="true" outlineLevel="0" collapsed="false">
      <c r="B18" s="4" t="s">
        <v>13</v>
      </c>
    </row>
    <row r="19" customFormat="false" ht="7.5" hidden="false" customHeight="true" outlineLevel="0" collapsed="false">
      <c r="B19" s="4"/>
    </row>
    <row r="20" customFormat="false" ht="18" hidden="false" customHeight="true" outlineLevel="0" collapsed="false">
      <c r="B20" s="3" t="s">
        <v>14</v>
      </c>
    </row>
    <row r="21" customFormat="false" ht="30" hidden="false" customHeight="true" outlineLevel="0" collapsed="false">
      <c r="B2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K8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7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21"/>
  </cols>
  <sheetData>
    <row r="1" customFormat="false" ht="15" hidden="false" customHeight="false" outlineLevel="0" collapsed="false">
      <c r="A1" s="5" t="s">
        <v>16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17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35</v>
      </c>
      <c r="H5" s="0" t="s">
        <v>36</v>
      </c>
      <c r="I5" s="0" t="n">
        <v>948.63</v>
      </c>
      <c r="J5" s="0" t="n">
        <v>0.1</v>
      </c>
      <c r="K5" s="0" t="n">
        <v>19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39</v>
      </c>
      <c r="D6" s="0" t="s">
        <v>40</v>
      </c>
      <c r="E6" s="0" t="s">
        <v>33</v>
      </c>
      <c r="F6" s="0" t="s">
        <v>34</v>
      </c>
      <c r="G6" s="0" t="s">
        <v>41</v>
      </c>
      <c r="H6" s="0" t="s">
        <v>42</v>
      </c>
      <c r="I6" s="0" t="n">
        <v>769.64</v>
      </c>
      <c r="J6" s="0" t="n">
        <v>0.15</v>
      </c>
      <c r="K6" s="0" t="n">
        <v>7</v>
      </c>
    </row>
    <row r="7" customFormat="false" ht="15" hidden="false" customHeight="false" outlineLevel="0" collapsed="false">
      <c r="A7" s="0" t="s">
        <v>43</v>
      </c>
      <c r="B7" s="0" t="s">
        <v>44</v>
      </c>
      <c r="C7" s="0" t="s">
        <v>45</v>
      </c>
      <c r="D7" s="0" t="s">
        <v>32</v>
      </c>
      <c r="E7" s="0" t="s">
        <v>46</v>
      </c>
      <c r="F7" s="0" t="s">
        <v>47</v>
      </c>
      <c r="G7" s="0" t="s">
        <v>41</v>
      </c>
      <c r="H7" s="0" t="s">
        <v>42</v>
      </c>
      <c r="I7" s="0" t="n">
        <v>267.12</v>
      </c>
      <c r="J7" s="0" t="n">
        <v>0</v>
      </c>
      <c r="K7" s="0" t="n">
        <v>21</v>
      </c>
    </row>
    <row r="8" customFormat="false" ht="15" hidden="false" customHeight="false" outlineLevel="0" collapsed="false">
      <c r="A8" s="0" t="s">
        <v>48</v>
      </c>
      <c r="B8" s="0" t="s">
        <v>49</v>
      </c>
      <c r="C8" s="0" t="s">
        <v>50</v>
      </c>
      <c r="D8" s="0" t="s">
        <v>51</v>
      </c>
      <c r="E8" s="0" t="s">
        <v>52</v>
      </c>
      <c r="F8" s="0" t="s">
        <v>34</v>
      </c>
      <c r="G8" s="0" t="s">
        <v>53</v>
      </c>
      <c r="H8" s="0" t="s">
        <v>36</v>
      </c>
      <c r="I8" s="0" t="n">
        <v>478.86</v>
      </c>
      <c r="J8" s="0" t="n">
        <v>0.1</v>
      </c>
      <c r="K8" s="0" t="n">
        <v>20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51</v>
      </c>
      <c r="E9" s="0" t="s">
        <v>33</v>
      </c>
      <c r="F9" s="0" t="s">
        <v>57</v>
      </c>
      <c r="G9" s="0" t="s">
        <v>58</v>
      </c>
      <c r="H9" s="0" t="s">
        <v>36</v>
      </c>
      <c r="I9" s="0" t="n">
        <v>947.23</v>
      </c>
      <c r="J9" s="0" t="n">
        <v>0.1</v>
      </c>
      <c r="K9" s="0" t="n">
        <v>17</v>
      </c>
    </row>
    <row r="10" customFormat="false" ht="15" hidden="false" customHeight="false" outlineLevel="0" collapsed="false">
      <c r="A10" s="0" t="s">
        <v>59</v>
      </c>
      <c r="B10" s="0" t="s">
        <v>60</v>
      </c>
      <c r="D10" s="0" t="s">
        <v>61</v>
      </c>
      <c r="E10" s="0" t="s">
        <v>46</v>
      </c>
      <c r="F10" s="0" t="s">
        <v>34</v>
      </c>
      <c r="G10" s="0" t="s">
        <v>41</v>
      </c>
      <c r="H10" s="0" t="s">
        <v>62</v>
      </c>
      <c r="I10" s="0" t="n">
        <v>135.03</v>
      </c>
      <c r="J10" s="0" t="n">
        <v>0.05</v>
      </c>
    </row>
    <row r="11" customFormat="false" ht="15" hidden="false" customHeight="false" outlineLevel="0" collapsed="false">
      <c r="A11" s="0" t="s">
        <v>63</v>
      </c>
      <c r="B11" s="0" t="s">
        <v>64</v>
      </c>
      <c r="C11" s="0" t="s">
        <v>65</v>
      </c>
      <c r="D11" s="0" t="s">
        <v>51</v>
      </c>
      <c r="E11" s="0" t="s">
        <v>66</v>
      </c>
      <c r="F11" s="0" t="s">
        <v>57</v>
      </c>
      <c r="G11" s="0" t="s">
        <v>53</v>
      </c>
      <c r="H11" s="0" t="s">
        <v>36</v>
      </c>
      <c r="I11" s="0" t="n">
        <v>672.74</v>
      </c>
      <c r="J11" s="0" t="n">
        <v>0.15</v>
      </c>
      <c r="K11" s="0" t="n">
        <v>33</v>
      </c>
    </row>
    <row r="12" customFormat="false" ht="15" hidden="false" customHeight="false" outlineLevel="0" collapsed="false">
      <c r="A12" s="0" t="s">
        <v>67</v>
      </c>
      <c r="B12" s="0" t="s">
        <v>30</v>
      </c>
      <c r="C12" s="0" t="s">
        <v>68</v>
      </c>
      <c r="D12" s="0" t="s">
        <v>32</v>
      </c>
      <c r="E12" s="0" t="s">
        <v>46</v>
      </c>
      <c r="F12" s="0" t="s">
        <v>34</v>
      </c>
      <c r="G12" s="0" t="s">
        <v>69</v>
      </c>
      <c r="H12" s="0" t="s">
        <v>36</v>
      </c>
      <c r="I12" s="0" t="n">
        <v>385.92</v>
      </c>
      <c r="J12" s="0" t="n">
        <v>0</v>
      </c>
      <c r="K12" s="0" t="n">
        <v>3</v>
      </c>
    </row>
    <row r="13" customFormat="false" ht="15" hidden="false" customHeight="false" outlineLevel="0" collapsed="false">
      <c r="A13" s="0" t="s">
        <v>70</v>
      </c>
      <c r="B13" s="0" t="s">
        <v>71</v>
      </c>
      <c r="D13" s="0" t="s">
        <v>32</v>
      </c>
      <c r="E13" s="0" t="s">
        <v>72</v>
      </c>
      <c r="F13" s="0" t="s">
        <v>73</v>
      </c>
      <c r="G13" s="0" t="s">
        <v>74</v>
      </c>
      <c r="H13" s="0" t="s">
        <v>75</v>
      </c>
      <c r="I13" s="0" t="n">
        <v>784.65</v>
      </c>
      <c r="J13" s="0" t="n">
        <v>0</v>
      </c>
    </row>
    <row r="14" customFormat="false" ht="15" hidden="false" customHeight="false" outlineLevel="0" collapsed="false">
      <c r="A14" s="0" t="s">
        <v>76</v>
      </c>
      <c r="B14" s="0" t="s">
        <v>77</v>
      </c>
      <c r="D14" s="0" t="s">
        <v>78</v>
      </c>
      <c r="E14" s="0" t="s">
        <v>52</v>
      </c>
      <c r="F14" s="0" t="s">
        <v>79</v>
      </c>
      <c r="G14" s="0" t="s">
        <v>53</v>
      </c>
      <c r="H14" s="0" t="s">
        <v>80</v>
      </c>
      <c r="I14" s="0" t="n">
        <v>1033.21</v>
      </c>
      <c r="J14" s="0" t="n">
        <v>0</v>
      </c>
    </row>
    <row r="15" customFormat="false" ht="15" hidden="false" customHeight="false" outlineLevel="0" collapsed="false">
      <c r="A15" s="0" t="s">
        <v>81</v>
      </c>
      <c r="B15" s="0" t="s">
        <v>82</v>
      </c>
      <c r="D15" s="0" t="s">
        <v>51</v>
      </c>
      <c r="E15" s="0" t="s">
        <v>52</v>
      </c>
      <c r="F15" s="0" t="s">
        <v>34</v>
      </c>
      <c r="G15" s="0" t="s">
        <v>35</v>
      </c>
      <c r="H15" s="0" t="s">
        <v>62</v>
      </c>
      <c r="I15" s="0" t="n">
        <v>517.08</v>
      </c>
      <c r="J15" s="0" t="n">
        <v>0</v>
      </c>
    </row>
    <row r="16" customFormat="false" ht="15" hidden="false" customHeight="false" outlineLevel="0" collapsed="false">
      <c r="A16" s="0" t="s">
        <v>83</v>
      </c>
      <c r="B16" s="0" t="s">
        <v>84</v>
      </c>
      <c r="C16" s="0" t="s">
        <v>85</v>
      </c>
      <c r="D16" s="0" t="s">
        <v>86</v>
      </c>
      <c r="E16" s="0" t="s">
        <v>66</v>
      </c>
      <c r="F16" s="0" t="s">
        <v>34</v>
      </c>
      <c r="G16" s="0" t="s">
        <v>74</v>
      </c>
      <c r="H16" s="0" t="s">
        <v>36</v>
      </c>
      <c r="I16" s="0" t="n">
        <v>1328.42</v>
      </c>
      <c r="J16" s="0" t="n">
        <v>0.1</v>
      </c>
      <c r="K16" s="0" t="n">
        <v>39</v>
      </c>
    </row>
    <row r="17" customFormat="false" ht="15" hidden="false" customHeight="false" outlineLevel="0" collapsed="false">
      <c r="A17" s="0" t="s">
        <v>87</v>
      </c>
      <c r="B17" s="0" t="s">
        <v>88</v>
      </c>
      <c r="D17" s="0" t="s">
        <v>78</v>
      </c>
      <c r="E17" s="0" t="s">
        <v>66</v>
      </c>
      <c r="F17" s="0" t="s">
        <v>89</v>
      </c>
      <c r="H17" s="0" t="s">
        <v>62</v>
      </c>
      <c r="I17" s="0" t="n">
        <v>784.94</v>
      </c>
      <c r="J17" s="0" t="n">
        <v>0.15</v>
      </c>
    </row>
    <row r="18" customFormat="false" ht="15" hidden="false" customHeight="false" outlineLevel="0" collapsed="false">
      <c r="A18" s="0" t="s">
        <v>90</v>
      </c>
      <c r="B18" s="0" t="s">
        <v>91</v>
      </c>
      <c r="C18" s="0" t="s">
        <v>92</v>
      </c>
      <c r="D18" s="0" t="s">
        <v>32</v>
      </c>
      <c r="E18" s="0" t="s">
        <v>33</v>
      </c>
      <c r="F18" s="0" t="s">
        <v>57</v>
      </c>
      <c r="G18" s="0" t="s">
        <v>35</v>
      </c>
      <c r="H18" s="0" t="s">
        <v>36</v>
      </c>
      <c r="I18" s="0" t="n">
        <v>961.37</v>
      </c>
      <c r="J18" s="0" t="n">
        <v>0.1</v>
      </c>
      <c r="K18" s="0" t="n">
        <v>11</v>
      </c>
    </row>
    <row r="19" customFormat="false" ht="15" hidden="false" customHeight="false" outlineLevel="0" collapsed="false">
      <c r="A19" s="0" t="s">
        <v>93</v>
      </c>
      <c r="B19" s="0" t="s">
        <v>94</v>
      </c>
      <c r="D19" s="0" t="s">
        <v>95</v>
      </c>
      <c r="E19" s="0" t="s">
        <v>52</v>
      </c>
      <c r="F19" s="0" t="s">
        <v>47</v>
      </c>
      <c r="G19" s="0" t="s">
        <v>58</v>
      </c>
      <c r="H19" s="0" t="s">
        <v>75</v>
      </c>
      <c r="I19" s="0" t="n">
        <v>530.75</v>
      </c>
      <c r="J19" s="0" t="n">
        <v>0</v>
      </c>
    </row>
    <row r="20" customFormat="false" ht="15" hidden="false" customHeight="false" outlineLevel="0" collapsed="false">
      <c r="A20" s="0" t="s">
        <v>96</v>
      </c>
      <c r="B20" s="0" t="s">
        <v>97</v>
      </c>
      <c r="C20" s="0" t="s">
        <v>98</v>
      </c>
      <c r="D20" s="0" t="s">
        <v>51</v>
      </c>
      <c r="E20" s="0" t="s">
        <v>52</v>
      </c>
      <c r="F20" s="0" t="s">
        <v>47</v>
      </c>
      <c r="G20" s="0" t="s">
        <v>74</v>
      </c>
      <c r="H20" s="0" t="s">
        <v>42</v>
      </c>
      <c r="I20" s="0" t="n">
        <v>480.78</v>
      </c>
      <c r="J20" s="0" t="n">
        <v>0.2</v>
      </c>
      <c r="K20" s="0" t="n">
        <v>24</v>
      </c>
    </row>
    <row r="21" customFormat="false" ht="15" hidden="false" customHeight="false" outlineLevel="0" collapsed="false">
      <c r="A21" s="0" t="s">
        <v>99</v>
      </c>
      <c r="B21" s="0" t="s">
        <v>100</v>
      </c>
      <c r="C21" s="0" t="s">
        <v>101</v>
      </c>
      <c r="D21" s="0" t="s">
        <v>95</v>
      </c>
      <c r="E21" s="0" t="s">
        <v>72</v>
      </c>
      <c r="F21" s="0" t="s">
        <v>34</v>
      </c>
      <c r="G21" s="0" t="s">
        <v>41</v>
      </c>
      <c r="H21" s="0" t="s">
        <v>36</v>
      </c>
      <c r="I21" s="0" t="n">
        <v>388.45</v>
      </c>
      <c r="J21" s="0" t="n">
        <v>0</v>
      </c>
      <c r="K21" s="0" t="n">
        <v>17</v>
      </c>
    </row>
    <row r="22" customFormat="false" ht="15" hidden="false" customHeight="false" outlineLevel="0" collapsed="false">
      <c r="A22" s="0" t="s">
        <v>102</v>
      </c>
      <c r="B22" s="0" t="s">
        <v>103</v>
      </c>
      <c r="C22" s="0" t="s">
        <v>104</v>
      </c>
      <c r="D22" s="0" t="s">
        <v>32</v>
      </c>
      <c r="E22" s="0" t="s">
        <v>66</v>
      </c>
      <c r="F22" s="0" t="s">
        <v>79</v>
      </c>
      <c r="G22" s="0" t="s">
        <v>69</v>
      </c>
      <c r="H22" s="0" t="s">
        <v>42</v>
      </c>
      <c r="I22" s="0" t="n">
        <v>741.15</v>
      </c>
      <c r="J22" s="0" t="n">
        <v>0.1</v>
      </c>
      <c r="K22" s="0" t="n">
        <v>21</v>
      </c>
    </row>
    <row r="23" customFormat="false" ht="15" hidden="false" customHeight="false" outlineLevel="0" collapsed="false">
      <c r="A23" s="0" t="s">
        <v>105</v>
      </c>
      <c r="B23" s="0" t="s">
        <v>106</v>
      </c>
      <c r="D23" s="0" t="s">
        <v>95</v>
      </c>
      <c r="E23" s="0" t="s">
        <v>46</v>
      </c>
      <c r="F23" s="0" t="s">
        <v>57</v>
      </c>
      <c r="G23" s="0" t="s">
        <v>35</v>
      </c>
      <c r="H23" s="0" t="s">
        <v>62</v>
      </c>
      <c r="I23" s="0" t="n">
        <v>257.86</v>
      </c>
      <c r="J23" s="0" t="n">
        <v>0.1</v>
      </c>
    </row>
    <row r="24" customFormat="false" ht="15" hidden="false" customHeight="false" outlineLevel="0" collapsed="false">
      <c r="A24" s="0" t="s">
        <v>107</v>
      </c>
      <c r="B24" s="0" t="s">
        <v>108</v>
      </c>
      <c r="C24" s="0" t="s">
        <v>98</v>
      </c>
      <c r="D24" s="0" t="s">
        <v>40</v>
      </c>
      <c r="E24" s="0" t="s">
        <v>33</v>
      </c>
      <c r="F24" s="0" t="s">
        <v>34</v>
      </c>
      <c r="G24" s="0" t="s">
        <v>58</v>
      </c>
      <c r="H24" s="0" t="s">
        <v>36</v>
      </c>
      <c r="I24" s="0" t="n">
        <v>765.64</v>
      </c>
      <c r="J24" s="0" t="n">
        <v>0</v>
      </c>
      <c r="K24" s="0" t="n">
        <v>9</v>
      </c>
    </row>
    <row r="25" customFormat="false" ht="15" hidden="false" customHeight="false" outlineLevel="0" collapsed="false">
      <c r="A25" s="0" t="s">
        <v>109</v>
      </c>
      <c r="B25" s="0" t="s">
        <v>110</v>
      </c>
      <c r="C25" s="0" t="s">
        <v>111</v>
      </c>
      <c r="D25" s="0" t="s">
        <v>78</v>
      </c>
      <c r="E25" s="0" t="s">
        <v>33</v>
      </c>
      <c r="F25" s="0" t="s">
        <v>79</v>
      </c>
      <c r="G25" s="0" t="s">
        <v>58</v>
      </c>
      <c r="H25" s="0" t="s">
        <v>36</v>
      </c>
      <c r="I25" s="0" t="n">
        <v>2593.56</v>
      </c>
      <c r="J25" s="0" t="n">
        <v>0</v>
      </c>
      <c r="K25" s="0" t="n">
        <v>17</v>
      </c>
    </row>
    <row r="26" customFormat="false" ht="15" hidden="false" customHeight="false" outlineLevel="0" collapsed="false">
      <c r="A26" s="0" t="s">
        <v>112</v>
      </c>
      <c r="B26" s="0" t="s">
        <v>113</v>
      </c>
      <c r="D26" s="0" t="s">
        <v>32</v>
      </c>
      <c r="E26" s="0" t="s">
        <v>114</v>
      </c>
      <c r="F26" s="0" t="s">
        <v>47</v>
      </c>
      <c r="G26" s="0" t="s">
        <v>41</v>
      </c>
      <c r="H26" s="0" t="s">
        <v>75</v>
      </c>
      <c r="I26" s="0" t="n">
        <v>624.76</v>
      </c>
      <c r="J26" s="0" t="n">
        <v>0.15</v>
      </c>
    </row>
    <row r="27" customFormat="false" ht="15" hidden="false" customHeight="false" outlineLevel="0" collapsed="false">
      <c r="A27" s="0" t="s">
        <v>115</v>
      </c>
      <c r="B27" s="0" t="s">
        <v>116</v>
      </c>
      <c r="D27" s="0" t="s">
        <v>40</v>
      </c>
      <c r="E27" s="0" t="s">
        <v>72</v>
      </c>
      <c r="F27" s="0" t="s">
        <v>89</v>
      </c>
      <c r="G27" s="0" t="s">
        <v>117</v>
      </c>
      <c r="H27" s="0" t="s">
        <v>80</v>
      </c>
      <c r="I27" s="0" t="n">
        <v>407.94</v>
      </c>
      <c r="J27" s="0" t="n">
        <v>0</v>
      </c>
    </row>
    <row r="28" customFormat="false" ht="15" hidden="false" customHeight="false" outlineLevel="0" collapsed="false">
      <c r="A28" s="0" t="s">
        <v>118</v>
      </c>
      <c r="B28" s="0" t="s">
        <v>119</v>
      </c>
      <c r="C28" s="0" t="s">
        <v>120</v>
      </c>
      <c r="D28" s="0" t="s">
        <v>40</v>
      </c>
      <c r="E28" s="0" t="s">
        <v>46</v>
      </c>
      <c r="F28" s="0" t="s">
        <v>89</v>
      </c>
      <c r="G28" s="0" t="s">
        <v>58</v>
      </c>
      <c r="H28" s="0" t="s">
        <v>36</v>
      </c>
      <c r="I28" s="0" t="n">
        <v>230.19</v>
      </c>
      <c r="J28" s="0" t="n">
        <v>0</v>
      </c>
      <c r="K28" s="0" t="n">
        <v>16</v>
      </c>
    </row>
    <row r="29" customFormat="false" ht="15" hidden="false" customHeight="false" outlineLevel="0" collapsed="false">
      <c r="A29" s="0" t="s">
        <v>121</v>
      </c>
      <c r="B29" s="0" t="s">
        <v>122</v>
      </c>
      <c r="D29" s="0" t="s">
        <v>95</v>
      </c>
      <c r="E29" s="0" t="s">
        <v>33</v>
      </c>
      <c r="F29" s="0" t="s">
        <v>89</v>
      </c>
      <c r="G29" s="0" t="s">
        <v>58</v>
      </c>
      <c r="H29" s="0" t="s">
        <v>80</v>
      </c>
      <c r="I29" s="0" t="n">
        <v>875.93</v>
      </c>
      <c r="J29" s="0" t="n">
        <v>0</v>
      </c>
    </row>
    <row r="30" customFormat="false" ht="15" hidden="false" customHeight="false" outlineLevel="0" collapsed="false">
      <c r="A30" s="0" t="s">
        <v>123</v>
      </c>
      <c r="B30" s="0" t="s">
        <v>124</v>
      </c>
      <c r="C30" s="0" t="s">
        <v>125</v>
      </c>
      <c r="D30" s="0" t="s">
        <v>95</v>
      </c>
      <c r="E30" s="0" t="s">
        <v>52</v>
      </c>
      <c r="F30" s="0" t="s">
        <v>34</v>
      </c>
      <c r="G30" s="0" t="s">
        <v>117</v>
      </c>
      <c r="H30" s="0" t="s">
        <v>36</v>
      </c>
      <c r="I30" s="0" t="n">
        <v>517.29</v>
      </c>
      <c r="J30" s="0" t="n">
        <v>0</v>
      </c>
      <c r="K30" s="0" t="n">
        <v>19</v>
      </c>
    </row>
    <row r="31" customFormat="false" ht="15" hidden="false" customHeight="false" outlineLevel="0" collapsed="false">
      <c r="A31" s="0" t="s">
        <v>126</v>
      </c>
      <c r="B31" s="0" t="s">
        <v>127</v>
      </c>
      <c r="C31" s="0" t="s">
        <v>128</v>
      </c>
      <c r="D31" s="0" t="s">
        <v>40</v>
      </c>
      <c r="E31" s="0" t="s">
        <v>33</v>
      </c>
      <c r="F31" s="0" t="s">
        <v>129</v>
      </c>
      <c r="G31" s="0" t="s">
        <v>35</v>
      </c>
      <c r="H31" s="0" t="s">
        <v>36</v>
      </c>
      <c r="I31" s="0" t="n">
        <v>1852.25</v>
      </c>
      <c r="J31" s="0" t="n">
        <v>0</v>
      </c>
      <c r="K31" s="0" t="n">
        <v>16</v>
      </c>
    </row>
    <row r="32" customFormat="false" ht="15" hidden="false" customHeight="false" outlineLevel="0" collapsed="false">
      <c r="A32" s="0" t="s">
        <v>130</v>
      </c>
      <c r="B32" s="0" t="s">
        <v>131</v>
      </c>
      <c r="D32" s="0" t="s">
        <v>61</v>
      </c>
      <c r="E32" s="0" t="s">
        <v>72</v>
      </c>
      <c r="F32" s="0" t="s">
        <v>34</v>
      </c>
      <c r="G32" s="0" t="s">
        <v>74</v>
      </c>
      <c r="H32" s="0" t="s">
        <v>80</v>
      </c>
      <c r="I32" s="0" t="n">
        <v>981.4</v>
      </c>
      <c r="J32" s="0" t="n">
        <v>0.05</v>
      </c>
    </row>
    <row r="33" customFormat="false" ht="15" hidden="false" customHeight="false" outlineLevel="0" collapsed="false">
      <c r="A33" s="0" t="s">
        <v>132</v>
      </c>
      <c r="B33" s="0" t="s">
        <v>133</v>
      </c>
      <c r="C33" s="0" t="s">
        <v>134</v>
      </c>
      <c r="D33" s="0" t="s">
        <v>86</v>
      </c>
      <c r="E33" s="0" t="s">
        <v>114</v>
      </c>
      <c r="F33" s="0" t="s">
        <v>34</v>
      </c>
      <c r="G33" s="0" t="s">
        <v>58</v>
      </c>
      <c r="H33" s="0" t="s">
        <v>36</v>
      </c>
      <c r="I33" s="0" t="n">
        <v>605.08</v>
      </c>
      <c r="J33" s="0" t="n">
        <v>0.05</v>
      </c>
      <c r="K33" s="0" t="n">
        <v>7</v>
      </c>
    </row>
    <row r="34" customFormat="false" ht="15" hidden="false" customHeight="false" outlineLevel="0" collapsed="false">
      <c r="A34" s="0" t="s">
        <v>135</v>
      </c>
      <c r="B34" s="0" t="s">
        <v>136</v>
      </c>
      <c r="C34" s="0" t="s">
        <v>137</v>
      </c>
      <c r="D34" s="0" t="s">
        <v>78</v>
      </c>
      <c r="E34" s="0" t="s">
        <v>114</v>
      </c>
      <c r="F34" s="0" t="s">
        <v>34</v>
      </c>
      <c r="G34" s="0" t="s">
        <v>74</v>
      </c>
      <c r="H34" s="0" t="s">
        <v>42</v>
      </c>
      <c r="I34" s="0" t="n">
        <v>744.42</v>
      </c>
      <c r="J34" s="0" t="n">
        <v>0.15</v>
      </c>
      <c r="K34" s="0" t="n">
        <v>11</v>
      </c>
    </row>
    <row r="35" customFormat="false" ht="15" hidden="false" customHeight="false" outlineLevel="0" collapsed="false">
      <c r="A35" s="0" t="s">
        <v>138</v>
      </c>
      <c r="B35" s="0" t="s">
        <v>139</v>
      </c>
      <c r="D35" s="0" t="s">
        <v>32</v>
      </c>
      <c r="E35" s="0" t="s">
        <v>72</v>
      </c>
      <c r="F35" s="0" t="s">
        <v>34</v>
      </c>
      <c r="G35" s="0" t="s">
        <v>140</v>
      </c>
      <c r="H35" s="0" t="s">
        <v>80</v>
      </c>
      <c r="I35" s="0" t="n">
        <v>348.3</v>
      </c>
      <c r="J35" s="0" t="n">
        <v>0.2</v>
      </c>
    </row>
    <row r="36" customFormat="false" ht="15" hidden="false" customHeight="false" outlineLevel="0" collapsed="false">
      <c r="A36" s="0" t="s">
        <v>141</v>
      </c>
      <c r="B36" s="0" t="s">
        <v>142</v>
      </c>
      <c r="C36" s="0" t="s">
        <v>143</v>
      </c>
      <c r="D36" s="0" t="s">
        <v>78</v>
      </c>
      <c r="E36" s="0" t="s">
        <v>33</v>
      </c>
      <c r="F36" s="0" t="s">
        <v>47</v>
      </c>
      <c r="G36" s="0" t="s">
        <v>58</v>
      </c>
      <c r="H36" s="0" t="s">
        <v>42</v>
      </c>
      <c r="I36" s="0" t="n">
        <v>868.75</v>
      </c>
      <c r="J36" s="0" t="n">
        <v>0</v>
      </c>
      <c r="K36" s="0" t="n">
        <v>15</v>
      </c>
    </row>
    <row r="37" customFormat="false" ht="15" hidden="false" customHeight="false" outlineLevel="0" collapsed="false">
      <c r="A37" s="0" t="s">
        <v>144</v>
      </c>
      <c r="B37" s="0" t="s">
        <v>145</v>
      </c>
      <c r="D37" s="0" t="s">
        <v>78</v>
      </c>
      <c r="E37" s="0" t="s">
        <v>52</v>
      </c>
      <c r="F37" s="0" t="s">
        <v>89</v>
      </c>
      <c r="G37" s="0" t="s">
        <v>69</v>
      </c>
      <c r="H37" s="0" t="s">
        <v>75</v>
      </c>
      <c r="I37" s="0" t="n">
        <v>1666.46</v>
      </c>
      <c r="J37" s="0" t="n">
        <v>0.2</v>
      </c>
    </row>
    <row r="38" customFormat="false" ht="15" hidden="false" customHeight="false" outlineLevel="0" collapsed="false">
      <c r="A38" s="0" t="s">
        <v>146</v>
      </c>
      <c r="B38" s="0" t="s">
        <v>147</v>
      </c>
      <c r="D38" s="0" t="s">
        <v>32</v>
      </c>
      <c r="E38" s="0" t="s">
        <v>114</v>
      </c>
      <c r="F38" s="0" t="s">
        <v>34</v>
      </c>
      <c r="G38" s="0" t="s">
        <v>35</v>
      </c>
      <c r="H38" s="0" t="s">
        <v>62</v>
      </c>
      <c r="I38" s="0" t="n">
        <v>615.74</v>
      </c>
      <c r="J38" s="0" t="n">
        <v>0</v>
      </c>
    </row>
    <row r="39" customFormat="false" ht="15" hidden="false" customHeight="false" outlineLevel="0" collapsed="false">
      <c r="A39" s="0" t="s">
        <v>148</v>
      </c>
      <c r="B39" s="0" t="s">
        <v>149</v>
      </c>
      <c r="D39" s="0" t="s">
        <v>32</v>
      </c>
      <c r="E39" s="0" t="s">
        <v>114</v>
      </c>
      <c r="F39" s="0" t="s">
        <v>34</v>
      </c>
      <c r="G39" s="0" t="s">
        <v>35</v>
      </c>
      <c r="H39" s="0" t="s">
        <v>80</v>
      </c>
      <c r="I39" s="0" t="n">
        <v>626.88</v>
      </c>
      <c r="J39" s="0" t="n">
        <v>0.1</v>
      </c>
    </row>
    <row r="40" customFormat="false" ht="15" hidden="false" customHeight="false" outlineLevel="0" collapsed="false">
      <c r="A40" s="0" t="s">
        <v>150</v>
      </c>
      <c r="B40" s="0" t="s">
        <v>137</v>
      </c>
      <c r="D40" s="0" t="s">
        <v>40</v>
      </c>
      <c r="E40" s="0" t="s">
        <v>72</v>
      </c>
      <c r="F40" s="0" t="s">
        <v>79</v>
      </c>
      <c r="G40" s="0" t="s">
        <v>74</v>
      </c>
      <c r="H40" s="0" t="s">
        <v>80</v>
      </c>
      <c r="I40" s="0" t="n">
        <v>394.44</v>
      </c>
      <c r="J40" s="0" t="n">
        <v>0</v>
      </c>
    </row>
    <row r="41" customFormat="false" ht="15" hidden="false" customHeight="false" outlineLevel="0" collapsed="false">
      <c r="A41" s="0" t="s">
        <v>151</v>
      </c>
      <c r="B41" s="0" t="s">
        <v>152</v>
      </c>
      <c r="D41" s="0" t="s">
        <v>51</v>
      </c>
      <c r="E41" s="0" t="s">
        <v>52</v>
      </c>
      <c r="F41" s="0" t="s">
        <v>57</v>
      </c>
      <c r="G41" s="0" t="s">
        <v>35</v>
      </c>
      <c r="H41" s="0" t="s">
        <v>80</v>
      </c>
      <c r="I41" s="0" t="n">
        <v>1072.62</v>
      </c>
      <c r="J41" s="0" t="n">
        <v>0.1</v>
      </c>
    </row>
    <row r="42" customFormat="false" ht="15" hidden="false" customHeight="false" outlineLevel="0" collapsed="false">
      <c r="A42" s="0" t="s">
        <v>153</v>
      </c>
      <c r="B42" s="0" t="s">
        <v>154</v>
      </c>
      <c r="D42" s="0" t="s">
        <v>78</v>
      </c>
      <c r="E42" s="0" t="s">
        <v>33</v>
      </c>
      <c r="F42" s="0" t="s">
        <v>34</v>
      </c>
      <c r="G42" s="0" t="s">
        <v>69</v>
      </c>
      <c r="H42" s="0" t="s">
        <v>75</v>
      </c>
      <c r="I42" s="0" t="n">
        <v>884.6</v>
      </c>
      <c r="J42" s="0" t="n">
        <v>0.05</v>
      </c>
    </row>
    <row r="43" customFormat="false" ht="15" hidden="false" customHeight="false" outlineLevel="0" collapsed="false">
      <c r="A43" s="0" t="s">
        <v>155</v>
      </c>
      <c r="B43" s="0" t="s">
        <v>156</v>
      </c>
      <c r="C43" s="0" t="s">
        <v>55</v>
      </c>
      <c r="D43" s="0" t="s">
        <v>61</v>
      </c>
      <c r="E43" s="0" t="s">
        <v>33</v>
      </c>
      <c r="F43" s="0" t="s">
        <v>89</v>
      </c>
      <c r="G43" s="0" t="s">
        <v>74</v>
      </c>
      <c r="H43" s="0" t="s">
        <v>36</v>
      </c>
      <c r="I43" s="0" t="n">
        <v>1850.91</v>
      </c>
      <c r="J43" s="0" t="n">
        <v>0.1</v>
      </c>
      <c r="K43" s="0" t="n">
        <v>21</v>
      </c>
    </row>
    <row r="44" customFormat="false" ht="15" hidden="false" customHeight="false" outlineLevel="0" collapsed="false">
      <c r="A44" s="0" t="s">
        <v>157</v>
      </c>
      <c r="B44" s="0" t="s">
        <v>64</v>
      </c>
      <c r="D44" s="0" t="s">
        <v>32</v>
      </c>
      <c r="E44" s="0" t="s">
        <v>52</v>
      </c>
      <c r="F44" s="0" t="s">
        <v>79</v>
      </c>
      <c r="G44" s="0" t="s">
        <v>41</v>
      </c>
      <c r="H44" s="0" t="s">
        <v>62</v>
      </c>
      <c r="I44" s="0" t="n">
        <v>1138.05</v>
      </c>
      <c r="J44" s="0" t="n">
        <v>0</v>
      </c>
    </row>
    <row r="45" customFormat="false" ht="15" hidden="false" customHeight="false" outlineLevel="0" collapsed="false">
      <c r="A45" s="0" t="s">
        <v>158</v>
      </c>
      <c r="B45" s="0" t="s">
        <v>119</v>
      </c>
      <c r="C45" s="0" t="s">
        <v>159</v>
      </c>
      <c r="D45" s="0" t="s">
        <v>61</v>
      </c>
      <c r="E45" s="0" t="s">
        <v>46</v>
      </c>
      <c r="F45" s="0" t="s">
        <v>79</v>
      </c>
      <c r="G45" s="0" t="s">
        <v>140</v>
      </c>
      <c r="H45" s="0" t="s">
        <v>36</v>
      </c>
      <c r="I45" s="0" t="n">
        <v>133.01</v>
      </c>
      <c r="J45" s="0" t="n">
        <v>0.05</v>
      </c>
      <c r="K45" s="0" t="n">
        <v>25</v>
      </c>
    </row>
    <row r="46" customFormat="false" ht="15" hidden="false" customHeight="false" outlineLevel="0" collapsed="false">
      <c r="A46" s="0" t="s">
        <v>160</v>
      </c>
      <c r="B46" s="0" t="s">
        <v>161</v>
      </c>
      <c r="D46" s="0" t="s">
        <v>95</v>
      </c>
      <c r="E46" s="0" t="s">
        <v>33</v>
      </c>
      <c r="F46" s="0" t="s">
        <v>79</v>
      </c>
      <c r="G46" s="0" t="s">
        <v>41</v>
      </c>
      <c r="H46" s="0" t="s">
        <v>75</v>
      </c>
      <c r="I46" s="0" t="n">
        <v>859.33</v>
      </c>
      <c r="J46" s="0" t="n">
        <v>0.2</v>
      </c>
    </row>
    <row r="47" customFormat="false" ht="15" hidden="false" customHeight="false" outlineLevel="0" collapsed="false">
      <c r="A47" s="0" t="s">
        <v>162</v>
      </c>
      <c r="B47" s="0" t="s">
        <v>106</v>
      </c>
      <c r="C47" s="0" t="s">
        <v>163</v>
      </c>
      <c r="D47" s="0" t="s">
        <v>95</v>
      </c>
      <c r="E47" s="0" t="s">
        <v>52</v>
      </c>
      <c r="F47" s="0" t="s">
        <v>34</v>
      </c>
      <c r="G47" s="0" t="s">
        <v>41</v>
      </c>
      <c r="H47" s="0" t="s">
        <v>36</v>
      </c>
      <c r="I47" s="0" t="n">
        <v>1505.69</v>
      </c>
      <c r="J47" s="0" t="n">
        <v>0.05</v>
      </c>
      <c r="K47" s="0" t="n">
        <v>36</v>
      </c>
    </row>
    <row r="48" customFormat="false" ht="15" hidden="false" customHeight="false" outlineLevel="0" collapsed="false">
      <c r="A48" s="0" t="s">
        <v>164</v>
      </c>
      <c r="B48" s="0" t="s">
        <v>165</v>
      </c>
      <c r="D48" s="0" t="s">
        <v>32</v>
      </c>
      <c r="E48" s="0" t="s">
        <v>114</v>
      </c>
      <c r="F48" s="0" t="s">
        <v>89</v>
      </c>
      <c r="G48" s="0" t="s">
        <v>74</v>
      </c>
      <c r="H48" s="0" t="s">
        <v>75</v>
      </c>
      <c r="I48" s="0" t="n">
        <v>1908.44</v>
      </c>
      <c r="J48" s="0" t="n">
        <v>0</v>
      </c>
    </row>
    <row r="49" customFormat="false" ht="15" hidden="false" customHeight="false" outlineLevel="0" collapsed="false">
      <c r="A49" s="0" t="s">
        <v>166</v>
      </c>
      <c r="B49" s="0" t="s">
        <v>167</v>
      </c>
      <c r="C49" s="0" t="s">
        <v>168</v>
      </c>
      <c r="D49" s="0" t="s">
        <v>78</v>
      </c>
      <c r="E49" s="0" t="s">
        <v>33</v>
      </c>
      <c r="F49" s="0" t="s">
        <v>47</v>
      </c>
      <c r="G49" s="0" t="s">
        <v>53</v>
      </c>
      <c r="H49" s="0" t="s">
        <v>42</v>
      </c>
      <c r="I49" s="0" t="n">
        <v>967.66</v>
      </c>
      <c r="J49" s="0" t="n">
        <v>0.05</v>
      </c>
      <c r="K49" s="0" t="n">
        <v>3</v>
      </c>
    </row>
    <row r="50" customFormat="false" ht="15" hidden="false" customHeight="false" outlineLevel="0" collapsed="false">
      <c r="A50" s="0" t="s">
        <v>169</v>
      </c>
      <c r="B50" s="0" t="s">
        <v>170</v>
      </c>
      <c r="C50" s="0" t="s">
        <v>171</v>
      </c>
      <c r="D50" s="0" t="s">
        <v>86</v>
      </c>
      <c r="E50" s="0" t="s">
        <v>52</v>
      </c>
      <c r="F50" s="0" t="s">
        <v>89</v>
      </c>
      <c r="G50" s="0" t="s">
        <v>140</v>
      </c>
      <c r="H50" s="0" t="s">
        <v>42</v>
      </c>
      <c r="I50" s="0" t="n">
        <v>585.38</v>
      </c>
      <c r="J50" s="0" t="n">
        <v>0</v>
      </c>
      <c r="K50" s="0" t="n">
        <v>25</v>
      </c>
    </row>
    <row r="51" customFormat="false" ht="15" hidden="false" customHeight="false" outlineLevel="0" collapsed="false">
      <c r="A51" s="0" t="s">
        <v>172</v>
      </c>
      <c r="B51" s="0" t="s">
        <v>167</v>
      </c>
      <c r="D51" s="0" t="s">
        <v>40</v>
      </c>
      <c r="E51" s="0" t="s">
        <v>33</v>
      </c>
      <c r="F51" s="0" t="s">
        <v>79</v>
      </c>
      <c r="G51" s="0" t="s">
        <v>53</v>
      </c>
      <c r="H51" s="0" t="s">
        <v>80</v>
      </c>
      <c r="I51" s="0" t="n">
        <v>789.92</v>
      </c>
      <c r="J51" s="0" t="n">
        <v>0.1</v>
      </c>
    </row>
    <row r="52" customFormat="false" ht="15" hidden="false" customHeight="false" outlineLevel="0" collapsed="false">
      <c r="A52" s="0" t="s">
        <v>173</v>
      </c>
      <c r="B52" s="0" t="s">
        <v>174</v>
      </c>
      <c r="C52" s="0" t="s">
        <v>175</v>
      </c>
      <c r="D52" s="0" t="s">
        <v>51</v>
      </c>
      <c r="E52" s="0" t="s">
        <v>46</v>
      </c>
      <c r="F52" s="0" t="s">
        <v>89</v>
      </c>
      <c r="G52" s="0" t="s">
        <v>140</v>
      </c>
      <c r="H52" s="0" t="s">
        <v>42</v>
      </c>
      <c r="I52" s="0" t="n">
        <v>230.68</v>
      </c>
      <c r="J52" s="0" t="n">
        <v>0.15</v>
      </c>
      <c r="K52" s="0" t="n">
        <v>8</v>
      </c>
    </row>
    <row r="53" customFormat="false" ht="15" hidden="false" customHeight="false" outlineLevel="0" collapsed="false">
      <c r="A53" s="0" t="s">
        <v>176</v>
      </c>
      <c r="B53" s="0" t="s">
        <v>177</v>
      </c>
      <c r="C53" s="0" t="s">
        <v>178</v>
      </c>
      <c r="D53" s="0" t="s">
        <v>32</v>
      </c>
      <c r="E53" s="0" t="s">
        <v>52</v>
      </c>
      <c r="F53" s="0" t="s">
        <v>47</v>
      </c>
      <c r="G53" s="0" t="s">
        <v>35</v>
      </c>
      <c r="H53" s="0" t="s">
        <v>42</v>
      </c>
      <c r="I53" s="0" t="n">
        <v>1562.8</v>
      </c>
      <c r="J53" s="0" t="n">
        <v>0.1</v>
      </c>
      <c r="K53" s="0" t="n">
        <v>28</v>
      </c>
    </row>
    <row r="54" customFormat="false" ht="15" hidden="false" customHeight="false" outlineLevel="0" collapsed="false">
      <c r="A54" s="0" t="s">
        <v>179</v>
      </c>
      <c r="B54" s="0" t="s">
        <v>180</v>
      </c>
      <c r="C54" s="0" t="s">
        <v>181</v>
      </c>
      <c r="D54" s="0" t="s">
        <v>32</v>
      </c>
      <c r="E54" s="0" t="s">
        <v>72</v>
      </c>
      <c r="F54" s="0" t="s">
        <v>47</v>
      </c>
      <c r="G54" s="0" t="s">
        <v>117</v>
      </c>
      <c r="H54" s="0" t="s">
        <v>42</v>
      </c>
      <c r="I54" s="0" t="n">
        <v>391.34</v>
      </c>
      <c r="J54" s="0" t="n">
        <v>0.15</v>
      </c>
      <c r="K54" s="0" t="n">
        <v>21</v>
      </c>
    </row>
    <row r="55" customFormat="false" ht="15" hidden="false" customHeight="false" outlineLevel="0" collapsed="false">
      <c r="A55" s="0" t="s">
        <v>182</v>
      </c>
      <c r="B55" s="0" t="s">
        <v>183</v>
      </c>
      <c r="D55" s="0" t="s">
        <v>78</v>
      </c>
      <c r="E55" s="0" t="s">
        <v>72</v>
      </c>
      <c r="F55" s="0" t="s">
        <v>47</v>
      </c>
      <c r="G55" s="0" t="s">
        <v>53</v>
      </c>
      <c r="H55" s="0" t="s">
        <v>75</v>
      </c>
      <c r="I55" s="0" t="n">
        <v>387.63</v>
      </c>
      <c r="J55" s="0" t="n">
        <v>0</v>
      </c>
    </row>
    <row r="56" customFormat="false" ht="15" hidden="false" customHeight="false" outlineLevel="0" collapsed="false">
      <c r="A56" s="0" t="s">
        <v>184</v>
      </c>
      <c r="B56" s="0" t="s">
        <v>30</v>
      </c>
      <c r="D56" s="0" t="s">
        <v>95</v>
      </c>
      <c r="E56" s="0" t="s">
        <v>52</v>
      </c>
      <c r="F56" s="0" t="s">
        <v>34</v>
      </c>
      <c r="G56" s="0" t="s">
        <v>74</v>
      </c>
      <c r="H56" s="0" t="s">
        <v>62</v>
      </c>
      <c r="I56" s="0" t="n">
        <v>543.84</v>
      </c>
      <c r="J56" s="0" t="n">
        <v>0.05</v>
      </c>
    </row>
    <row r="57" customFormat="false" ht="15" hidden="false" customHeight="false" outlineLevel="0" collapsed="false">
      <c r="A57" s="0" t="s">
        <v>185</v>
      </c>
      <c r="B57" s="0" t="s">
        <v>186</v>
      </c>
      <c r="C57" s="0" t="s">
        <v>187</v>
      </c>
      <c r="D57" s="0" t="s">
        <v>40</v>
      </c>
      <c r="E57" s="0" t="s">
        <v>46</v>
      </c>
      <c r="F57" s="0" t="s">
        <v>47</v>
      </c>
      <c r="G57" s="0" t="s">
        <v>140</v>
      </c>
      <c r="H57" s="0" t="s">
        <v>42</v>
      </c>
      <c r="I57" s="0" t="n">
        <v>136.14</v>
      </c>
      <c r="J57" s="0" t="n">
        <v>0.2</v>
      </c>
      <c r="K57" s="0" t="n">
        <v>29</v>
      </c>
    </row>
    <row r="58" customFormat="false" ht="15" hidden="false" customHeight="false" outlineLevel="0" collapsed="false">
      <c r="A58" s="0" t="s">
        <v>188</v>
      </c>
      <c r="B58" s="0" t="s">
        <v>122</v>
      </c>
      <c r="C58" s="0" t="s">
        <v>189</v>
      </c>
      <c r="D58" s="0" t="s">
        <v>40</v>
      </c>
      <c r="E58" s="0" t="s">
        <v>52</v>
      </c>
      <c r="F58" s="0" t="s">
        <v>34</v>
      </c>
      <c r="G58" s="0" t="s">
        <v>117</v>
      </c>
      <c r="H58" s="0" t="s">
        <v>42</v>
      </c>
      <c r="I58" s="0" t="n">
        <v>582.5</v>
      </c>
      <c r="J58" s="0" t="n">
        <v>0.05</v>
      </c>
      <c r="K58" s="0" t="n">
        <v>31</v>
      </c>
    </row>
    <row r="59" customFormat="false" ht="15" hidden="false" customHeight="false" outlineLevel="0" collapsed="false">
      <c r="A59" s="0" t="s">
        <v>190</v>
      </c>
      <c r="B59" s="0" t="s">
        <v>191</v>
      </c>
      <c r="C59" s="0" t="s">
        <v>192</v>
      </c>
      <c r="D59" s="0" t="s">
        <v>61</v>
      </c>
      <c r="E59" s="0" t="s">
        <v>66</v>
      </c>
      <c r="F59" s="0" t="s">
        <v>57</v>
      </c>
      <c r="G59" s="0" t="s">
        <v>53</v>
      </c>
      <c r="H59" s="0" t="s">
        <v>42</v>
      </c>
      <c r="I59" s="0" t="n">
        <v>2339.2</v>
      </c>
      <c r="J59" s="0" t="n">
        <v>0.05</v>
      </c>
      <c r="K59" s="0" t="n">
        <v>18</v>
      </c>
    </row>
    <row r="60" customFormat="false" ht="15" hidden="false" customHeight="false" outlineLevel="0" collapsed="false">
      <c r="A60" s="0" t="s">
        <v>193</v>
      </c>
      <c r="B60" s="0" t="s">
        <v>194</v>
      </c>
      <c r="D60" s="0" t="s">
        <v>61</v>
      </c>
      <c r="E60" s="0" t="s">
        <v>46</v>
      </c>
      <c r="F60" s="0" t="s">
        <v>79</v>
      </c>
      <c r="G60" s="0" t="s">
        <v>117</v>
      </c>
      <c r="H60" s="0" t="s">
        <v>75</v>
      </c>
      <c r="I60" s="0" t="n">
        <v>134.57</v>
      </c>
      <c r="J60" s="0" t="n">
        <v>0.2</v>
      </c>
    </row>
    <row r="61" customFormat="false" ht="15" hidden="false" customHeight="false" outlineLevel="0" collapsed="false">
      <c r="A61" s="0" t="s">
        <v>195</v>
      </c>
      <c r="B61" s="0" t="s">
        <v>196</v>
      </c>
      <c r="C61" s="0" t="s">
        <v>197</v>
      </c>
      <c r="D61" s="0" t="s">
        <v>95</v>
      </c>
      <c r="E61" s="0" t="s">
        <v>114</v>
      </c>
      <c r="F61" s="0" t="s">
        <v>47</v>
      </c>
      <c r="G61" s="0" t="s">
        <v>41</v>
      </c>
      <c r="H61" s="0" t="s">
        <v>42</v>
      </c>
      <c r="I61" s="0" t="n">
        <v>708.87</v>
      </c>
      <c r="J61" s="0" t="n">
        <v>0</v>
      </c>
      <c r="K61" s="0" t="n">
        <v>10</v>
      </c>
    </row>
    <row r="62" customFormat="false" ht="15" hidden="false" customHeight="false" outlineLevel="0" collapsed="false">
      <c r="A62" s="0" t="s">
        <v>198</v>
      </c>
      <c r="B62" s="0" t="s">
        <v>199</v>
      </c>
      <c r="C62" s="0" t="s">
        <v>200</v>
      </c>
      <c r="D62" s="0" t="s">
        <v>51</v>
      </c>
      <c r="E62" s="0" t="s">
        <v>72</v>
      </c>
      <c r="F62" s="0" t="s">
        <v>79</v>
      </c>
      <c r="G62" s="0" t="s">
        <v>58</v>
      </c>
      <c r="H62" s="0" t="s">
        <v>36</v>
      </c>
      <c r="I62" s="0" t="n">
        <v>681.6</v>
      </c>
      <c r="J62" s="0" t="n">
        <v>0.05</v>
      </c>
      <c r="K62" s="0" t="n">
        <v>17</v>
      </c>
    </row>
    <row r="63" customFormat="false" ht="15" hidden="false" customHeight="false" outlineLevel="0" collapsed="false">
      <c r="A63" s="0" t="s">
        <v>201</v>
      </c>
      <c r="B63" s="0" t="s">
        <v>202</v>
      </c>
      <c r="D63" s="0" t="s">
        <v>51</v>
      </c>
      <c r="E63" s="0" t="s">
        <v>114</v>
      </c>
      <c r="F63" s="0" t="s">
        <v>47</v>
      </c>
      <c r="G63" s="0" t="s">
        <v>74</v>
      </c>
      <c r="H63" s="0" t="s">
        <v>75</v>
      </c>
      <c r="I63" s="0" t="n">
        <v>1970.3</v>
      </c>
      <c r="J63" s="0" t="n">
        <v>0.15</v>
      </c>
    </row>
    <row r="64" customFormat="false" ht="15" hidden="false" customHeight="false" outlineLevel="0" collapsed="false">
      <c r="A64" s="0" t="s">
        <v>203</v>
      </c>
      <c r="B64" s="0" t="s">
        <v>204</v>
      </c>
      <c r="C64" s="0" t="s">
        <v>205</v>
      </c>
      <c r="D64" s="0" t="s">
        <v>78</v>
      </c>
      <c r="E64" s="0" t="s">
        <v>114</v>
      </c>
      <c r="F64" s="0" t="s">
        <v>89</v>
      </c>
      <c r="G64" s="0" t="s">
        <v>74</v>
      </c>
      <c r="H64" s="0" t="s">
        <v>36</v>
      </c>
      <c r="I64" s="0" t="n">
        <v>1313.7</v>
      </c>
      <c r="J64" s="0" t="n">
        <v>0.1</v>
      </c>
      <c r="K64" s="0" t="n">
        <v>24</v>
      </c>
    </row>
    <row r="65" customFormat="false" ht="15" hidden="false" customHeight="false" outlineLevel="0" collapsed="false">
      <c r="A65" s="0" t="s">
        <v>206</v>
      </c>
      <c r="B65" s="0" t="s">
        <v>207</v>
      </c>
      <c r="C65" s="0" t="s">
        <v>187</v>
      </c>
      <c r="D65" s="0" t="s">
        <v>32</v>
      </c>
      <c r="E65" s="0" t="s">
        <v>46</v>
      </c>
      <c r="F65" s="0" t="s">
        <v>47</v>
      </c>
      <c r="G65" s="0" t="s">
        <v>41</v>
      </c>
      <c r="H65" s="0" t="s">
        <v>36</v>
      </c>
      <c r="I65" s="0" t="n">
        <v>239.25</v>
      </c>
      <c r="J65" s="0" t="n">
        <v>0.15</v>
      </c>
      <c r="K65" s="0" t="n">
        <v>18</v>
      </c>
    </row>
    <row r="66" customFormat="false" ht="15" hidden="false" customHeight="false" outlineLevel="0" collapsed="false">
      <c r="A66" s="0" t="s">
        <v>208</v>
      </c>
      <c r="B66" s="0" t="s">
        <v>209</v>
      </c>
      <c r="C66" s="0" t="s">
        <v>210</v>
      </c>
      <c r="D66" s="0" t="s">
        <v>61</v>
      </c>
      <c r="E66" s="0" t="s">
        <v>66</v>
      </c>
      <c r="F66" s="0" t="s">
        <v>79</v>
      </c>
      <c r="G66" s="0" t="s">
        <v>74</v>
      </c>
      <c r="H66" s="0" t="s">
        <v>42</v>
      </c>
      <c r="I66" s="0" t="n">
        <v>750.86</v>
      </c>
      <c r="J66" s="0" t="n">
        <v>0.15</v>
      </c>
      <c r="K66" s="0" t="n">
        <v>21</v>
      </c>
    </row>
    <row r="67" customFormat="false" ht="15" hidden="false" customHeight="false" outlineLevel="0" collapsed="false">
      <c r="A67" s="0" t="s">
        <v>211</v>
      </c>
      <c r="B67" s="0" t="s">
        <v>122</v>
      </c>
      <c r="C67" s="0" t="s">
        <v>212</v>
      </c>
      <c r="D67" s="0" t="s">
        <v>40</v>
      </c>
      <c r="E67" s="0" t="s">
        <v>52</v>
      </c>
      <c r="F67" s="0" t="s">
        <v>79</v>
      </c>
      <c r="G67" s="0" t="s">
        <v>69</v>
      </c>
      <c r="H67" s="0" t="s">
        <v>36</v>
      </c>
      <c r="I67" s="0" t="n">
        <v>1018.53</v>
      </c>
      <c r="J67" s="0" t="n">
        <v>0</v>
      </c>
      <c r="K67" s="0" t="n">
        <v>16</v>
      </c>
    </row>
    <row r="68" customFormat="false" ht="15" hidden="false" customHeight="false" outlineLevel="0" collapsed="false">
      <c r="A68" s="0" t="s">
        <v>213</v>
      </c>
      <c r="B68" s="0" t="s">
        <v>128</v>
      </c>
      <c r="C68" s="0" t="s">
        <v>214</v>
      </c>
      <c r="D68" s="0" t="s">
        <v>95</v>
      </c>
      <c r="E68" s="0" t="s">
        <v>66</v>
      </c>
      <c r="F68" s="0" t="s">
        <v>89</v>
      </c>
      <c r="G68" s="0" t="s">
        <v>58</v>
      </c>
      <c r="H68" s="0" t="s">
        <v>36</v>
      </c>
      <c r="I68" s="0" t="n">
        <v>729.58</v>
      </c>
      <c r="J68" s="0" t="n">
        <v>0</v>
      </c>
      <c r="K68" s="0" t="n">
        <v>29</v>
      </c>
    </row>
    <row r="69" customFormat="false" ht="15" hidden="false" customHeight="false" outlineLevel="0" collapsed="false">
      <c r="A69" s="0" t="s">
        <v>215</v>
      </c>
      <c r="B69" s="0" t="s">
        <v>216</v>
      </c>
      <c r="D69" s="0" t="s">
        <v>32</v>
      </c>
      <c r="E69" s="0" t="s">
        <v>33</v>
      </c>
      <c r="F69" s="0" t="s">
        <v>73</v>
      </c>
      <c r="G69" s="0" t="s">
        <v>74</v>
      </c>
      <c r="H69" s="0" t="s">
        <v>62</v>
      </c>
      <c r="I69" s="0" t="n">
        <v>805.37</v>
      </c>
      <c r="J69" s="0" t="n">
        <v>0.1</v>
      </c>
    </row>
    <row r="70" customFormat="false" ht="15" hidden="false" customHeight="false" outlineLevel="0" collapsed="false">
      <c r="A70" s="0" t="s">
        <v>217</v>
      </c>
      <c r="B70" s="0" t="s">
        <v>218</v>
      </c>
      <c r="C70" s="0" t="s">
        <v>110</v>
      </c>
      <c r="D70" s="0" t="s">
        <v>61</v>
      </c>
      <c r="E70" s="0" t="s">
        <v>52</v>
      </c>
      <c r="F70" s="0" t="s">
        <v>34</v>
      </c>
      <c r="G70" s="0" t="s">
        <v>58</v>
      </c>
      <c r="H70" s="0" t="s">
        <v>42</v>
      </c>
      <c r="I70" s="0" t="n">
        <v>543.16</v>
      </c>
      <c r="J70" s="0" t="n">
        <v>0.2</v>
      </c>
      <c r="K70" s="0" t="n">
        <v>20</v>
      </c>
    </row>
    <row r="71" customFormat="false" ht="15" hidden="false" customHeight="false" outlineLevel="0" collapsed="false">
      <c r="A71" s="0" t="s">
        <v>219</v>
      </c>
      <c r="B71" s="0" t="s">
        <v>171</v>
      </c>
      <c r="D71" s="0" t="s">
        <v>95</v>
      </c>
      <c r="E71" s="0" t="s">
        <v>52</v>
      </c>
      <c r="F71" s="0" t="s">
        <v>129</v>
      </c>
      <c r="G71" s="0" t="s">
        <v>58</v>
      </c>
      <c r="H71" s="0" t="s">
        <v>62</v>
      </c>
      <c r="I71" s="0" t="n">
        <v>1078.71</v>
      </c>
      <c r="J71" s="0" t="n">
        <v>0.05</v>
      </c>
    </row>
    <row r="72" customFormat="false" ht="15" hidden="false" customHeight="false" outlineLevel="0" collapsed="false">
      <c r="A72" s="0" t="s">
        <v>220</v>
      </c>
      <c r="B72" s="0" t="s">
        <v>49</v>
      </c>
      <c r="D72" s="0" t="s">
        <v>32</v>
      </c>
      <c r="E72" s="0" t="s">
        <v>52</v>
      </c>
      <c r="F72" s="0" t="s">
        <v>34</v>
      </c>
      <c r="G72" s="0" t="s">
        <v>41</v>
      </c>
      <c r="H72" s="0" t="s">
        <v>80</v>
      </c>
      <c r="I72" s="0" t="n">
        <v>1514.19</v>
      </c>
      <c r="J72" s="0" t="n">
        <v>0.2</v>
      </c>
    </row>
    <row r="73" customFormat="false" ht="15" hidden="false" customHeight="false" outlineLevel="0" collapsed="false">
      <c r="A73" s="0" t="s">
        <v>221</v>
      </c>
      <c r="B73" s="0" t="s">
        <v>82</v>
      </c>
      <c r="D73" s="0" t="s">
        <v>78</v>
      </c>
      <c r="E73" s="0" t="s">
        <v>114</v>
      </c>
      <c r="F73" s="0" t="s">
        <v>73</v>
      </c>
      <c r="G73" s="0" t="s">
        <v>53</v>
      </c>
      <c r="H73" s="0" t="s">
        <v>80</v>
      </c>
      <c r="I73" s="0" t="n">
        <v>605.24</v>
      </c>
      <c r="J73" s="0" t="n">
        <v>0</v>
      </c>
    </row>
    <row r="74" customFormat="false" ht="15" hidden="false" customHeight="false" outlineLevel="0" collapsed="false">
      <c r="A74" s="0" t="s">
        <v>222</v>
      </c>
      <c r="B74" s="0" t="s">
        <v>178</v>
      </c>
      <c r="D74" s="0" t="s">
        <v>95</v>
      </c>
      <c r="E74" s="0" t="s">
        <v>66</v>
      </c>
      <c r="F74" s="0" t="s">
        <v>73</v>
      </c>
      <c r="G74" s="0" t="s">
        <v>58</v>
      </c>
      <c r="H74" s="0" t="s">
        <v>62</v>
      </c>
      <c r="I74" s="0" t="n">
        <v>1492.28</v>
      </c>
      <c r="J74" s="0" t="n">
        <v>0.15</v>
      </c>
    </row>
    <row r="75" customFormat="false" ht="15" hidden="false" customHeight="false" outlineLevel="0" collapsed="false">
      <c r="A75" s="0" t="s">
        <v>223</v>
      </c>
      <c r="B75" s="0" t="s">
        <v>224</v>
      </c>
      <c r="C75" s="0" t="s">
        <v>187</v>
      </c>
      <c r="D75" s="0" t="s">
        <v>61</v>
      </c>
      <c r="E75" s="0" t="s">
        <v>66</v>
      </c>
      <c r="F75" s="0" t="s">
        <v>34</v>
      </c>
      <c r="G75" s="0" t="s">
        <v>35</v>
      </c>
      <c r="H75" s="0" t="s">
        <v>42</v>
      </c>
      <c r="I75" s="0" t="n">
        <v>2336.7</v>
      </c>
      <c r="J75" s="0" t="n">
        <v>0</v>
      </c>
      <c r="K75" s="0" t="n">
        <v>29</v>
      </c>
    </row>
    <row r="76" customFormat="false" ht="15" hidden="false" customHeight="false" outlineLevel="0" collapsed="false">
      <c r="A76" s="0" t="s">
        <v>225</v>
      </c>
      <c r="B76" s="0" t="s">
        <v>226</v>
      </c>
      <c r="D76" s="0" t="s">
        <v>51</v>
      </c>
      <c r="E76" s="0" t="s">
        <v>52</v>
      </c>
      <c r="F76" s="0" t="s">
        <v>73</v>
      </c>
      <c r="G76" s="0" t="s">
        <v>58</v>
      </c>
      <c r="H76" s="0" t="s">
        <v>62</v>
      </c>
      <c r="I76" s="0" t="n">
        <v>994.89</v>
      </c>
      <c r="J76" s="0" t="n">
        <v>0.1</v>
      </c>
    </row>
    <row r="77" customFormat="false" ht="15" hidden="false" customHeight="false" outlineLevel="0" collapsed="false">
      <c r="A77" s="0" t="s">
        <v>227</v>
      </c>
      <c r="B77" s="0" t="s">
        <v>186</v>
      </c>
      <c r="D77" s="0" t="s">
        <v>86</v>
      </c>
      <c r="E77" s="0" t="s">
        <v>46</v>
      </c>
      <c r="F77" s="0" t="s">
        <v>89</v>
      </c>
      <c r="G77" s="0" t="s">
        <v>74</v>
      </c>
      <c r="H77" s="0" t="s">
        <v>75</v>
      </c>
      <c r="I77" s="0" t="n">
        <v>115.05</v>
      </c>
      <c r="J77" s="0" t="n">
        <v>0</v>
      </c>
    </row>
    <row r="78" customFormat="false" ht="15" hidden="false" customHeight="false" outlineLevel="0" collapsed="false">
      <c r="A78" s="0" t="s">
        <v>228</v>
      </c>
      <c r="B78" s="0" t="s">
        <v>229</v>
      </c>
      <c r="C78" s="0" t="s">
        <v>230</v>
      </c>
      <c r="D78" s="0" t="s">
        <v>95</v>
      </c>
      <c r="E78" s="0" t="s">
        <v>72</v>
      </c>
      <c r="F78" s="0" t="s">
        <v>89</v>
      </c>
      <c r="G78" s="0" t="s">
        <v>35</v>
      </c>
      <c r="H78" s="0" t="s">
        <v>42</v>
      </c>
      <c r="I78" s="0" t="n">
        <v>1072.74</v>
      </c>
      <c r="J78" s="0" t="n">
        <v>0.2</v>
      </c>
      <c r="K78" s="0" t="n">
        <v>23</v>
      </c>
    </row>
    <row r="79" customFormat="false" ht="15" hidden="false" customHeight="false" outlineLevel="0" collapsed="false">
      <c r="A79" s="0" t="s">
        <v>231</v>
      </c>
      <c r="B79" s="0" t="s">
        <v>232</v>
      </c>
      <c r="D79" s="0" t="s">
        <v>61</v>
      </c>
      <c r="E79" s="0" t="s">
        <v>46</v>
      </c>
      <c r="F79" s="0" t="s">
        <v>47</v>
      </c>
      <c r="G79" s="0" t="s">
        <v>117</v>
      </c>
      <c r="H79" s="0" t="s">
        <v>75</v>
      </c>
      <c r="I79" s="0" t="n">
        <v>112.41</v>
      </c>
      <c r="J79" s="0" t="n">
        <v>0.05</v>
      </c>
    </row>
    <row r="80" customFormat="false" ht="15" hidden="false" customHeight="false" outlineLevel="0" collapsed="false">
      <c r="A80" s="0" t="s">
        <v>233</v>
      </c>
      <c r="B80" s="0" t="s">
        <v>113</v>
      </c>
      <c r="C80" s="0" t="s">
        <v>125</v>
      </c>
      <c r="D80" s="0" t="s">
        <v>32</v>
      </c>
      <c r="E80" s="0" t="s">
        <v>52</v>
      </c>
      <c r="F80" s="0" t="s">
        <v>89</v>
      </c>
      <c r="G80" s="0" t="s">
        <v>53</v>
      </c>
      <c r="H80" s="0" t="s">
        <v>42</v>
      </c>
      <c r="I80" s="0" t="n">
        <v>1530.17</v>
      </c>
      <c r="J80" s="0" t="n">
        <v>0</v>
      </c>
      <c r="K80" s="0" t="n">
        <v>27</v>
      </c>
    </row>
    <row r="81" customFormat="false" ht="15" hidden="false" customHeight="false" outlineLevel="0" collapsed="false">
      <c r="A81" s="0" t="s">
        <v>234</v>
      </c>
      <c r="B81" s="0" t="s">
        <v>88</v>
      </c>
      <c r="C81" s="0" t="s">
        <v>235</v>
      </c>
      <c r="D81" s="0" t="s">
        <v>51</v>
      </c>
      <c r="E81" s="0" t="s">
        <v>46</v>
      </c>
      <c r="F81" s="0" t="s">
        <v>47</v>
      </c>
      <c r="G81" s="0" t="s">
        <v>35</v>
      </c>
      <c r="H81" s="0" t="s">
        <v>36</v>
      </c>
      <c r="I81" s="0" t="n">
        <v>131.69</v>
      </c>
      <c r="J81" s="0" t="n">
        <v>0</v>
      </c>
      <c r="K81" s="0" t="n">
        <v>19</v>
      </c>
    </row>
    <row r="82" customFormat="false" ht="15" hidden="false" customHeight="false" outlineLevel="0" collapsed="false">
      <c r="A82" s="0" t="s">
        <v>236</v>
      </c>
      <c r="B82" s="0" t="s">
        <v>237</v>
      </c>
      <c r="D82" s="0" t="s">
        <v>61</v>
      </c>
      <c r="E82" s="0" t="s">
        <v>46</v>
      </c>
      <c r="F82" s="0" t="s">
        <v>47</v>
      </c>
      <c r="G82" s="0" t="s">
        <v>35</v>
      </c>
      <c r="H82" s="0" t="s">
        <v>75</v>
      </c>
      <c r="I82" s="0" t="n">
        <v>118.44</v>
      </c>
      <c r="J82" s="0" t="n">
        <v>0</v>
      </c>
    </row>
    <row r="83" customFormat="false" ht="15" hidden="false" customHeight="false" outlineLevel="0" collapsed="false">
      <c r="A83" s="0" t="s">
        <v>238</v>
      </c>
      <c r="B83" s="0" t="s">
        <v>239</v>
      </c>
      <c r="C83" s="0" t="s">
        <v>240</v>
      </c>
      <c r="D83" s="0" t="s">
        <v>51</v>
      </c>
      <c r="E83" s="0" t="s">
        <v>33</v>
      </c>
      <c r="F83" s="0" t="s">
        <v>57</v>
      </c>
      <c r="G83" s="0" t="s">
        <v>69</v>
      </c>
      <c r="H83" s="0" t="s">
        <v>36</v>
      </c>
      <c r="I83" s="0" t="n">
        <v>775.42</v>
      </c>
      <c r="J83" s="0" t="n">
        <v>0.15</v>
      </c>
      <c r="K83" s="0" t="n">
        <v>13</v>
      </c>
    </row>
    <row r="84" customFormat="false" ht="15" hidden="false" customHeight="false" outlineLevel="0" collapsed="false">
      <c r="A84" s="0" t="s">
        <v>241</v>
      </c>
      <c r="B84" s="0" t="s">
        <v>242</v>
      </c>
      <c r="D84" s="0" t="s">
        <v>61</v>
      </c>
      <c r="E84" s="0" t="s">
        <v>46</v>
      </c>
      <c r="F84" s="0" t="s">
        <v>79</v>
      </c>
      <c r="G84" s="0" t="s">
        <v>117</v>
      </c>
      <c r="H84" s="0" t="s">
        <v>75</v>
      </c>
      <c r="I84" s="0" t="n">
        <v>253.36</v>
      </c>
      <c r="J84" s="0" t="n">
        <v>0.05</v>
      </c>
    </row>
    <row r="85" customFormat="false" ht="15" hidden="false" customHeight="false" outlineLevel="0" collapsed="false">
      <c r="A85" s="0" t="s">
        <v>243</v>
      </c>
      <c r="B85" s="0" t="s">
        <v>244</v>
      </c>
      <c r="D85" s="0" t="s">
        <v>40</v>
      </c>
      <c r="E85" s="0" t="s">
        <v>72</v>
      </c>
      <c r="F85" s="0" t="s">
        <v>34</v>
      </c>
      <c r="G85" s="0" t="s">
        <v>74</v>
      </c>
      <c r="H85" s="0" t="s">
        <v>62</v>
      </c>
      <c r="I85" s="0" t="n">
        <v>363.79</v>
      </c>
      <c r="J85" s="0" t="n">
        <v>0.05</v>
      </c>
    </row>
    <row r="86" customFormat="false" ht="15" hidden="false" customHeight="false" outlineLevel="0" collapsed="false">
      <c r="A86" s="0" t="s">
        <v>245</v>
      </c>
      <c r="B86" s="0" t="s">
        <v>246</v>
      </c>
      <c r="C86" s="0" t="s">
        <v>247</v>
      </c>
      <c r="D86" s="0" t="s">
        <v>248</v>
      </c>
      <c r="E86" s="0" t="s">
        <v>33</v>
      </c>
      <c r="F86" s="0" t="s">
        <v>47</v>
      </c>
      <c r="G86" s="0" t="s">
        <v>74</v>
      </c>
      <c r="H86" s="0" t="s">
        <v>36</v>
      </c>
      <c r="I86" s="0" t="n">
        <v>969.66</v>
      </c>
      <c r="J86" s="0" t="n">
        <v>0.1</v>
      </c>
      <c r="K86" s="0" t="n">
        <v>13</v>
      </c>
    </row>
    <row r="87" customFormat="false" ht="15" hidden="false" customHeight="false" outlineLevel="0" collapsed="false">
      <c r="A87" s="0" t="s">
        <v>249</v>
      </c>
      <c r="B87" s="0" t="s">
        <v>250</v>
      </c>
      <c r="C87" s="0" t="s">
        <v>251</v>
      </c>
      <c r="D87" s="0" t="s">
        <v>95</v>
      </c>
      <c r="E87" s="0" t="s">
        <v>66</v>
      </c>
      <c r="F87" s="0" t="s">
        <v>47</v>
      </c>
      <c r="G87" s="0" t="s">
        <v>41</v>
      </c>
      <c r="H87" s="0" t="s">
        <v>42</v>
      </c>
      <c r="I87" s="0" t="n">
        <v>2138.75</v>
      </c>
      <c r="J87" s="0" t="n">
        <v>0.05</v>
      </c>
      <c r="K87" s="0" t="n">
        <v>18</v>
      </c>
    </row>
    <row r="88" customFormat="false" ht="15" hidden="false" customHeight="false" outlineLevel="0" collapsed="false">
      <c r="A88" s="0" t="s">
        <v>252</v>
      </c>
      <c r="B88" s="0" t="s">
        <v>253</v>
      </c>
      <c r="C88" s="0" t="s">
        <v>254</v>
      </c>
      <c r="D88" s="0" t="s">
        <v>51</v>
      </c>
      <c r="E88" s="0" t="s">
        <v>114</v>
      </c>
      <c r="F88" s="0" t="s">
        <v>47</v>
      </c>
      <c r="G88" s="0" t="s">
        <v>58</v>
      </c>
      <c r="H88" s="0" t="s">
        <v>42</v>
      </c>
      <c r="I88" s="0" t="n">
        <v>1898.14</v>
      </c>
      <c r="J88" s="0" t="n">
        <v>0</v>
      </c>
      <c r="K88" s="0" t="n">
        <v>20</v>
      </c>
    </row>
    <row r="89" customFormat="false" ht="15" hidden="false" customHeight="false" outlineLevel="0" collapsed="false">
      <c r="A89" s="0" t="s">
        <v>255</v>
      </c>
      <c r="B89" s="0" t="s">
        <v>256</v>
      </c>
      <c r="C89" s="0" t="s">
        <v>257</v>
      </c>
      <c r="D89" s="0" t="s">
        <v>61</v>
      </c>
      <c r="E89" s="0" t="s">
        <v>33</v>
      </c>
      <c r="F89" s="0" t="s">
        <v>89</v>
      </c>
      <c r="G89" s="0" t="s">
        <v>117</v>
      </c>
      <c r="H89" s="0" t="s">
        <v>36</v>
      </c>
      <c r="I89" s="0" t="n">
        <v>823.72</v>
      </c>
      <c r="J89" s="0" t="n">
        <v>0.15</v>
      </c>
      <c r="K89" s="0" t="n">
        <v>24</v>
      </c>
    </row>
    <row r="90" customFormat="false" ht="15" hidden="false" customHeight="false" outlineLevel="0" collapsed="false">
      <c r="A90" s="0" t="s">
        <v>258</v>
      </c>
      <c r="B90" s="0" t="s">
        <v>120</v>
      </c>
      <c r="D90" s="0" t="s">
        <v>95</v>
      </c>
      <c r="E90" s="0" t="s">
        <v>66</v>
      </c>
      <c r="F90" s="0" t="s">
        <v>34</v>
      </c>
      <c r="G90" s="0" t="s">
        <v>41</v>
      </c>
      <c r="H90" s="0" t="s">
        <v>75</v>
      </c>
      <c r="I90" s="0" t="n">
        <v>744.33</v>
      </c>
      <c r="J90" s="0" t="n">
        <v>0.05</v>
      </c>
    </row>
    <row r="91" customFormat="false" ht="15" hidden="false" customHeight="false" outlineLevel="0" collapsed="false">
      <c r="A91" s="0" t="s">
        <v>259</v>
      </c>
      <c r="B91" s="0" t="s">
        <v>260</v>
      </c>
      <c r="D91" s="0" t="s">
        <v>78</v>
      </c>
      <c r="E91" s="0" t="s">
        <v>114</v>
      </c>
      <c r="F91" s="0" t="s">
        <v>34</v>
      </c>
      <c r="G91" s="0" t="s">
        <v>69</v>
      </c>
      <c r="H91" s="0" t="s">
        <v>75</v>
      </c>
      <c r="I91" s="0" t="n">
        <v>605.63</v>
      </c>
      <c r="J91" s="0" t="n">
        <v>0.2</v>
      </c>
    </row>
    <row r="92" customFormat="false" ht="15" hidden="false" customHeight="false" outlineLevel="0" collapsed="false">
      <c r="A92" s="0" t="s">
        <v>261</v>
      </c>
      <c r="B92" s="0" t="s">
        <v>262</v>
      </c>
      <c r="C92" s="0" t="s">
        <v>263</v>
      </c>
      <c r="D92" s="0" t="s">
        <v>51</v>
      </c>
      <c r="E92" s="0" t="s">
        <v>114</v>
      </c>
      <c r="F92" s="0" t="s">
        <v>57</v>
      </c>
      <c r="H92" s="0" t="s">
        <v>36</v>
      </c>
      <c r="I92" s="0" t="n">
        <v>2237.11</v>
      </c>
      <c r="J92" s="0" t="n">
        <v>0.1</v>
      </c>
      <c r="K92" s="0" t="n">
        <v>15</v>
      </c>
    </row>
    <row r="93" customFormat="false" ht="15" hidden="false" customHeight="false" outlineLevel="0" collapsed="false">
      <c r="A93" s="0" t="s">
        <v>264</v>
      </c>
      <c r="B93" s="0" t="s">
        <v>265</v>
      </c>
      <c r="D93" s="0" t="s">
        <v>40</v>
      </c>
      <c r="E93" s="0" t="s">
        <v>66</v>
      </c>
      <c r="F93" s="0" t="s">
        <v>34</v>
      </c>
      <c r="G93" s="0" t="s">
        <v>74</v>
      </c>
      <c r="H93" s="0" t="s">
        <v>80</v>
      </c>
      <c r="I93" s="0" t="n">
        <v>740.65</v>
      </c>
      <c r="J93" s="0" t="n">
        <v>0</v>
      </c>
    </row>
    <row r="94" customFormat="false" ht="15" hidden="false" customHeight="false" outlineLevel="0" collapsed="false">
      <c r="A94" s="0" t="s">
        <v>266</v>
      </c>
      <c r="B94" s="0" t="s">
        <v>267</v>
      </c>
      <c r="C94" s="0" t="s">
        <v>268</v>
      </c>
      <c r="D94" s="0" t="s">
        <v>61</v>
      </c>
      <c r="E94" s="0" t="s">
        <v>46</v>
      </c>
      <c r="F94" s="0" t="s">
        <v>73</v>
      </c>
      <c r="G94" s="0" t="s">
        <v>74</v>
      </c>
      <c r="H94" s="0" t="s">
        <v>42</v>
      </c>
      <c r="I94" s="0" t="n">
        <v>132.29</v>
      </c>
      <c r="J94" s="0" t="n">
        <v>0.05</v>
      </c>
      <c r="K94" s="0" t="n">
        <v>8</v>
      </c>
    </row>
    <row r="95" customFormat="false" ht="15" hidden="false" customHeight="false" outlineLevel="0" collapsed="false">
      <c r="A95" s="0" t="s">
        <v>269</v>
      </c>
      <c r="B95" s="0" t="s">
        <v>270</v>
      </c>
      <c r="D95" s="0" t="s">
        <v>86</v>
      </c>
      <c r="E95" s="0" t="s">
        <v>46</v>
      </c>
      <c r="F95" s="0" t="s">
        <v>89</v>
      </c>
      <c r="G95" s="0" t="s">
        <v>35</v>
      </c>
      <c r="H95" s="0" t="s">
        <v>62</v>
      </c>
      <c r="I95" s="0" t="n">
        <v>245.17</v>
      </c>
      <c r="J95" s="0" t="n">
        <v>0</v>
      </c>
    </row>
    <row r="96" customFormat="false" ht="15" hidden="false" customHeight="false" outlineLevel="0" collapsed="false">
      <c r="A96" s="0" t="s">
        <v>271</v>
      </c>
      <c r="B96" s="0" t="s">
        <v>272</v>
      </c>
      <c r="D96" s="0" t="s">
        <v>40</v>
      </c>
      <c r="E96" s="0" t="s">
        <v>72</v>
      </c>
      <c r="F96" s="0" t="s">
        <v>89</v>
      </c>
      <c r="G96" s="0" t="s">
        <v>53</v>
      </c>
      <c r="H96" s="0" t="s">
        <v>75</v>
      </c>
      <c r="I96" s="0" t="n">
        <v>701.8</v>
      </c>
      <c r="J96" s="0" t="n">
        <v>0</v>
      </c>
    </row>
    <row r="97" customFormat="false" ht="15" hidden="false" customHeight="false" outlineLevel="0" collapsed="false">
      <c r="A97" s="0" t="s">
        <v>273</v>
      </c>
      <c r="B97" s="0" t="s">
        <v>127</v>
      </c>
      <c r="C97" s="0" t="s">
        <v>274</v>
      </c>
      <c r="D97" s="0" t="s">
        <v>32</v>
      </c>
      <c r="E97" s="0" t="s">
        <v>66</v>
      </c>
      <c r="F97" s="0" t="s">
        <v>73</v>
      </c>
      <c r="G97" s="0" t="s">
        <v>74</v>
      </c>
      <c r="H97" s="0" t="s">
        <v>36</v>
      </c>
      <c r="I97" s="0" t="n">
        <v>2309.21</v>
      </c>
      <c r="J97" s="0" t="n">
        <v>0.2</v>
      </c>
      <c r="K97" s="0" t="n">
        <v>20</v>
      </c>
    </row>
    <row r="98" customFormat="false" ht="15" hidden="false" customHeight="false" outlineLevel="0" collapsed="false">
      <c r="A98" s="0" t="s">
        <v>275</v>
      </c>
      <c r="B98" s="0" t="s">
        <v>276</v>
      </c>
      <c r="C98" s="0" t="s">
        <v>145</v>
      </c>
      <c r="D98" s="0" t="s">
        <v>78</v>
      </c>
      <c r="E98" s="0" t="s">
        <v>46</v>
      </c>
      <c r="F98" s="0" t="s">
        <v>79</v>
      </c>
      <c r="G98" s="0" t="s">
        <v>117</v>
      </c>
      <c r="H98" s="0" t="s">
        <v>36</v>
      </c>
      <c r="I98" s="0" t="n">
        <v>375.1</v>
      </c>
      <c r="J98" s="0" t="n">
        <v>0.2</v>
      </c>
      <c r="K98" s="0" t="n">
        <v>25</v>
      </c>
    </row>
    <row r="99" customFormat="false" ht="15" hidden="false" customHeight="false" outlineLevel="0" collapsed="false">
      <c r="A99" s="0" t="s">
        <v>277</v>
      </c>
      <c r="B99" s="0" t="s">
        <v>278</v>
      </c>
      <c r="C99" s="0" t="s">
        <v>71</v>
      </c>
      <c r="D99" s="0" t="s">
        <v>40</v>
      </c>
      <c r="E99" s="0" t="s">
        <v>46</v>
      </c>
      <c r="F99" s="0" t="s">
        <v>89</v>
      </c>
      <c r="G99" s="0" t="s">
        <v>74</v>
      </c>
      <c r="H99" s="0" t="s">
        <v>36</v>
      </c>
      <c r="I99" s="0" t="n">
        <v>271.57</v>
      </c>
      <c r="J99" s="0" t="n">
        <v>0</v>
      </c>
      <c r="K99" s="0" t="n">
        <v>26</v>
      </c>
    </row>
    <row r="100" customFormat="false" ht="15" hidden="false" customHeight="false" outlineLevel="0" collapsed="false">
      <c r="A100" s="0" t="s">
        <v>279</v>
      </c>
      <c r="B100" s="0" t="s">
        <v>280</v>
      </c>
      <c r="C100" s="0" t="s">
        <v>281</v>
      </c>
      <c r="D100" s="0" t="s">
        <v>78</v>
      </c>
      <c r="E100" s="0" t="s">
        <v>46</v>
      </c>
      <c r="F100" s="0" t="s">
        <v>47</v>
      </c>
      <c r="G100" s="0" t="s">
        <v>41</v>
      </c>
      <c r="H100" s="0" t="s">
        <v>36</v>
      </c>
      <c r="I100" s="0" t="n">
        <v>220.11</v>
      </c>
      <c r="J100" s="0" t="n">
        <v>0</v>
      </c>
      <c r="K100" s="0" t="n">
        <v>26</v>
      </c>
    </row>
    <row r="101" customFormat="false" ht="15" hidden="false" customHeight="false" outlineLevel="0" collapsed="false">
      <c r="A101" s="0" t="s">
        <v>282</v>
      </c>
      <c r="B101" s="0" t="s">
        <v>283</v>
      </c>
      <c r="C101" s="0" t="s">
        <v>284</v>
      </c>
      <c r="D101" s="0" t="s">
        <v>61</v>
      </c>
      <c r="E101" s="0" t="s">
        <v>33</v>
      </c>
      <c r="F101" s="0" t="s">
        <v>47</v>
      </c>
      <c r="H101" s="0" t="s">
        <v>42</v>
      </c>
      <c r="I101" s="0" t="n">
        <v>1641.37</v>
      </c>
      <c r="J101" s="0" t="n">
        <v>0.05</v>
      </c>
      <c r="K101" s="0" t="n">
        <v>18</v>
      </c>
    </row>
    <row r="102" customFormat="false" ht="15" hidden="false" customHeight="false" outlineLevel="0" collapsed="false">
      <c r="A102" s="0" t="s">
        <v>285</v>
      </c>
      <c r="B102" s="0" t="s">
        <v>286</v>
      </c>
      <c r="D102" s="0" t="s">
        <v>61</v>
      </c>
      <c r="E102" s="0" t="s">
        <v>66</v>
      </c>
      <c r="F102" s="0" t="s">
        <v>47</v>
      </c>
      <c r="G102" s="0" t="s">
        <v>140</v>
      </c>
      <c r="H102" s="0" t="s">
        <v>62</v>
      </c>
      <c r="I102" s="0" t="n">
        <v>724.2</v>
      </c>
      <c r="J102" s="0" t="n">
        <v>0.2</v>
      </c>
    </row>
    <row r="103" customFormat="false" ht="15" hidden="false" customHeight="false" outlineLevel="0" collapsed="false">
      <c r="A103" s="0" t="s">
        <v>287</v>
      </c>
      <c r="B103" s="0" t="s">
        <v>91</v>
      </c>
      <c r="D103" s="0" t="s">
        <v>78</v>
      </c>
      <c r="E103" s="0" t="s">
        <v>72</v>
      </c>
      <c r="F103" s="0" t="s">
        <v>73</v>
      </c>
      <c r="G103" s="0" t="s">
        <v>140</v>
      </c>
      <c r="H103" s="0" t="s">
        <v>62</v>
      </c>
      <c r="I103" s="0" t="n">
        <v>366.41</v>
      </c>
      <c r="J103" s="0" t="n">
        <v>0</v>
      </c>
    </row>
    <row r="104" customFormat="false" ht="15" hidden="false" customHeight="false" outlineLevel="0" collapsed="false">
      <c r="A104" s="0" t="s">
        <v>288</v>
      </c>
      <c r="B104" s="0" t="s">
        <v>289</v>
      </c>
      <c r="C104" s="0" t="s">
        <v>280</v>
      </c>
      <c r="D104" s="0" t="s">
        <v>32</v>
      </c>
      <c r="E104" s="0" t="s">
        <v>72</v>
      </c>
      <c r="F104" s="0" t="s">
        <v>73</v>
      </c>
      <c r="G104" s="0" t="s">
        <v>117</v>
      </c>
      <c r="H104" s="0" t="s">
        <v>42</v>
      </c>
      <c r="I104" s="0" t="n">
        <v>364.37</v>
      </c>
      <c r="J104" s="0" t="n">
        <v>0.1</v>
      </c>
      <c r="K104" s="0" t="n">
        <v>10</v>
      </c>
    </row>
    <row r="105" customFormat="false" ht="15" hidden="false" customHeight="false" outlineLevel="0" collapsed="false">
      <c r="A105" s="0" t="s">
        <v>290</v>
      </c>
      <c r="B105" s="0" t="s">
        <v>291</v>
      </c>
      <c r="D105" s="0" t="s">
        <v>95</v>
      </c>
      <c r="E105" s="0" t="s">
        <v>114</v>
      </c>
      <c r="F105" s="0" t="s">
        <v>89</v>
      </c>
      <c r="G105" s="0" t="s">
        <v>53</v>
      </c>
      <c r="H105" s="0" t="s">
        <v>62</v>
      </c>
      <c r="I105" s="0" t="n">
        <v>1265.09</v>
      </c>
      <c r="J105" s="0" t="n">
        <v>0</v>
      </c>
    </row>
    <row r="106" customFormat="false" ht="15" hidden="false" customHeight="false" outlineLevel="0" collapsed="false">
      <c r="A106" s="0" t="s">
        <v>292</v>
      </c>
      <c r="B106" s="0" t="s">
        <v>293</v>
      </c>
      <c r="C106" s="0" t="s">
        <v>294</v>
      </c>
      <c r="D106" s="0" t="s">
        <v>95</v>
      </c>
      <c r="E106" s="0" t="s">
        <v>66</v>
      </c>
      <c r="F106" s="0" t="s">
        <v>34</v>
      </c>
      <c r="G106" s="0" t="s">
        <v>117</v>
      </c>
      <c r="H106" s="0" t="s">
        <v>42</v>
      </c>
      <c r="I106" s="0" t="n">
        <v>1611.23</v>
      </c>
      <c r="J106" s="0" t="n">
        <v>0</v>
      </c>
      <c r="K106" s="0" t="n">
        <v>12</v>
      </c>
    </row>
    <row r="107" customFormat="false" ht="15" hidden="false" customHeight="false" outlineLevel="0" collapsed="false">
      <c r="A107" s="0" t="s">
        <v>295</v>
      </c>
      <c r="B107" s="0" t="s">
        <v>237</v>
      </c>
      <c r="D107" s="0" t="s">
        <v>61</v>
      </c>
      <c r="E107" s="0" t="s">
        <v>114</v>
      </c>
      <c r="F107" s="0" t="s">
        <v>129</v>
      </c>
      <c r="G107" s="0" t="s">
        <v>53</v>
      </c>
      <c r="H107" s="0" t="s">
        <v>75</v>
      </c>
      <c r="I107" s="0" t="n">
        <v>1994.81</v>
      </c>
      <c r="J107" s="0" t="n">
        <v>0.05</v>
      </c>
    </row>
    <row r="108" customFormat="false" ht="15" hidden="false" customHeight="false" outlineLevel="0" collapsed="false">
      <c r="A108" s="0" t="s">
        <v>296</v>
      </c>
      <c r="B108" s="0" t="s">
        <v>297</v>
      </c>
      <c r="C108" s="0" t="s">
        <v>189</v>
      </c>
      <c r="D108" s="0" t="s">
        <v>78</v>
      </c>
      <c r="E108" s="0" t="s">
        <v>46</v>
      </c>
      <c r="F108" s="0" t="s">
        <v>34</v>
      </c>
      <c r="G108" s="0" t="s">
        <v>69</v>
      </c>
      <c r="H108" s="0" t="s">
        <v>42</v>
      </c>
      <c r="I108" s="0" t="n">
        <v>138.41</v>
      </c>
      <c r="J108" s="0" t="n">
        <v>0.1</v>
      </c>
      <c r="K108" s="0" t="n">
        <v>6</v>
      </c>
    </row>
    <row r="109" customFormat="false" ht="15" hidden="false" customHeight="false" outlineLevel="0" collapsed="false">
      <c r="A109" s="0" t="s">
        <v>298</v>
      </c>
      <c r="B109" s="0" t="s">
        <v>250</v>
      </c>
      <c r="D109" s="0" t="s">
        <v>32</v>
      </c>
      <c r="E109" s="0" t="s">
        <v>66</v>
      </c>
      <c r="F109" s="0" t="s">
        <v>57</v>
      </c>
      <c r="G109" s="0" t="s">
        <v>53</v>
      </c>
      <c r="H109" s="0" t="s">
        <v>62</v>
      </c>
      <c r="I109" s="0" t="n">
        <v>1489.26</v>
      </c>
      <c r="J109" s="0" t="n">
        <v>0.2</v>
      </c>
    </row>
    <row r="110" customFormat="false" ht="15" hidden="false" customHeight="false" outlineLevel="0" collapsed="false">
      <c r="A110" s="0" t="s">
        <v>299</v>
      </c>
      <c r="B110" s="0" t="s">
        <v>300</v>
      </c>
      <c r="D110" s="0" t="s">
        <v>86</v>
      </c>
      <c r="E110" s="0" t="s">
        <v>33</v>
      </c>
      <c r="F110" s="0" t="s">
        <v>47</v>
      </c>
      <c r="G110" s="0" t="s">
        <v>41</v>
      </c>
      <c r="H110" s="0" t="s">
        <v>62</v>
      </c>
      <c r="I110" s="0" t="n">
        <v>1837.12</v>
      </c>
      <c r="J110" s="0" t="n">
        <v>0</v>
      </c>
    </row>
    <row r="111" customFormat="false" ht="15" hidden="false" customHeight="false" outlineLevel="0" collapsed="false">
      <c r="A111" s="0" t="s">
        <v>301</v>
      </c>
      <c r="B111" s="0" t="s">
        <v>302</v>
      </c>
      <c r="C111" s="0" t="s">
        <v>303</v>
      </c>
      <c r="D111" s="0" t="s">
        <v>95</v>
      </c>
      <c r="E111" s="0" t="s">
        <v>46</v>
      </c>
      <c r="F111" s="0" t="s">
        <v>57</v>
      </c>
      <c r="G111" s="0" t="s">
        <v>58</v>
      </c>
      <c r="H111" s="0" t="s">
        <v>36</v>
      </c>
      <c r="I111" s="0" t="n">
        <v>119.27</v>
      </c>
      <c r="J111" s="0" t="n">
        <v>0</v>
      </c>
      <c r="K111" s="0" t="n">
        <v>20</v>
      </c>
    </row>
    <row r="112" customFormat="false" ht="15" hidden="false" customHeight="false" outlineLevel="0" collapsed="false">
      <c r="A112" s="0" t="s">
        <v>304</v>
      </c>
      <c r="B112" s="0" t="s">
        <v>305</v>
      </c>
      <c r="C112" s="0" t="s">
        <v>163</v>
      </c>
      <c r="D112" s="0" t="s">
        <v>51</v>
      </c>
      <c r="E112" s="0" t="s">
        <v>72</v>
      </c>
      <c r="F112" s="0" t="s">
        <v>89</v>
      </c>
      <c r="G112" s="0" t="s">
        <v>41</v>
      </c>
      <c r="H112" s="0" t="s">
        <v>42</v>
      </c>
      <c r="I112" s="0" t="n">
        <v>391.23</v>
      </c>
      <c r="J112" s="0" t="n">
        <v>0</v>
      </c>
      <c r="K112" s="0" t="n">
        <v>23</v>
      </c>
    </row>
    <row r="113" customFormat="false" ht="15" hidden="false" customHeight="false" outlineLevel="0" collapsed="false">
      <c r="A113" s="0" t="s">
        <v>306</v>
      </c>
      <c r="B113" s="0" t="s">
        <v>307</v>
      </c>
      <c r="D113" s="0" t="s">
        <v>78</v>
      </c>
      <c r="E113" s="0" t="s">
        <v>114</v>
      </c>
      <c r="F113" s="0" t="s">
        <v>79</v>
      </c>
      <c r="G113" s="0" t="s">
        <v>41</v>
      </c>
      <c r="H113" s="0" t="s">
        <v>62</v>
      </c>
      <c r="I113" s="0" t="n">
        <v>1234.32</v>
      </c>
      <c r="J113" s="0" t="n">
        <v>0.15</v>
      </c>
    </row>
    <row r="114" customFormat="false" ht="15" hidden="false" customHeight="false" outlineLevel="0" collapsed="false">
      <c r="A114" s="0" t="s">
        <v>308</v>
      </c>
      <c r="B114" s="0" t="s">
        <v>309</v>
      </c>
      <c r="D114" s="0" t="s">
        <v>51</v>
      </c>
      <c r="E114" s="0" t="s">
        <v>66</v>
      </c>
      <c r="F114" s="0" t="s">
        <v>89</v>
      </c>
      <c r="G114" s="0" t="s">
        <v>74</v>
      </c>
      <c r="H114" s="0" t="s">
        <v>62</v>
      </c>
      <c r="I114" s="0" t="n">
        <v>753.38</v>
      </c>
      <c r="J114" s="0" t="n">
        <v>0</v>
      </c>
    </row>
    <row r="115" customFormat="false" ht="15" hidden="false" customHeight="false" outlineLevel="0" collapsed="false">
      <c r="A115" s="0" t="s">
        <v>310</v>
      </c>
      <c r="B115" s="0" t="s">
        <v>311</v>
      </c>
      <c r="D115" s="0" t="s">
        <v>40</v>
      </c>
      <c r="E115" s="0" t="s">
        <v>72</v>
      </c>
      <c r="F115" s="0" t="s">
        <v>129</v>
      </c>
      <c r="G115" s="0" t="s">
        <v>35</v>
      </c>
      <c r="H115" s="0" t="s">
        <v>80</v>
      </c>
      <c r="I115" s="0" t="n">
        <v>361.97</v>
      </c>
      <c r="J115" s="0" t="n">
        <v>0</v>
      </c>
    </row>
    <row r="116" customFormat="false" ht="15" hidden="false" customHeight="false" outlineLevel="0" collapsed="false">
      <c r="A116" s="0" t="s">
        <v>312</v>
      </c>
      <c r="B116" s="0" t="s">
        <v>313</v>
      </c>
      <c r="C116" s="0" t="s">
        <v>314</v>
      </c>
      <c r="D116" s="0" t="s">
        <v>40</v>
      </c>
      <c r="E116" s="0" t="s">
        <v>66</v>
      </c>
      <c r="F116" s="0" t="s">
        <v>34</v>
      </c>
      <c r="G116" s="0" t="s">
        <v>140</v>
      </c>
      <c r="H116" s="0" t="s">
        <v>42</v>
      </c>
      <c r="I116" s="0" t="n">
        <v>1610.24</v>
      </c>
      <c r="J116" s="0" t="n">
        <v>0</v>
      </c>
      <c r="K116" s="0" t="n">
        <v>28</v>
      </c>
    </row>
    <row r="117" customFormat="false" ht="15" hidden="false" customHeight="false" outlineLevel="0" collapsed="false">
      <c r="A117" s="0" t="s">
        <v>315</v>
      </c>
      <c r="B117" s="0" t="s">
        <v>316</v>
      </c>
      <c r="D117" s="0" t="s">
        <v>78</v>
      </c>
      <c r="E117" s="0" t="s">
        <v>114</v>
      </c>
      <c r="F117" s="0" t="s">
        <v>79</v>
      </c>
      <c r="G117" s="0" t="s">
        <v>74</v>
      </c>
      <c r="H117" s="0" t="s">
        <v>75</v>
      </c>
      <c r="I117" s="0" t="n">
        <v>739.31</v>
      </c>
      <c r="J117" s="0" t="n">
        <v>0.1</v>
      </c>
    </row>
    <row r="118" customFormat="false" ht="15" hidden="false" customHeight="false" outlineLevel="0" collapsed="false">
      <c r="A118" s="0" t="s">
        <v>317</v>
      </c>
      <c r="B118" s="0" t="s">
        <v>318</v>
      </c>
      <c r="D118" s="0" t="s">
        <v>95</v>
      </c>
      <c r="E118" s="0" t="s">
        <v>72</v>
      </c>
      <c r="F118" s="0" t="s">
        <v>34</v>
      </c>
      <c r="G118" s="0" t="s">
        <v>41</v>
      </c>
      <c r="H118" s="0" t="s">
        <v>80</v>
      </c>
      <c r="I118" s="0" t="n">
        <v>384.99</v>
      </c>
      <c r="J118" s="0" t="n">
        <v>0.15</v>
      </c>
    </row>
    <row r="119" customFormat="false" ht="15" hidden="false" customHeight="false" outlineLevel="0" collapsed="false">
      <c r="A119" s="0" t="s">
        <v>319</v>
      </c>
      <c r="B119" s="0" t="s">
        <v>320</v>
      </c>
      <c r="C119" s="0" t="s">
        <v>192</v>
      </c>
      <c r="D119" s="0" t="s">
        <v>78</v>
      </c>
      <c r="E119" s="0" t="s">
        <v>46</v>
      </c>
      <c r="F119" s="0" t="s">
        <v>57</v>
      </c>
      <c r="G119" s="0" t="s">
        <v>35</v>
      </c>
      <c r="H119" s="0" t="s">
        <v>36</v>
      </c>
      <c r="I119" s="0" t="n">
        <v>120.48</v>
      </c>
      <c r="J119" s="0" t="n">
        <v>0</v>
      </c>
      <c r="K119" s="0" t="n">
        <v>20</v>
      </c>
    </row>
    <row r="120" customFormat="false" ht="15" hidden="false" customHeight="false" outlineLevel="0" collapsed="false">
      <c r="A120" s="0" t="s">
        <v>321</v>
      </c>
      <c r="B120" s="0" t="s">
        <v>322</v>
      </c>
      <c r="C120" s="0" t="s">
        <v>278</v>
      </c>
      <c r="D120" s="0" t="s">
        <v>51</v>
      </c>
      <c r="E120" s="0" t="s">
        <v>72</v>
      </c>
      <c r="F120" s="0" t="s">
        <v>57</v>
      </c>
      <c r="G120" s="0" t="s">
        <v>69</v>
      </c>
      <c r="H120" s="0" t="s">
        <v>36</v>
      </c>
      <c r="I120" s="0" t="n">
        <v>368.42</v>
      </c>
      <c r="J120" s="0" t="n">
        <v>0.2</v>
      </c>
      <c r="K120" s="0" t="n">
        <v>3</v>
      </c>
    </row>
    <row r="121" customFormat="false" ht="15" hidden="false" customHeight="false" outlineLevel="0" collapsed="false">
      <c r="A121" s="0" t="s">
        <v>323</v>
      </c>
      <c r="B121" s="0" t="s">
        <v>174</v>
      </c>
      <c r="D121" s="0" t="s">
        <v>61</v>
      </c>
      <c r="E121" s="0" t="s">
        <v>72</v>
      </c>
      <c r="F121" s="0" t="s">
        <v>79</v>
      </c>
      <c r="G121" s="0" t="s">
        <v>117</v>
      </c>
      <c r="H121" s="0" t="s">
        <v>80</v>
      </c>
      <c r="I121" s="0" t="n">
        <v>351.68</v>
      </c>
      <c r="J121" s="0" t="n">
        <v>0.05</v>
      </c>
    </row>
    <row r="122" customFormat="false" ht="15" hidden="false" customHeight="false" outlineLevel="0" collapsed="false">
      <c r="A122" s="0" t="s">
        <v>324</v>
      </c>
      <c r="B122" s="0" t="s">
        <v>325</v>
      </c>
      <c r="D122" s="0" t="s">
        <v>78</v>
      </c>
      <c r="E122" s="0" t="s">
        <v>52</v>
      </c>
      <c r="F122" s="0" t="s">
        <v>73</v>
      </c>
      <c r="G122" s="0" t="s">
        <v>41</v>
      </c>
      <c r="H122" s="0" t="s">
        <v>62</v>
      </c>
      <c r="I122" s="0" t="n">
        <v>568.25</v>
      </c>
      <c r="J122" s="0" t="n">
        <v>0</v>
      </c>
    </row>
    <row r="123" customFormat="false" ht="15" hidden="false" customHeight="false" outlineLevel="0" collapsed="false">
      <c r="A123" s="0" t="s">
        <v>326</v>
      </c>
      <c r="B123" s="0" t="s">
        <v>127</v>
      </c>
      <c r="C123" s="0" t="s">
        <v>45</v>
      </c>
      <c r="D123" s="0" t="s">
        <v>95</v>
      </c>
      <c r="E123" s="0" t="s">
        <v>66</v>
      </c>
      <c r="F123" s="0" t="s">
        <v>34</v>
      </c>
      <c r="G123" s="0" t="s">
        <v>58</v>
      </c>
      <c r="H123" s="0" t="s">
        <v>36</v>
      </c>
      <c r="I123" s="0" t="n">
        <v>765.68</v>
      </c>
      <c r="J123" s="0" t="n">
        <v>0.1</v>
      </c>
      <c r="K123" s="0" t="n">
        <v>15</v>
      </c>
    </row>
    <row r="124" customFormat="false" ht="15" hidden="false" customHeight="false" outlineLevel="0" collapsed="false">
      <c r="A124" s="0" t="s">
        <v>327</v>
      </c>
      <c r="B124" s="0" t="s">
        <v>181</v>
      </c>
      <c r="C124" s="0" t="s">
        <v>328</v>
      </c>
      <c r="D124" s="0" t="s">
        <v>40</v>
      </c>
      <c r="E124" s="0" t="s">
        <v>46</v>
      </c>
      <c r="F124" s="0" t="s">
        <v>79</v>
      </c>
      <c r="G124" s="0" t="s">
        <v>58</v>
      </c>
      <c r="H124" s="0" t="s">
        <v>42</v>
      </c>
      <c r="I124" s="0" t="n">
        <v>358.15</v>
      </c>
      <c r="J124" s="0" t="n">
        <v>0</v>
      </c>
      <c r="K124" s="0" t="n">
        <v>5</v>
      </c>
    </row>
    <row r="125" customFormat="false" ht="15" hidden="false" customHeight="false" outlineLevel="0" collapsed="false">
      <c r="A125" s="0" t="s">
        <v>329</v>
      </c>
      <c r="B125" s="0" t="s">
        <v>330</v>
      </c>
      <c r="D125" s="0" t="s">
        <v>32</v>
      </c>
      <c r="E125" s="0" t="s">
        <v>33</v>
      </c>
      <c r="F125" s="0" t="s">
        <v>57</v>
      </c>
      <c r="H125" s="0" t="s">
        <v>80</v>
      </c>
      <c r="I125" s="0" t="n">
        <v>788.28</v>
      </c>
      <c r="J125" s="0" t="n">
        <v>0</v>
      </c>
    </row>
    <row r="126" customFormat="false" ht="15" hidden="false" customHeight="false" outlineLevel="0" collapsed="false">
      <c r="A126" s="0" t="s">
        <v>331</v>
      </c>
      <c r="B126" s="0" t="s">
        <v>332</v>
      </c>
      <c r="C126" s="0" t="s">
        <v>333</v>
      </c>
      <c r="D126" s="0" t="s">
        <v>51</v>
      </c>
      <c r="E126" s="0" t="s">
        <v>66</v>
      </c>
      <c r="F126" s="0" t="s">
        <v>34</v>
      </c>
      <c r="G126" s="0" t="s">
        <v>41</v>
      </c>
      <c r="H126" s="0" t="s">
        <v>42</v>
      </c>
      <c r="I126" s="0" t="n">
        <v>2101.69</v>
      </c>
      <c r="J126" s="0" t="n">
        <v>0.05</v>
      </c>
      <c r="K126" s="0" t="n">
        <v>6</v>
      </c>
    </row>
    <row r="127" customFormat="false" ht="15" hidden="false" customHeight="false" outlineLevel="0" collapsed="false">
      <c r="A127" s="0" t="s">
        <v>334</v>
      </c>
      <c r="B127" s="0" t="s">
        <v>335</v>
      </c>
      <c r="D127" s="0" t="s">
        <v>86</v>
      </c>
      <c r="E127" s="0" t="s">
        <v>46</v>
      </c>
      <c r="F127" s="0" t="s">
        <v>57</v>
      </c>
      <c r="G127" s="0" t="s">
        <v>140</v>
      </c>
      <c r="H127" s="0" t="s">
        <v>75</v>
      </c>
      <c r="I127" s="0" t="n">
        <v>127.92</v>
      </c>
      <c r="J127" s="0" t="n">
        <v>0</v>
      </c>
    </row>
    <row r="128" customFormat="false" ht="15" hidden="false" customHeight="false" outlineLevel="0" collapsed="false">
      <c r="A128" s="0" t="s">
        <v>336</v>
      </c>
      <c r="B128" s="0" t="s">
        <v>337</v>
      </c>
      <c r="D128" s="0" t="s">
        <v>32</v>
      </c>
      <c r="E128" s="0" t="s">
        <v>72</v>
      </c>
      <c r="F128" s="0" t="s">
        <v>34</v>
      </c>
      <c r="G128" s="0" t="s">
        <v>117</v>
      </c>
      <c r="H128" s="0" t="s">
        <v>75</v>
      </c>
      <c r="I128" s="0" t="n">
        <v>330.81</v>
      </c>
      <c r="J128" s="0" t="n">
        <v>0.1</v>
      </c>
    </row>
    <row r="129" customFormat="false" ht="15" hidden="false" customHeight="false" outlineLevel="0" collapsed="false">
      <c r="A129" s="0" t="s">
        <v>338</v>
      </c>
      <c r="B129" s="0" t="s">
        <v>339</v>
      </c>
      <c r="D129" s="0" t="s">
        <v>32</v>
      </c>
      <c r="E129" s="0" t="s">
        <v>72</v>
      </c>
      <c r="F129" s="0" t="s">
        <v>34</v>
      </c>
      <c r="G129" s="0" t="s">
        <v>35</v>
      </c>
      <c r="H129" s="0" t="s">
        <v>62</v>
      </c>
      <c r="I129" s="0" t="n">
        <v>809.75</v>
      </c>
      <c r="J129" s="0" t="n">
        <v>0</v>
      </c>
    </row>
    <row r="130" customFormat="false" ht="15" hidden="false" customHeight="false" outlineLevel="0" collapsed="false">
      <c r="A130" s="0" t="s">
        <v>340</v>
      </c>
      <c r="B130" s="0" t="s">
        <v>122</v>
      </c>
      <c r="D130" s="0" t="s">
        <v>32</v>
      </c>
      <c r="E130" s="0" t="s">
        <v>52</v>
      </c>
      <c r="F130" s="0" t="s">
        <v>57</v>
      </c>
      <c r="G130" s="0" t="s">
        <v>74</v>
      </c>
      <c r="H130" s="0" t="s">
        <v>75</v>
      </c>
      <c r="I130" s="0" t="n">
        <v>497.41</v>
      </c>
      <c r="J130" s="0" t="n">
        <v>0.2</v>
      </c>
    </row>
    <row r="131" customFormat="false" ht="15" hidden="false" customHeight="false" outlineLevel="0" collapsed="false">
      <c r="A131" s="0" t="s">
        <v>341</v>
      </c>
      <c r="B131" s="0" t="s">
        <v>342</v>
      </c>
      <c r="D131" s="0" t="s">
        <v>86</v>
      </c>
      <c r="E131" s="0" t="s">
        <v>52</v>
      </c>
      <c r="F131" s="0" t="s">
        <v>34</v>
      </c>
      <c r="G131" s="0" t="s">
        <v>41</v>
      </c>
      <c r="H131" s="0" t="s">
        <v>75</v>
      </c>
      <c r="I131" s="0" t="n">
        <v>496.07</v>
      </c>
      <c r="J131" s="0" t="n">
        <v>0.2</v>
      </c>
    </row>
    <row r="132" customFormat="false" ht="15" hidden="false" customHeight="false" outlineLevel="0" collapsed="false">
      <c r="A132" s="0" t="s">
        <v>343</v>
      </c>
      <c r="B132" s="0" t="s">
        <v>344</v>
      </c>
      <c r="C132" s="0" t="s">
        <v>246</v>
      </c>
      <c r="D132" s="0" t="s">
        <v>86</v>
      </c>
      <c r="E132" s="0" t="s">
        <v>33</v>
      </c>
      <c r="F132" s="0" t="s">
        <v>89</v>
      </c>
      <c r="G132" s="0" t="s">
        <v>69</v>
      </c>
      <c r="H132" s="0" t="s">
        <v>42</v>
      </c>
      <c r="I132" s="0" t="n">
        <v>943.31</v>
      </c>
      <c r="J132" s="0" t="n">
        <v>0</v>
      </c>
      <c r="K132" s="0" t="n">
        <v>22</v>
      </c>
    </row>
    <row r="133" customFormat="false" ht="15" hidden="false" customHeight="false" outlineLevel="0" collapsed="false">
      <c r="A133" s="0" t="s">
        <v>345</v>
      </c>
      <c r="B133" s="0" t="s">
        <v>346</v>
      </c>
      <c r="C133" s="0" t="s">
        <v>339</v>
      </c>
      <c r="D133" s="0" t="s">
        <v>51</v>
      </c>
      <c r="E133" s="0" t="s">
        <v>52</v>
      </c>
      <c r="F133" s="0" t="s">
        <v>47</v>
      </c>
      <c r="G133" s="0" t="s">
        <v>74</v>
      </c>
      <c r="H133" s="0" t="s">
        <v>36</v>
      </c>
      <c r="I133" s="0" t="n">
        <v>965.31</v>
      </c>
      <c r="J133" s="0" t="n">
        <v>0.1</v>
      </c>
      <c r="K133" s="0" t="n">
        <v>16</v>
      </c>
    </row>
    <row r="134" customFormat="false" ht="15" hidden="false" customHeight="false" outlineLevel="0" collapsed="false">
      <c r="A134" s="0" t="s">
        <v>347</v>
      </c>
      <c r="B134" s="0" t="s">
        <v>348</v>
      </c>
      <c r="C134" s="0" t="s">
        <v>349</v>
      </c>
      <c r="D134" s="0" t="s">
        <v>78</v>
      </c>
      <c r="E134" s="0" t="s">
        <v>46</v>
      </c>
      <c r="F134" s="0" t="s">
        <v>34</v>
      </c>
      <c r="G134" s="0" t="s">
        <v>117</v>
      </c>
      <c r="H134" s="0" t="s">
        <v>42</v>
      </c>
      <c r="I134" s="0" t="n">
        <v>137.7</v>
      </c>
      <c r="J134" s="0" t="n">
        <v>0.15</v>
      </c>
      <c r="K134" s="0" t="n">
        <v>29</v>
      </c>
    </row>
    <row r="135" customFormat="false" ht="15" hidden="false" customHeight="false" outlineLevel="0" collapsed="false">
      <c r="A135" s="0" t="s">
        <v>350</v>
      </c>
      <c r="B135" s="0" t="s">
        <v>216</v>
      </c>
      <c r="C135" s="0" t="s">
        <v>351</v>
      </c>
      <c r="D135" s="0" t="s">
        <v>95</v>
      </c>
      <c r="E135" s="0" t="s">
        <v>46</v>
      </c>
      <c r="F135" s="0" t="s">
        <v>47</v>
      </c>
      <c r="G135" s="0" t="s">
        <v>117</v>
      </c>
      <c r="H135" s="0" t="s">
        <v>36</v>
      </c>
      <c r="I135" s="0" t="n">
        <v>247.72</v>
      </c>
      <c r="J135" s="0" t="n">
        <v>0.05</v>
      </c>
      <c r="K135" s="0" t="n">
        <v>27</v>
      </c>
    </row>
    <row r="136" customFormat="false" ht="15" hidden="false" customHeight="false" outlineLevel="0" collapsed="false">
      <c r="A136" s="0" t="s">
        <v>352</v>
      </c>
      <c r="B136" s="0" t="s">
        <v>142</v>
      </c>
      <c r="D136" s="0" t="s">
        <v>32</v>
      </c>
      <c r="E136" s="0" t="s">
        <v>33</v>
      </c>
      <c r="F136" s="0" t="s">
        <v>47</v>
      </c>
      <c r="G136" s="0" t="s">
        <v>117</v>
      </c>
      <c r="H136" s="0" t="s">
        <v>62</v>
      </c>
      <c r="I136" s="0" t="n">
        <v>830.75</v>
      </c>
      <c r="J136" s="0" t="n">
        <v>0</v>
      </c>
    </row>
    <row r="137" customFormat="false" ht="15" hidden="false" customHeight="false" outlineLevel="0" collapsed="false">
      <c r="A137" s="0" t="s">
        <v>353</v>
      </c>
      <c r="B137" s="0" t="s">
        <v>293</v>
      </c>
      <c r="D137" s="0" t="s">
        <v>61</v>
      </c>
      <c r="E137" s="0" t="s">
        <v>72</v>
      </c>
      <c r="F137" s="0" t="s">
        <v>47</v>
      </c>
      <c r="G137" s="0" t="s">
        <v>53</v>
      </c>
      <c r="H137" s="0" t="s">
        <v>62</v>
      </c>
      <c r="I137" s="0" t="n">
        <v>736.8</v>
      </c>
      <c r="J137" s="0" t="n">
        <v>0.1</v>
      </c>
    </row>
    <row r="138" customFormat="false" ht="15" hidden="false" customHeight="false" outlineLevel="0" collapsed="false">
      <c r="A138" s="0" t="s">
        <v>354</v>
      </c>
      <c r="B138" s="0" t="s">
        <v>355</v>
      </c>
      <c r="C138" s="0" t="s">
        <v>356</v>
      </c>
      <c r="D138" s="0" t="s">
        <v>86</v>
      </c>
      <c r="E138" s="0" t="s">
        <v>66</v>
      </c>
      <c r="F138" s="0" t="s">
        <v>34</v>
      </c>
      <c r="G138" s="0" t="s">
        <v>58</v>
      </c>
      <c r="H138" s="0" t="s">
        <v>42</v>
      </c>
      <c r="I138" s="0" t="n">
        <v>1558.38</v>
      </c>
      <c r="J138" s="0" t="n">
        <v>0.05</v>
      </c>
      <c r="K138" s="0" t="n">
        <v>28</v>
      </c>
    </row>
    <row r="139" customFormat="false" ht="15" hidden="false" customHeight="false" outlineLevel="0" collapsed="false">
      <c r="A139" s="0" t="s">
        <v>357</v>
      </c>
      <c r="B139" s="0" t="s">
        <v>358</v>
      </c>
      <c r="C139" s="0" t="s">
        <v>267</v>
      </c>
      <c r="D139" s="0" t="s">
        <v>32</v>
      </c>
      <c r="E139" s="0" t="s">
        <v>33</v>
      </c>
      <c r="F139" s="0" t="s">
        <v>89</v>
      </c>
      <c r="G139" s="0" t="s">
        <v>53</v>
      </c>
      <c r="H139" s="0" t="s">
        <v>36</v>
      </c>
      <c r="I139" s="0" t="n">
        <v>1591.42</v>
      </c>
      <c r="J139" s="0" t="n">
        <v>0</v>
      </c>
      <c r="K139" s="0" t="n">
        <v>14</v>
      </c>
    </row>
    <row r="140" customFormat="false" ht="15" hidden="false" customHeight="false" outlineLevel="0" collapsed="false">
      <c r="A140" s="0" t="s">
        <v>359</v>
      </c>
      <c r="B140" s="0" t="s">
        <v>360</v>
      </c>
      <c r="D140" s="0" t="s">
        <v>78</v>
      </c>
      <c r="E140" s="0" t="s">
        <v>33</v>
      </c>
      <c r="F140" s="0" t="s">
        <v>34</v>
      </c>
      <c r="G140" s="0" t="s">
        <v>58</v>
      </c>
      <c r="H140" s="0" t="s">
        <v>75</v>
      </c>
      <c r="I140" s="0" t="n">
        <v>2637.57</v>
      </c>
      <c r="J140" s="0" t="n">
        <v>0.1</v>
      </c>
    </row>
    <row r="141" customFormat="false" ht="15" hidden="false" customHeight="false" outlineLevel="0" collapsed="false">
      <c r="A141" s="0" t="s">
        <v>361</v>
      </c>
      <c r="B141" s="0" t="s">
        <v>362</v>
      </c>
      <c r="D141" s="0" t="s">
        <v>86</v>
      </c>
      <c r="E141" s="0" t="s">
        <v>72</v>
      </c>
      <c r="F141" s="0" t="s">
        <v>57</v>
      </c>
      <c r="G141" s="0" t="s">
        <v>140</v>
      </c>
      <c r="H141" s="0" t="s">
        <v>75</v>
      </c>
      <c r="I141" s="0" t="n">
        <v>808.38</v>
      </c>
      <c r="J141" s="0" t="n">
        <v>0.2</v>
      </c>
    </row>
    <row r="142" customFormat="false" ht="15" hidden="false" customHeight="false" outlineLevel="0" collapsed="false">
      <c r="A142" s="0" t="s">
        <v>363</v>
      </c>
      <c r="B142" s="0" t="s">
        <v>204</v>
      </c>
      <c r="C142" s="0" t="s">
        <v>364</v>
      </c>
      <c r="D142" s="0" t="s">
        <v>32</v>
      </c>
      <c r="E142" s="0" t="s">
        <v>33</v>
      </c>
      <c r="F142" s="0" t="s">
        <v>129</v>
      </c>
      <c r="H142" s="0" t="s">
        <v>36</v>
      </c>
      <c r="I142" s="0" t="n">
        <v>863.85</v>
      </c>
      <c r="J142" s="0" t="n">
        <v>0</v>
      </c>
      <c r="K142" s="0" t="n">
        <v>15</v>
      </c>
    </row>
    <row r="143" customFormat="false" ht="15" hidden="false" customHeight="false" outlineLevel="0" collapsed="false">
      <c r="A143" s="0" t="s">
        <v>365</v>
      </c>
      <c r="B143" s="0" t="s">
        <v>366</v>
      </c>
      <c r="D143" s="0" t="s">
        <v>95</v>
      </c>
      <c r="E143" s="0" t="s">
        <v>114</v>
      </c>
      <c r="F143" s="0" t="s">
        <v>89</v>
      </c>
      <c r="G143" s="0" t="s">
        <v>35</v>
      </c>
      <c r="H143" s="0" t="s">
        <v>75</v>
      </c>
      <c r="I143" s="0" t="n">
        <v>2190.08</v>
      </c>
      <c r="J143" s="0" t="n">
        <v>0.1</v>
      </c>
    </row>
    <row r="144" customFormat="false" ht="15" hidden="false" customHeight="false" outlineLevel="0" collapsed="false">
      <c r="A144" s="0" t="s">
        <v>367</v>
      </c>
      <c r="B144" s="0" t="s">
        <v>368</v>
      </c>
      <c r="C144" s="0" t="s">
        <v>369</v>
      </c>
      <c r="D144" s="0" t="s">
        <v>32</v>
      </c>
      <c r="E144" s="0" t="s">
        <v>46</v>
      </c>
      <c r="F144" s="0" t="s">
        <v>47</v>
      </c>
      <c r="H144" s="0" t="s">
        <v>36</v>
      </c>
      <c r="I144" s="0" t="n">
        <v>130.5</v>
      </c>
      <c r="J144" s="0" t="n">
        <v>0</v>
      </c>
      <c r="K144" s="0" t="n">
        <v>20</v>
      </c>
    </row>
    <row r="145" customFormat="false" ht="15" hidden="false" customHeight="false" outlineLevel="0" collapsed="false">
      <c r="A145" s="0" t="s">
        <v>370</v>
      </c>
      <c r="B145" s="0" t="s">
        <v>371</v>
      </c>
      <c r="C145" s="0" t="s">
        <v>372</v>
      </c>
      <c r="D145" s="0" t="s">
        <v>51</v>
      </c>
      <c r="E145" s="0" t="s">
        <v>33</v>
      </c>
      <c r="F145" s="0" t="s">
        <v>34</v>
      </c>
      <c r="G145" s="0" t="s">
        <v>69</v>
      </c>
      <c r="H145" s="0" t="s">
        <v>36</v>
      </c>
      <c r="I145" s="0" t="n">
        <v>2349.37</v>
      </c>
      <c r="J145" s="0" t="n">
        <v>0</v>
      </c>
      <c r="K145" s="0" t="n">
        <v>19</v>
      </c>
    </row>
    <row r="146" customFormat="false" ht="15" hidden="false" customHeight="false" outlineLevel="0" collapsed="false">
      <c r="A146" s="0" t="s">
        <v>373</v>
      </c>
      <c r="B146" s="0" t="s">
        <v>374</v>
      </c>
      <c r="C146" s="0" t="s">
        <v>360</v>
      </c>
      <c r="D146" s="0" t="s">
        <v>40</v>
      </c>
      <c r="E146" s="0" t="s">
        <v>66</v>
      </c>
      <c r="F146" s="0" t="s">
        <v>47</v>
      </c>
      <c r="G146" s="0" t="s">
        <v>69</v>
      </c>
      <c r="H146" s="0" t="s">
        <v>36</v>
      </c>
      <c r="I146" s="0" t="n">
        <v>2077.59</v>
      </c>
      <c r="J146" s="0" t="n">
        <v>0.1</v>
      </c>
      <c r="K146" s="0" t="n">
        <v>3</v>
      </c>
    </row>
    <row r="147" customFormat="false" ht="15" hidden="false" customHeight="false" outlineLevel="0" collapsed="false">
      <c r="A147" s="0" t="s">
        <v>375</v>
      </c>
      <c r="B147" s="0" t="s">
        <v>136</v>
      </c>
      <c r="C147" s="0" t="s">
        <v>376</v>
      </c>
      <c r="D147" s="0" t="s">
        <v>78</v>
      </c>
      <c r="E147" s="0" t="s">
        <v>33</v>
      </c>
      <c r="F147" s="0" t="s">
        <v>34</v>
      </c>
      <c r="G147" s="0" t="s">
        <v>74</v>
      </c>
      <c r="H147" s="0" t="s">
        <v>36</v>
      </c>
      <c r="I147" s="0" t="n">
        <v>855.55</v>
      </c>
      <c r="J147" s="0" t="n">
        <v>0</v>
      </c>
      <c r="K147" s="0" t="n">
        <v>15</v>
      </c>
    </row>
    <row r="148" customFormat="false" ht="15" hidden="false" customHeight="false" outlineLevel="0" collapsed="false">
      <c r="A148" s="0" t="s">
        <v>377</v>
      </c>
      <c r="B148" s="0" t="s">
        <v>378</v>
      </c>
      <c r="C148" s="0" t="s">
        <v>379</v>
      </c>
      <c r="D148" s="0" t="s">
        <v>95</v>
      </c>
      <c r="E148" s="0" t="s">
        <v>114</v>
      </c>
      <c r="F148" s="0" t="s">
        <v>34</v>
      </c>
      <c r="G148" s="0" t="s">
        <v>140</v>
      </c>
      <c r="H148" s="0" t="s">
        <v>36</v>
      </c>
      <c r="I148" s="0" t="n">
        <v>1406.46</v>
      </c>
      <c r="J148" s="0" t="n">
        <v>0.1</v>
      </c>
      <c r="K148" s="0" t="n">
        <v>12</v>
      </c>
    </row>
    <row r="149" customFormat="false" ht="15" hidden="false" customHeight="false" outlineLevel="0" collapsed="false">
      <c r="A149" s="0" t="s">
        <v>380</v>
      </c>
      <c r="B149" s="0" t="s">
        <v>381</v>
      </c>
      <c r="C149" s="0" t="s">
        <v>142</v>
      </c>
      <c r="D149" s="0" t="s">
        <v>32</v>
      </c>
      <c r="E149" s="0" t="s">
        <v>72</v>
      </c>
      <c r="F149" s="0" t="s">
        <v>34</v>
      </c>
      <c r="G149" s="0" t="s">
        <v>140</v>
      </c>
      <c r="H149" s="0" t="s">
        <v>36</v>
      </c>
      <c r="I149" s="0" t="n">
        <v>334.11</v>
      </c>
      <c r="J149" s="0" t="n">
        <v>0</v>
      </c>
      <c r="K149" s="0" t="n">
        <v>19</v>
      </c>
    </row>
    <row r="150" customFormat="false" ht="15" hidden="false" customHeight="false" outlineLevel="0" collapsed="false">
      <c r="A150" s="0" t="s">
        <v>382</v>
      </c>
      <c r="B150" s="0" t="s">
        <v>383</v>
      </c>
      <c r="C150" s="0" t="s">
        <v>322</v>
      </c>
      <c r="D150" s="0" t="s">
        <v>51</v>
      </c>
      <c r="E150" s="0" t="s">
        <v>33</v>
      </c>
      <c r="F150" s="0" t="s">
        <v>34</v>
      </c>
      <c r="G150" s="0" t="s">
        <v>140</v>
      </c>
      <c r="H150" s="0" t="s">
        <v>36</v>
      </c>
      <c r="I150" s="0" t="n">
        <v>874.27</v>
      </c>
      <c r="J150" s="0" t="n">
        <v>0.1</v>
      </c>
      <c r="K150" s="0" t="n">
        <v>26</v>
      </c>
    </row>
    <row r="151" customFormat="false" ht="15" hidden="false" customHeight="false" outlineLevel="0" collapsed="false">
      <c r="A151" s="0" t="s">
        <v>384</v>
      </c>
      <c r="B151" s="0" t="s">
        <v>325</v>
      </c>
      <c r="D151" s="0" t="s">
        <v>86</v>
      </c>
      <c r="E151" s="0" t="s">
        <v>46</v>
      </c>
      <c r="F151" s="0" t="s">
        <v>73</v>
      </c>
      <c r="G151" s="0" t="s">
        <v>58</v>
      </c>
      <c r="H151" s="0" t="s">
        <v>75</v>
      </c>
      <c r="I151" s="0" t="n">
        <v>110.91</v>
      </c>
      <c r="J151" s="0" t="n">
        <v>0.05</v>
      </c>
    </row>
    <row r="152" customFormat="false" ht="15" hidden="false" customHeight="false" outlineLevel="0" collapsed="false">
      <c r="A152" s="0" t="s">
        <v>385</v>
      </c>
      <c r="B152" s="0" t="s">
        <v>386</v>
      </c>
      <c r="C152" s="0" t="s">
        <v>387</v>
      </c>
      <c r="D152" s="0" t="s">
        <v>78</v>
      </c>
      <c r="E152" s="0" t="s">
        <v>72</v>
      </c>
      <c r="F152" s="0" t="s">
        <v>47</v>
      </c>
      <c r="G152" s="0" t="s">
        <v>140</v>
      </c>
      <c r="H152" s="0" t="s">
        <v>36</v>
      </c>
      <c r="I152" s="0" t="n">
        <v>1011.4</v>
      </c>
      <c r="J152" s="0" t="n">
        <v>0.05</v>
      </c>
      <c r="K152" s="0" t="n">
        <v>3</v>
      </c>
    </row>
    <row r="153" customFormat="false" ht="15" hidden="false" customHeight="false" outlineLevel="0" collapsed="false">
      <c r="A153" s="0" t="s">
        <v>388</v>
      </c>
      <c r="B153" s="0" t="s">
        <v>389</v>
      </c>
      <c r="D153" s="0" t="s">
        <v>95</v>
      </c>
      <c r="E153" s="0" t="s">
        <v>46</v>
      </c>
      <c r="F153" s="0" t="s">
        <v>79</v>
      </c>
      <c r="G153" s="0" t="s">
        <v>58</v>
      </c>
      <c r="H153" s="0" t="s">
        <v>75</v>
      </c>
      <c r="I153" s="0" t="n">
        <v>350.61</v>
      </c>
      <c r="J153" s="0" t="n">
        <v>0.05</v>
      </c>
    </row>
    <row r="154" customFormat="false" ht="15" hidden="false" customHeight="false" outlineLevel="0" collapsed="false">
      <c r="A154" s="0" t="s">
        <v>390</v>
      </c>
      <c r="B154" s="0" t="s">
        <v>391</v>
      </c>
      <c r="C154" s="0" t="s">
        <v>360</v>
      </c>
      <c r="D154" s="0" t="s">
        <v>86</v>
      </c>
      <c r="E154" s="0" t="s">
        <v>33</v>
      </c>
      <c r="F154" s="0" t="s">
        <v>89</v>
      </c>
      <c r="G154" s="0" t="s">
        <v>35</v>
      </c>
      <c r="H154" s="0" t="s">
        <v>36</v>
      </c>
      <c r="I154" s="0" t="n">
        <v>925.25</v>
      </c>
      <c r="J154" s="0" t="n">
        <v>0.1</v>
      </c>
      <c r="K154" s="0" t="n">
        <v>34</v>
      </c>
    </row>
    <row r="155" customFormat="false" ht="15" hidden="false" customHeight="false" outlineLevel="0" collapsed="false">
      <c r="A155" s="0" t="s">
        <v>392</v>
      </c>
      <c r="B155" s="0" t="s">
        <v>393</v>
      </c>
      <c r="C155" s="0" t="s">
        <v>293</v>
      </c>
      <c r="D155" s="0" t="s">
        <v>32</v>
      </c>
      <c r="E155" s="0" t="s">
        <v>33</v>
      </c>
      <c r="F155" s="0" t="s">
        <v>47</v>
      </c>
      <c r="G155" s="0" t="s">
        <v>41</v>
      </c>
      <c r="H155" s="0" t="s">
        <v>36</v>
      </c>
      <c r="I155" s="0" t="n">
        <v>794.69</v>
      </c>
      <c r="J155" s="0" t="n">
        <v>0</v>
      </c>
      <c r="K155" s="0" t="n">
        <v>33</v>
      </c>
    </row>
    <row r="156" customFormat="false" ht="15" hidden="false" customHeight="false" outlineLevel="0" collapsed="false">
      <c r="A156" s="0" t="s">
        <v>394</v>
      </c>
      <c r="B156" s="0" t="s">
        <v>395</v>
      </c>
      <c r="C156" s="0" t="s">
        <v>137</v>
      </c>
      <c r="D156" s="0" t="s">
        <v>51</v>
      </c>
      <c r="E156" s="0" t="s">
        <v>52</v>
      </c>
      <c r="F156" s="0" t="s">
        <v>34</v>
      </c>
      <c r="H156" s="0" t="s">
        <v>36</v>
      </c>
      <c r="I156" s="0" t="n">
        <v>1128.48</v>
      </c>
      <c r="J156" s="0" t="n">
        <v>0.05</v>
      </c>
      <c r="K156" s="0" t="n">
        <v>17</v>
      </c>
    </row>
    <row r="157" customFormat="false" ht="15" hidden="false" customHeight="false" outlineLevel="0" collapsed="false">
      <c r="A157" s="0" t="s">
        <v>396</v>
      </c>
      <c r="B157" s="0" t="s">
        <v>397</v>
      </c>
      <c r="D157" s="0" t="s">
        <v>95</v>
      </c>
      <c r="E157" s="0" t="s">
        <v>114</v>
      </c>
      <c r="F157" s="0" t="s">
        <v>73</v>
      </c>
      <c r="G157" s="0" t="s">
        <v>117</v>
      </c>
      <c r="H157" s="0" t="s">
        <v>75</v>
      </c>
      <c r="I157" s="0" t="n">
        <v>694.99</v>
      </c>
      <c r="J157" s="0" t="n">
        <v>0.05</v>
      </c>
    </row>
    <row r="158" customFormat="false" ht="15" hidden="false" customHeight="false" outlineLevel="0" collapsed="false">
      <c r="A158" s="0" t="s">
        <v>398</v>
      </c>
      <c r="B158" s="0" t="s">
        <v>196</v>
      </c>
      <c r="C158" s="0" t="s">
        <v>399</v>
      </c>
      <c r="D158" s="0" t="s">
        <v>78</v>
      </c>
      <c r="E158" s="0" t="s">
        <v>66</v>
      </c>
      <c r="F158" s="0" t="s">
        <v>89</v>
      </c>
      <c r="G158" s="0" t="s">
        <v>35</v>
      </c>
      <c r="H158" s="0" t="s">
        <v>42</v>
      </c>
      <c r="I158" s="0" t="n">
        <v>716.19</v>
      </c>
      <c r="J158" s="0" t="n">
        <v>0</v>
      </c>
      <c r="K158" s="0" t="n">
        <v>18</v>
      </c>
    </row>
    <row r="159" customFormat="false" ht="15" hidden="false" customHeight="false" outlineLevel="0" collapsed="false">
      <c r="A159" s="0" t="s">
        <v>400</v>
      </c>
      <c r="B159" s="0" t="s">
        <v>401</v>
      </c>
      <c r="C159" s="0" t="s">
        <v>402</v>
      </c>
      <c r="D159" s="0" t="s">
        <v>51</v>
      </c>
      <c r="E159" s="0" t="s">
        <v>72</v>
      </c>
      <c r="F159" s="0" t="s">
        <v>34</v>
      </c>
      <c r="H159" s="0" t="s">
        <v>42</v>
      </c>
      <c r="I159" s="0" t="n">
        <v>370.47</v>
      </c>
      <c r="J159" s="0" t="n">
        <v>0.05</v>
      </c>
      <c r="K159" s="0" t="n">
        <v>23</v>
      </c>
    </row>
    <row r="160" customFormat="false" ht="15" hidden="false" customHeight="false" outlineLevel="0" collapsed="false">
      <c r="A160" s="0" t="s">
        <v>403</v>
      </c>
      <c r="B160" s="0" t="s">
        <v>404</v>
      </c>
      <c r="C160" s="0" t="s">
        <v>187</v>
      </c>
      <c r="D160" s="0" t="s">
        <v>95</v>
      </c>
      <c r="E160" s="0" t="s">
        <v>114</v>
      </c>
      <c r="F160" s="0" t="s">
        <v>57</v>
      </c>
      <c r="G160" s="0" t="s">
        <v>53</v>
      </c>
      <c r="H160" s="0" t="s">
        <v>42</v>
      </c>
      <c r="I160" s="0" t="n">
        <v>724.53</v>
      </c>
      <c r="J160" s="0" t="n">
        <v>0.15</v>
      </c>
      <c r="K160" s="0" t="n">
        <v>30</v>
      </c>
    </row>
    <row r="161" customFormat="false" ht="15" hidden="false" customHeight="false" outlineLevel="0" collapsed="false">
      <c r="A161" s="0" t="s">
        <v>405</v>
      </c>
      <c r="B161" s="0" t="s">
        <v>68</v>
      </c>
      <c r="D161" s="0" t="s">
        <v>78</v>
      </c>
      <c r="E161" s="0" t="s">
        <v>114</v>
      </c>
      <c r="F161" s="0" t="s">
        <v>57</v>
      </c>
      <c r="G161" s="0" t="s">
        <v>74</v>
      </c>
      <c r="H161" s="0" t="s">
        <v>80</v>
      </c>
      <c r="I161" s="0" t="n">
        <v>2260.41</v>
      </c>
      <c r="J161" s="0" t="n">
        <v>0.1</v>
      </c>
    </row>
    <row r="162" customFormat="false" ht="15" hidden="false" customHeight="false" outlineLevel="0" collapsed="false">
      <c r="A162" s="0" t="s">
        <v>406</v>
      </c>
      <c r="B162" s="0" t="s">
        <v>407</v>
      </c>
      <c r="C162" s="0" t="s">
        <v>408</v>
      </c>
      <c r="D162" s="0" t="s">
        <v>86</v>
      </c>
      <c r="E162" s="0" t="s">
        <v>52</v>
      </c>
      <c r="F162" s="0" t="s">
        <v>89</v>
      </c>
      <c r="G162" s="0" t="s">
        <v>35</v>
      </c>
      <c r="H162" s="0" t="s">
        <v>42</v>
      </c>
      <c r="I162" s="0" t="n">
        <v>1528.13</v>
      </c>
      <c r="J162" s="0" t="n">
        <v>0</v>
      </c>
      <c r="K162" s="0" t="n">
        <v>18</v>
      </c>
    </row>
    <row r="163" customFormat="false" ht="15" hidden="false" customHeight="false" outlineLevel="0" collapsed="false">
      <c r="A163" s="0" t="s">
        <v>409</v>
      </c>
      <c r="B163" s="0" t="s">
        <v>410</v>
      </c>
      <c r="C163" s="0" t="s">
        <v>411</v>
      </c>
      <c r="D163" s="0" t="s">
        <v>95</v>
      </c>
      <c r="E163" s="0" t="s">
        <v>46</v>
      </c>
      <c r="F163" s="0" t="s">
        <v>57</v>
      </c>
      <c r="G163" s="0" t="s">
        <v>58</v>
      </c>
      <c r="H163" s="0" t="s">
        <v>36</v>
      </c>
      <c r="I163" s="0" t="n">
        <v>393.37</v>
      </c>
      <c r="J163" s="0" t="n">
        <v>0.2</v>
      </c>
      <c r="K163" s="0" t="n">
        <v>17</v>
      </c>
    </row>
    <row r="164" customFormat="false" ht="15" hidden="false" customHeight="false" outlineLevel="0" collapsed="false">
      <c r="A164" s="0" t="s">
        <v>412</v>
      </c>
      <c r="B164" s="0" t="s">
        <v>413</v>
      </c>
      <c r="C164" s="0" t="s">
        <v>414</v>
      </c>
      <c r="D164" s="0" t="s">
        <v>61</v>
      </c>
      <c r="E164" s="0" t="s">
        <v>72</v>
      </c>
      <c r="F164" s="0" t="s">
        <v>34</v>
      </c>
      <c r="G164" s="0" t="s">
        <v>69</v>
      </c>
      <c r="H164" s="0" t="s">
        <v>36</v>
      </c>
      <c r="I164" s="0" t="n">
        <v>758.68</v>
      </c>
      <c r="J164" s="0" t="n">
        <v>0</v>
      </c>
      <c r="K164" s="0" t="n">
        <v>14</v>
      </c>
    </row>
    <row r="165" customFormat="false" ht="15" hidden="false" customHeight="false" outlineLevel="0" collapsed="false">
      <c r="A165" s="0" t="s">
        <v>415</v>
      </c>
      <c r="B165" s="0" t="s">
        <v>416</v>
      </c>
      <c r="D165" s="0" t="s">
        <v>86</v>
      </c>
      <c r="E165" s="0" t="s">
        <v>46</v>
      </c>
      <c r="F165" s="0" t="s">
        <v>79</v>
      </c>
      <c r="G165" s="0" t="s">
        <v>35</v>
      </c>
      <c r="H165" s="0" t="s">
        <v>80</v>
      </c>
      <c r="I165" s="0" t="n">
        <v>119.4</v>
      </c>
      <c r="J165" s="0" t="n">
        <v>0.15</v>
      </c>
    </row>
    <row r="166" customFormat="false" ht="15" hidden="false" customHeight="false" outlineLevel="0" collapsed="false">
      <c r="A166" s="0" t="s">
        <v>417</v>
      </c>
      <c r="B166" s="0" t="s">
        <v>418</v>
      </c>
      <c r="C166" s="0" t="s">
        <v>419</v>
      </c>
      <c r="D166" s="0" t="s">
        <v>32</v>
      </c>
      <c r="E166" s="0" t="s">
        <v>46</v>
      </c>
      <c r="F166" s="0" t="s">
        <v>129</v>
      </c>
      <c r="G166" s="0" t="s">
        <v>58</v>
      </c>
      <c r="H166" s="0" t="s">
        <v>42</v>
      </c>
      <c r="I166" s="0" t="n">
        <v>137.87</v>
      </c>
      <c r="J166" s="0" t="n">
        <v>0.2</v>
      </c>
      <c r="K166" s="0" t="n">
        <v>28</v>
      </c>
    </row>
    <row r="167" customFormat="false" ht="15" hidden="false" customHeight="false" outlineLevel="0" collapsed="false">
      <c r="A167" s="0" t="s">
        <v>420</v>
      </c>
      <c r="B167" s="0" t="s">
        <v>200</v>
      </c>
      <c r="C167" s="0" t="s">
        <v>383</v>
      </c>
      <c r="D167" s="0" t="s">
        <v>40</v>
      </c>
      <c r="E167" s="0" t="s">
        <v>52</v>
      </c>
      <c r="F167" s="0" t="s">
        <v>34</v>
      </c>
      <c r="G167" s="0" t="s">
        <v>69</v>
      </c>
      <c r="H167" s="0" t="s">
        <v>36</v>
      </c>
      <c r="I167" s="0" t="n">
        <v>573.28</v>
      </c>
      <c r="J167" s="0" t="n">
        <v>0.1</v>
      </c>
      <c r="K167" s="0" t="n">
        <v>21</v>
      </c>
    </row>
    <row r="168" customFormat="false" ht="15" hidden="false" customHeight="false" outlineLevel="0" collapsed="false">
      <c r="A168" s="0" t="s">
        <v>421</v>
      </c>
      <c r="B168" s="0" t="s">
        <v>422</v>
      </c>
      <c r="D168" s="0" t="s">
        <v>95</v>
      </c>
      <c r="E168" s="0" t="s">
        <v>114</v>
      </c>
      <c r="F168" s="0" t="s">
        <v>73</v>
      </c>
      <c r="G168" s="0" t="s">
        <v>74</v>
      </c>
      <c r="H168" s="0" t="s">
        <v>75</v>
      </c>
      <c r="I168" s="0" t="n">
        <v>2080.53</v>
      </c>
      <c r="J168" s="0" t="n">
        <v>0.05</v>
      </c>
    </row>
    <row r="169" customFormat="false" ht="15" hidden="false" customHeight="false" outlineLevel="0" collapsed="false">
      <c r="A169" s="0" t="s">
        <v>423</v>
      </c>
      <c r="B169" s="0" t="s">
        <v>145</v>
      </c>
      <c r="C169" s="0" t="s">
        <v>44</v>
      </c>
      <c r="D169" s="0" t="s">
        <v>61</v>
      </c>
      <c r="E169" s="0" t="s">
        <v>52</v>
      </c>
      <c r="F169" s="0" t="s">
        <v>34</v>
      </c>
      <c r="G169" s="0" t="s">
        <v>69</v>
      </c>
      <c r="H169" s="0" t="s">
        <v>36</v>
      </c>
      <c r="I169" s="0" t="n">
        <v>1767.24</v>
      </c>
      <c r="J169" s="0" t="n">
        <v>0</v>
      </c>
      <c r="K169" s="0" t="n">
        <v>11</v>
      </c>
    </row>
    <row r="170" customFormat="false" ht="15" hidden="false" customHeight="false" outlineLevel="0" collapsed="false">
      <c r="A170" s="0" t="s">
        <v>424</v>
      </c>
      <c r="B170" s="0" t="s">
        <v>328</v>
      </c>
      <c r="C170" s="0" t="s">
        <v>267</v>
      </c>
      <c r="D170" s="0" t="s">
        <v>95</v>
      </c>
      <c r="E170" s="0" t="s">
        <v>46</v>
      </c>
      <c r="F170" s="0" t="s">
        <v>73</v>
      </c>
      <c r="G170" s="0" t="s">
        <v>41</v>
      </c>
      <c r="H170" s="0" t="s">
        <v>36</v>
      </c>
      <c r="I170" s="0" t="n">
        <v>267.28</v>
      </c>
      <c r="J170" s="0" t="n">
        <v>0.2</v>
      </c>
      <c r="K170" s="0" t="n">
        <v>31</v>
      </c>
    </row>
    <row r="171" customFormat="false" ht="15" hidden="false" customHeight="false" outlineLevel="0" collapsed="false">
      <c r="A171" s="0" t="s">
        <v>425</v>
      </c>
      <c r="B171" s="0" t="s">
        <v>426</v>
      </c>
      <c r="D171" s="0" t="s">
        <v>61</v>
      </c>
      <c r="E171" s="0" t="s">
        <v>72</v>
      </c>
      <c r="F171" s="0" t="s">
        <v>57</v>
      </c>
      <c r="G171" s="0" t="s">
        <v>117</v>
      </c>
      <c r="H171" s="0" t="s">
        <v>75</v>
      </c>
      <c r="I171" s="0" t="n">
        <v>1169.94</v>
      </c>
      <c r="J171" s="0" t="n">
        <v>0.1</v>
      </c>
    </row>
    <row r="172" customFormat="false" ht="15" hidden="false" customHeight="false" outlineLevel="0" collapsed="false">
      <c r="A172" s="0" t="s">
        <v>427</v>
      </c>
      <c r="B172" s="0" t="s">
        <v>318</v>
      </c>
      <c r="C172" s="0" t="s">
        <v>428</v>
      </c>
      <c r="D172" s="0" t="s">
        <v>40</v>
      </c>
      <c r="E172" s="0" t="s">
        <v>52</v>
      </c>
      <c r="F172" s="0" t="s">
        <v>73</v>
      </c>
      <c r="G172" s="0" t="s">
        <v>69</v>
      </c>
      <c r="H172" s="0" t="s">
        <v>36</v>
      </c>
      <c r="I172" s="0" t="n">
        <v>1753.87</v>
      </c>
      <c r="J172" s="0" t="n">
        <v>0.2</v>
      </c>
      <c r="K172" s="0" t="n">
        <v>12</v>
      </c>
    </row>
    <row r="173" customFormat="false" ht="15" hidden="false" customHeight="false" outlineLevel="0" collapsed="false">
      <c r="A173" s="0" t="s">
        <v>429</v>
      </c>
      <c r="B173" s="0" t="s">
        <v>159</v>
      </c>
      <c r="C173" s="0" t="s">
        <v>430</v>
      </c>
      <c r="D173" s="0" t="s">
        <v>78</v>
      </c>
      <c r="E173" s="0" t="s">
        <v>72</v>
      </c>
      <c r="F173" s="0" t="s">
        <v>34</v>
      </c>
      <c r="G173" s="0" t="s">
        <v>69</v>
      </c>
      <c r="H173" s="0" t="s">
        <v>42</v>
      </c>
      <c r="I173" s="0" t="n">
        <v>733.8</v>
      </c>
      <c r="J173" s="0" t="n">
        <v>0</v>
      </c>
      <c r="K173" s="0" t="n">
        <v>22</v>
      </c>
    </row>
    <row r="174" customFormat="false" ht="15" hidden="false" customHeight="false" outlineLevel="0" collapsed="false">
      <c r="A174" s="0" t="s">
        <v>431</v>
      </c>
      <c r="B174" s="0" t="s">
        <v>210</v>
      </c>
      <c r="C174" s="0" t="s">
        <v>82</v>
      </c>
      <c r="D174" s="0" t="s">
        <v>61</v>
      </c>
      <c r="E174" s="0" t="s">
        <v>66</v>
      </c>
      <c r="F174" s="0" t="s">
        <v>79</v>
      </c>
      <c r="G174" s="0" t="s">
        <v>74</v>
      </c>
      <c r="H174" s="0" t="s">
        <v>36</v>
      </c>
      <c r="I174" s="0" t="n">
        <v>807.98</v>
      </c>
      <c r="J174" s="0" t="n">
        <v>0</v>
      </c>
      <c r="K174" s="0" t="n">
        <v>14</v>
      </c>
    </row>
    <row r="175" customFormat="false" ht="15" hidden="false" customHeight="false" outlineLevel="0" collapsed="false">
      <c r="A175" s="0" t="s">
        <v>432</v>
      </c>
      <c r="B175" s="0" t="s">
        <v>433</v>
      </c>
      <c r="C175" s="0" t="s">
        <v>434</v>
      </c>
      <c r="D175" s="0" t="s">
        <v>78</v>
      </c>
      <c r="E175" s="0" t="s">
        <v>72</v>
      </c>
      <c r="F175" s="0" t="s">
        <v>79</v>
      </c>
      <c r="G175" s="0" t="s">
        <v>53</v>
      </c>
      <c r="H175" s="0" t="s">
        <v>36</v>
      </c>
      <c r="I175" s="0" t="n">
        <v>694.31</v>
      </c>
      <c r="J175" s="0" t="n">
        <v>0.15</v>
      </c>
      <c r="K175" s="0" t="n">
        <v>20</v>
      </c>
    </row>
    <row r="176" customFormat="false" ht="15" hidden="false" customHeight="false" outlineLevel="0" collapsed="false">
      <c r="A176" s="0" t="s">
        <v>435</v>
      </c>
      <c r="B176" s="0" t="s">
        <v>44</v>
      </c>
      <c r="C176" s="0" t="s">
        <v>128</v>
      </c>
      <c r="D176" s="0" t="s">
        <v>95</v>
      </c>
      <c r="E176" s="0" t="s">
        <v>52</v>
      </c>
      <c r="F176" s="0" t="s">
        <v>73</v>
      </c>
      <c r="G176" s="0" t="s">
        <v>117</v>
      </c>
      <c r="H176" s="0" t="s">
        <v>42</v>
      </c>
      <c r="I176" s="0" t="n">
        <v>493.88</v>
      </c>
      <c r="J176" s="0" t="n">
        <v>0.1</v>
      </c>
      <c r="K176" s="0" t="n">
        <v>22</v>
      </c>
    </row>
    <row r="177" customFormat="false" ht="15" hidden="false" customHeight="false" outlineLevel="0" collapsed="false">
      <c r="A177" s="0" t="s">
        <v>436</v>
      </c>
      <c r="B177" s="0" t="s">
        <v>437</v>
      </c>
      <c r="C177" s="0" t="s">
        <v>438</v>
      </c>
      <c r="D177" s="0" t="s">
        <v>32</v>
      </c>
      <c r="E177" s="0" t="s">
        <v>114</v>
      </c>
      <c r="F177" s="0" t="s">
        <v>47</v>
      </c>
      <c r="G177" s="0" t="s">
        <v>58</v>
      </c>
      <c r="H177" s="0" t="s">
        <v>36</v>
      </c>
      <c r="I177" s="0" t="n">
        <v>613.74</v>
      </c>
      <c r="J177" s="0" t="n">
        <v>0.05</v>
      </c>
      <c r="K177" s="0" t="n">
        <v>20</v>
      </c>
    </row>
    <row r="178" customFormat="false" ht="15" hidden="false" customHeight="false" outlineLevel="0" collapsed="false">
      <c r="A178" s="0" t="s">
        <v>439</v>
      </c>
      <c r="B178" s="0" t="s">
        <v>125</v>
      </c>
      <c r="C178" s="0" t="s">
        <v>187</v>
      </c>
      <c r="D178" s="0" t="s">
        <v>32</v>
      </c>
      <c r="E178" s="0" t="s">
        <v>114</v>
      </c>
      <c r="F178" s="0" t="s">
        <v>47</v>
      </c>
      <c r="G178" s="0" t="s">
        <v>58</v>
      </c>
      <c r="H178" s="0" t="s">
        <v>42</v>
      </c>
      <c r="I178" s="0" t="n">
        <v>633.05</v>
      </c>
      <c r="J178" s="0" t="n">
        <v>0</v>
      </c>
      <c r="K178" s="0" t="n">
        <v>31</v>
      </c>
    </row>
    <row r="179" customFormat="false" ht="15" hidden="false" customHeight="false" outlineLevel="0" collapsed="false">
      <c r="A179" s="0" t="s">
        <v>440</v>
      </c>
      <c r="B179" s="0" t="s">
        <v>441</v>
      </c>
      <c r="C179" s="0" t="s">
        <v>145</v>
      </c>
      <c r="D179" s="0" t="s">
        <v>40</v>
      </c>
      <c r="E179" s="0" t="s">
        <v>33</v>
      </c>
      <c r="F179" s="0" t="s">
        <v>47</v>
      </c>
      <c r="G179" s="0" t="s">
        <v>41</v>
      </c>
      <c r="H179" s="0" t="s">
        <v>36</v>
      </c>
      <c r="I179" s="0" t="n">
        <v>2706.95</v>
      </c>
      <c r="J179" s="0" t="n">
        <v>0</v>
      </c>
      <c r="K179" s="0" t="n">
        <v>22</v>
      </c>
    </row>
    <row r="180" customFormat="false" ht="15" hidden="false" customHeight="false" outlineLevel="0" collapsed="false">
      <c r="A180" s="0" t="s">
        <v>442</v>
      </c>
      <c r="B180" s="0" t="s">
        <v>349</v>
      </c>
      <c r="D180" s="0" t="s">
        <v>78</v>
      </c>
      <c r="E180" s="0" t="s">
        <v>114</v>
      </c>
      <c r="F180" s="0" t="s">
        <v>47</v>
      </c>
      <c r="G180" s="0" t="s">
        <v>74</v>
      </c>
      <c r="H180" s="0" t="s">
        <v>75</v>
      </c>
      <c r="I180" s="0" t="n">
        <v>1202.3</v>
      </c>
      <c r="J180" s="0" t="n">
        <v>0</v>
      </c>
    </row>
    <row r="181" customFormat="false" ht="15" hidden="false" customHeight="false" outlineLevel="0" collapsed="false">
      <c r="A181" s="0" t="s">
        <v>443</v>
      </c>
      <c r="B181" s="0" t="s">
        <v>444</v>
      </c>
      <c r="C181" s="0" t="s">
        <v>445</v>
      </c>
      <c r="D181" s="0" t="s">
        <v>51</v>
      </c>
      <c r="E181" s="0" t="s">
        <v>46</v>
      </c>
      <c r="F181" s="0" t="s">
        <v>34</v>
      </c>
      <c r="G181" s="0" t="s">
        <v>58</v>
      </c>
      <c r="H181" s="0" t="s">
        <v>36</v>
      </c>
      <c r="I181" s="0" t="n">
        <v>126.92</v>
      </c>
      <c r="J181" s="0" t="n">
        <v>0</v>
      </c>
      <c r="K181" s="0" t="n">
        <v>18</v>
      </c>
    </row>
    <row r="182" customFormat="false" ht="15" hidden="false" customHeight="false" outlineLevel="0" collapsed="false">
      <c r="A182" s="0" t="s">
        <v>446</v>
      </c>
      <c r="B182" s="0" t="s">
        <v>447</v>
      </c>
      <c r="D182" s="0" t="s">
        <v>78</v>
      </c>
      <c r="E182" s="0" t="s">
        <v>72</v>
      </c>
      <c r="F182" s="0" t="s">
        <v>47</v>
      </c>
      <c r="G182" s="0" t="s">
        <v>69</v>
      </c>
      <c r="H182" s="0" t="s">
        <v>62</v>
      </c>
      <c r="I182" s="0" t="n">
        <v>363.86</v>
      </c>
      <c r="J182" s="0" t="n">
        <v>0.2</v>
      </c>
    </row>
    <row r="183" customFormat="false" ht="15" hidden="false" customHeight="false" outlineLevel="0" collapsed="false">
      <c r="A183" s="0" t="s">
        <v>448</v>
      </c>
      <c r="B183" s="0" t="s">
        <v>449</v>
      </c>
      <c r="C183" s="0" t="s">
        <v>450</v>
      </c>
      <c r="D183" s="0" t="s">
        <v>61</v>
      </c>
      <c r="E183" s="0" t="s">
        <v>33</v>
      </c>
      <c r="F183" s="0" t="s">
        <v>57</v>
      </c>
      <c r="G183" s="0" t="s">
        <v>117</v>
      </c>
      <c r="H183" s="0" t="s">
        <v>36</v>
      </c>
      <c r="I183" s="0" t="n">
        <v>773.21</v>
      </c>
      <c r="J183" s="0" t="n">
        <v>0</v>
      </c>
      <c r="K183" s="0" t="n">
        <v>17</v>
      </c>
    </row>
    <row r="184" customFormat="false" ht="15" hidden="false" customHeight="false" outlineLevel="0" collapsed="false">
      <c r="A184" s="0" t="s">
        <v>451</v>
      </c>
      <c r="B184" s="0" t="s">
        <v>452</v>
      </c>
      <c r="C184" s="0" t="s">
        <v>267</v>
      </c>
      <c r="D184" s="0" t="s">
        <v>51</v>
      </c>
      <c r="E184" s="0" t="s">
        <v>72</v>
      </c>
      <c r="F184" s="0" t="s">
        <v>47</v>
      </c>
      <c r="G184" s="0" t="s">
        <v>117</v>
      </c>
      <c r="H184" s="0" t="s">
        <v>36</v>
      </c>
      <c r="I184" s="0" t="n">
        <v>397.3</v>
      </c>
      <c r="J184" s="0" t="n">
        <v>0.2</v>
      </c>
      <c r="K184" s="0" t="n">
        <v>16</v>
      </c>
    </row>
    <row r="185" customFormat="false" ht="15" hidden="false" customHeight="false" outlineLevel="0" collapsed="false">
      <c r="A185" s="0" t="s">
        <v>453</v>
      </c>
      <c r="B185" s="0" t="s">
        <v>389</v>
      </c>
      <c r="D185" s="0" t="s">
        <v>32</v>
      </c>
      <c r="E185" s="0" t="s">
        <v>72</v>
      </c>
      <c r="F185" s="0" t="s">
        <v>89</v>
      </c>
      <c r="G185" s="0" t="s">
        <v>53</v>
      </c>
      <c r="H185" s="0" t="s">
        <v>62</v>
      </c>
      <c r="I185" s="0" t="n">
        <v>773.89</v>
      </c>
      <c r="J185" s="0" t="n">
        <v>0</v>
      </c>
    </row>
    <row r="186" customFormat="false" ht="15" hidden="false" customHeight="false" outlineLevel="0" collapsed="false">
      <c r="A186" s="0" t="s">
        <v>454</v>
      </c>
      <c r="B186" s="0" t="s">
        <v>455</v>
      </c>
      <c r="D186" s="0" t="s">
        <v>61</v>
      </c>
      <c r="E186" s="0" t="s">
        <v>66</v>
      </c>
      <c r="F186" s="0" t="s">
        <v>57</v>
      </c>
      <c r="G186" s="0" t="s">
        <v>53</v>
      </c>
      <c r="H186" s="0" t="s">
        <v>75</v>
      </c>
      <c r="I186" s="0" t="n">
        <v>761.9</v>
      </c>
      <c r="J186" s="0" t="n">
        <v>0.05</v>
      </c>
    </row>
    <row r="187" customFormat="false" ht="15" hidden="false" customHeight="false" outlineLevel="0" collapsed="false">
      <c r="A187" s="0" t="s">
        <v>456</v>
      </c>
      <c r="B187" s="0" t="s">
        <v>242</v>
      </c>
      <c r="C187" s="0" t="s">
        <v>457</v>
      </c>
      <c r="D187" s="0" t="s">
        <v>86</v>
      </c>
      <c r="E187" s="0" t="s">
        <v>52</v>
      </c>
      <c r="F187" s="0" t="s">
        <v>47</v>
      </c>
      <c r="G187" s="0" t="s">
        <v>53</v>
      </c>
      <c r="H187" s="0" t="s">
        <v>36</v>
      </c>
      <c r="I187" s="0" t="n">
        <v>550.1</v>
      </c>
      <c r="J187" s="0" t="n">
        <v>0.05</v>
      </c>
      <c r="K187" s="0" t="n">
        <v>15</v>
      </c>
    </row>
    <row r="188" customFormat="false" ht="15" hidden="false" customHeight="false" outlineLevel="0" collapsed="false">
      <c r="A188" s="0" t="s">
        <v>458</v>
      </c>
      <c r="B188" s="0" t="s">
        <v>92</v>
      </c>
      <c r="C188" s="0" t="s">
        <v>459</v>
      </c>
      <c r="D188" s="0" t="s">
        <v>86</v>
      </c>
      <c r="E188" s="0" t="s">
        <v>46</v>
      </c>
      <c r="F188" s="0" t="s">
        <v>89</v>
      </c>
      <c r="G188" s="0" t="s">
        <v>117</v>
      </c>
      <c r="H188" s="0" t="s">
        <v>42</v>
      </c>
      <c r="I188" s="0" t="n">
        <v>255.79</v>
      </c>
      <c r="J188" s="0" t="n">
        <v>0</v>
      </c>
      <c r="K188" s="0" t="n">
        <v>18</v>
      </c>
    </row>
    <row r="189" customFormat="false" ht="15" hidden="false" customHeight="false" outlineLevel="0" collapsed="false">
      <c r="A189" s="0" t="s">
        <v>460</v>
      </c>
      <c r="B189" s="0" t="s">
        <v>414</v>
      </c>
      <c r="C189" s="0" t="s">
        <v>364</v>
      </c>
      <c r="D189" s="0" t="s">
        <v>32</v>
      </c>
      <c r="E189" s="0" t="s">
        <v>33</v>
      </c>
      <c r="F189" s="0" t="s">
        <v>34</v>
      </c>
      <c r="H189" s="0" t="s">
        <v>42</v>
      </c>
      <c r="I189" s="0" t="n">
        <v>919.21</v>
      </c>
      <c r="J189" s="0" t="n">
        <v>0</v>
      </c>
      <c r="K189" s="0" t="n">
        <v>3</v>
      </c>
    </row>
    <row r="190" customFormat="false" ht="15" hidden="false" customHeight="false" outlineLevel="0" collapsed="false">
      <c r="A190" s="0" t="s">
        <v>461</v>
      </c>
      <c r="B190" s="0" t="s">
        <v>462</v>
      </c>
      <c r="C190" s="0" t="s">
        <v>463</v>
      </c>
      <c r="D190" s="0" t="s">
        <v>61</v>
      </c>
      <c r="E190" s="0" t="s">
        <v>114</v>
      </c>
      <c r="F190" s="0" t="s">
        <v>57</v>
      </c>
      <c r="G190" s="0" t="s">
        <v>117</v>
      </c>
      <c r="H190" s="0" t="s">
        <v>36</v>
      </c>
      <c r="I190" s="0" t="n">
        <v>1957.12</v>
      </c>
      <c r="J190" s="0" t="n">
        <v>0</v>
      </c>
      <c r="K190" s="0" t="n">
        <v>22</v>
      </c>
    </row>
    <row r="191" customFormat="false" ht="15" hidden="false" customHeight="false" outlineLevel="0" collapsed="false">
      <c r="A191" s="0" t="s">
        <v>464</v>
      </c>
      <c r="B191" s="0" t="s">
        <v>465</v>
      </c>
      <c r="C191" s="0" t="s">
        <v>466</v>
      </c>
      <c r="D191" s="0" t="s">
        <v>86</v>
      </c>
      <c r="E191" s="0" t="s">
        <v>52</v>
      </c>
      <c r="F191" s="0" t="s">
        <v>57</v>
      </c>
      <c r="G191" s="0" t="s">
        <v>53</v>
      </c>
      <c r="H191" s="0" t="s">
        <v>42</v>
      </c>
      <c r="I191" s="0" t="n">
        <v>476.36</v>
      </c>
      <c r="J191" s="0" t="n">
        <v>0.1</v>
      </c>
      <c r="K191" s="0" t="n">
        <v>33</v>
      </c>
    </row>
    <row r="192" customFormat="false" ht="15" hidden="false" customHeight="false" outlineLevel="0" collapsed="false">
      <c r="A192" s="0" t="s">
        <v>467</v>
      </c>
      <c r="B192" s="0" t="s">
        <v>468</v>
      </c>
      <c r="D192" s="0" t="s">
        <v>51</v>
      </c>
      <c r="E192" s="0" t="s">
        <v>66</v>
      </c>
      <c r="F192" s="0" t="s">
        <v>89</v>
      </c>
      <c r="G192" s="0" t="s">
        <v>35</v>
      </c>
      <c r="H192" s="0" t="s">
        <v>62</v>
      </c>
      <c r="I192" s="0" t="n">
        <v>641.11</v>
      </c>
      <c r="J192" s="0" t="n">
        <v>0.05</v>
      </c>
    </row>
    <row r="193" customFormat="false" ht="15" hidden="false" customHeight="false" outlineLevel="0" collapsed="false">
      <c r="A193" s="0" t="s">
        <v>469</v>
      </c>
      <c r="B193" s="0" t="s">
        <v>428</v>
      </c>
      <c r="D193" s="0" t="s">
        <v>86</v>
      </c>
      <c r="E193" s="0" t="s">
        <v>66</v>
      </c>
      <c r="F193" s="0" t="s">
        <v>79</v>
      </c>
      <c r="G193" s="0" t="s">
        <v>58</v>
      </c>
      <c r="H193" s="0" t="s">
        <v>75</v>
      </c>
      <c r="I193" s="0" t="n">
        <v>757.93</v>
      </c>
      <c r="J193" s="0" t="n">
        <v>0.1</v>
      </c>
    </row>
    <row r="194" customFormat="false" ht="15" hidden="false" customHeight="false" outlineLevel="0" collapsed="false">
      <c r="A194" s="0" t="s">
        <v>470</v>
      </c>
      <c r="B194" s="0" t="s">
        <v>161</v>
      </c>
      <c r="C194" s="0" t="s">
        <v>471</v>
      </c>
      <c r="D194" s="0" t="s">
        <v>51</v>
      </c>
      <c r="E194" s="0" t="s">
        <v>46</v>
      </c>
      <c r="F194" s="0" t="s">
        <v>79</v>
      </c>
      <c r="G194" s="0" t="s">
        <v>117</v>
      </c>
      <c r="H194" s="0" t="s">
        <v>36</v>
      </c>
      <c r="I194" s="0" t="n">
        <v>272.63</v>
      </c>
      <c r="J194" s="0" t="n">
        <v>0</v>
      </c>
      <c r="K194" s="0" t="n">
        <v>26</v>
      </c>
    </row>
    <row r="195" customFormat="false" ht="15" hidden="false" customHeight="false" outlineLevel="0" collapsed="false">
      <c r="A195" s="0" t="s">
        <v>472</v>
      </c>
      <c r="B195" s="0" t="s">
        <v>98</v>
      </c>
      <c r="D195" s="0" t="s">
        <v>95</v>
      </c>
      <c r="E195" s="0" t="s">
        <v>46</v>
      </c>
      <c r="F195" s="0" t="s">
        <v>129</v>
      </c>
      <c r="G195" s="0" t="s">
        <v>53</v>
      </c>
      <c r="H195" s="0" t="s">
        <v>80</v>
      </c>
      <c r="I195" s="0" t="n">
        <v>125.97</v>
      </c>
      <c r="J195" s="0" t="n">
        <v>0</v>
      </c>
    </row>
    <row r="196" customFormat="false" ht="15" hidden="false" customHeight="false" outlineLevel="0" collapsed="false">
      <c r="A196" s="0" t="s">
        <v>473</v>
      </c>
      <c r="B196" s="0" t="s">
        <v>348</v>
      </c>
      <c r="C196" s="0" t="s">
        <v>474</v>
      </c>
      <c r="D196" s="0" t="s">
        <v>95</v>
      </c>
      <c r="E196" s="0" t="s">
        <v>52</v>
      </c>
      <c r="F196" s="0" t="s">
        <v>57</v>
      </c>
      <c r="G196" s="0" t="s">
        <v>69</v>
      </c>
      <c r="H196" s="0" t="s">
        <v>42</v>
      </c>
      <c r="I196" s="0" t="n">
        <v>481.97</v>
      </c>
      <c r="J196" s="0" t="n">
        <v>0.2</v>
      </c>
      <c r="K196" s="0" t="n">
        <v>13</v>
      </c>
    </row>
    <row r="197" customFormat="false" ht="15" hidden="false" customHeight="false" outlineLevel="0" collapsed="false">
      <c r="A197" s="0" t="s">
        <v>475</v>
      </c>
      <c r="B197" s="0" t="s">
        <v>476</v>
      </c>
      <c r="C197" s="0" t="s">
        <v>374</v>
      </c>
      <c r="D197" s="0" t="s">
        <v>61</v>
      </c>
      <c r="E197" s="0" t="s">
        <v>52</v>
      </c>
      <c r="F197" s="0" t="s">
        <v>73</v>
      </c>
      <c r="G197" s="0" t="s">
        <v>74</v>
      </c>
      <c r="H197" s="0" t="s">
        <v>42</v>
      </c>
      <c r="I197" s="0" t="n">
        <v>1608.92</v>
      </c>
      <c r="J197" s="0" t="n">
        <v>0</v>
      </c>
      <c r="K197" s="0" t="n">
        <v>9</v>
      </c>
    </row>
    <row r="198" customFormat="false" ht="15" hidden="false" customHeight="false" outlineLevel="0" collapsed="false">
      <c r="A198" s="0" t="s">
        <v>477</v>
      </c>
      <c r="B198" s="0" t="s">
        <v>478</v>
      </c>
      <c r="D198" s="0" t="s">
        <v>78</v>
      </c>
      <c r="E198" s="0" t="s">
        <v>72</v>
      </c>
      <c r="F198" s="0" t="s">
        <v>89</v>
      </c>
      <c r="G198" s="0" t="s">
        <v>117</v>
      </c>
      <c r="H198" s="0" t="s">
        <v>75</v>
      </c>
      <c r="I198" s="0" t="n">
        <v>393.92</v>
      </c>
      <c r="J198" s="0" t="n">
        <v>0</v>
      </c>
    </row>
    <row r="199" customFormat="false" ht="15" hidden="false" customHeight="false" outlineLevel="0" collapsed="false">
      <c r="A199" s="0" t="s">
        <v>479</v>
      </c>
      <c r="B199" s="0" t="s">
        <v>480</v>
      </c>
      <c r="C199" s="0" t="s">
        <v>205</v>
      </c>
      <c r="D199" s="0" t="s">
        <v>51</v>
      </c>
      <c r="E199" s="0" t="s">
        <v>46</v>
      </c>
      <c r="F199" s="0" t="s">
        <v>34</v>
      </c>
      <c r="G199" s="0" t="s">
        <v>117</v>
      </c>
      <c r="H199" s="0" t="s">
        <v>36</v>
      </c>
      <c r="I199" s="0" t="n">
        <v>402.74</v>
      </c>
      <c r="J199" s="0" t="n">
        <v>0.15</v>
      </c>
      <c r="K199" s="0" t="n">
        <v>32</v>
      </c>
    </row>
    <row r="200" customFormat="false" ht="15" hidden="false" customHeight="false" outlineLevel="0" collapsed="false">
      <c r="A200" s="0" t="s">
        <v>481</v>
      </c>
      <c r="B200" s="0" t="s">
        <v>178</v>
      </c>
      <c r="C200" s="0" t="s">
        <v>447</v>
      </c>
      <c r="D200" s="0" t="s">
        <v>86</v>
      </c>
      <c r="E200" s="0" t="s">
        <v>52</v>
      </c>
      <c r="F200" s="0" t="s">
        <v>73</v>
      </c>
      <c r="G200" s="0" t="s">
        <v>69</v>
      </c>
      <c r="H200" s="0" t="s">
        <v>42</v>
      </c>
      <c r="I200" s="0" t="n">
        <v>532.07</v>
      </c>
      <c r="J200" s="0" t="n">
        <v>0</v>
      </c>
      <c r="K200" s="0" t="n">
        <v>32</v>
      </c>
    </row>
    <row r="201" customFormat="false" ht="15" hidden="false" customHeight="false" outlineLevel="0" collapsed="false">
      <c r="A201" s="0" t="s">
        <v>482</v>
      </c>
      <c r="B201" s="0" t="s">
        <v>411</v>
      </c>
      <c r="D201" s="0" t="s">
        <v>61</v>
      </c>
      <c r="E201" s="0" t="s">
        <v>72</v>
      </c>
      <c r="F201" s="0" t="s">
        <v>79</v>
      </c>
      <c r="G201" s="0" t="s">
        <v>41</v>
      </c>
      <c r="H201" s="0" t="s">
        <v>62</v>
      </c>
      <c r="I201" s="0" t="n">
        <v>367.38</v>
      </c>
      <c r="J201" s="0" t="n">
        <v>0.2</v>
      </c>
    </row>
    <row r="202" customFormat="false" ht="15" hidden="false" customHeight="false" outlineLevel="0" collapsed="false">
      <c r="A202" s="0" t="s">
        <v>483</v>
      </c>
      <c r="B202" s="0" t="s">
        <v>484</v>
      </c>
      <c r="C202" s="0" t="s">
        <v>485</v>
      </c>
      <c r="D202" s="0" t="s">
        <v>78</v>
      </c>
      <c r="E202" s="0" t="s">
        <v>72</v>
      </c>
      <c r="F202" s="0" t="s">
        <v>34</v>
      </c>
      <c r="G202" s="0" t="s">
        <v>35</v>
      </c>
      <c r="H202" s="0" t="s">
        <v>42</v>
      </c>
      <c r="I202" s="0" t="n">
        <v>375.71</v>
      </c>
      <c r="J202" s="0" t="n">
        <v>0.1</v>
      </c>
      <c r="K202" s="0" t="n">
        <v>8</v>
      </c>
    </row>
    <row r="203" customFormat="false" ht="15" hidden="false" customHeight="false" outlineLevel="0" collapsed="false">
      <c r="A203" s="0" t="s">
        <v>486</v>
      </c>
      <c r="B203" s="0" t="s">
        <v>284</v>
      </c>
      <c r="D203" s="0" t="s">
        <v>32</v>
      </c>
      <c r="E203" s="0" t="s">
        <v>52</v>
      </c>
      <c r="F203" s="0" t="s">
        <v>47</v>
      </c>
      <c r="G203" s="0" t="s">
        <v>69</v>
      </c>
      <c r="H203" s="0" t="s">
        <v>80</v>
      </c>
      <c r="I203" s="0" t="n">
        <v>1672.93</v>
      </c>
      <c r="J203" s="0" t="n">
        <v>0</v>
      </c>
    </row>
    <row r="204" customFormat="false" ht="15" hidden="false" customHeight="false" outlineLevel="0" collapsed="false">
      <c r="A204" s="0" t="s">
        <v>487</v>
      </c>
      <c r="B204" s="0" t="s">
        <v>136</v>
      </c>
      <c r="C204" s="0" t="s">
        <v>488</v>
      </c>
      <c r="D204" s="0" t="s">
        <v>95</v>
      </c>
      <c r="E204" s="0" t="s">
        <v>114</v>
      </c>
      <c r="F204" s="0" t="s">
        <v>34</v>
      </c>
      <c r="G204" s="0" t="s">
        <v>74</v>
      </c>
      <c r="H204" s="0" t="s">
        <v>36</v>
      </c>
      <c r="I204" s="0" t="n">
        <v>2096.5</v>
      </c>
      <c r="J204" s="0" t="n">
        <v>0.05</v>
      </c>
      <c r="K204" s="0" t="n">
        <v>13</v>
      </c>
    </row>
    <row r="205" customFormat="false" ht="15" hidden="false" customHeight="false" outlineLevel="0" collapsed="false">
      <c r="A205" s="0" t="s">
        <v>489</v>
      </c>
      <c r="B205" s="0" t="s">
        <v>330</v>
      </c>
      <c r="C205" s="0" t="s">
        <v>490</v>
      </c>
      <c r="D205" s="0" t="s">
        <v>86</v>
      </c>
      <c r="E205" s="0" t="s">
        <v>46</v>
      </c>
      <c r="F205" s="0" t="s">
        <v>34</v>
      </c>
      <c r="G205" s="0" t="s">
        <v>35</v>
      </c>
      <c r="H205" s="0" t="s">
        <v>42</v>
      </c>
      <c r="I205" s="0" t="n">
        <v>267.05</v>
      </c>
      <c r="J205" s="0" t="n">
        <v>0</v>
      </c>
      <c r="K205" s="0" t="n">
        <v>11</v>
      </c>
    </row>
    <row r="206" customFormat="false" ht="15" hidden="false" customHeight="false" outlineLevel="0" collapsed="false">
      <c r="A206" s="0" t="s">
        <v>491</v>
      </c>
      <c r="B206" s="0" t="s">
        <v>492</v>
      </c>
      <c r="C206" s="0" t="s">
        <v>493</v>
      </c>
      <c r="D206" s="0" t="s">
        <v>40</v>
      </c>
      <c r="E206" s="0" t="s">
        <v>33</v>
      </c>
      <c r="F206" s="0" t="s">
        <v>57</v>
      </c>
      <c r="G206" s="0" t="s">
        <v>69</v>
      </c>
      <c r="H206" s="0" t="s">
        <v>42</v>
      </c>
      <c r="I206" s="0" t="n">
        <v>793.86</v>
      </c>
      <c r="J206" s="0" t="n">
        <v>0.15</v>
      </c>
      <c r="K206" s="0" t="n">
        <v>12</v>
      </c>
    </row>
    <row r="207" customFormat="false" ht="15" hidden="false" customHeight="false" outlineLevel="0" collapsed="false">
      <c r="A207" s="0" t="s">
        <v>494</v>
      </c>
      <c r="B207" s="0" t="s">
        <v>495</v>
      </c>
      <c r="C207" s="0" t="s">
        <v>496</v>
      </c>
      <c r="D207" s="0" t="s">
        <v>95</v>
      </c>
      <c r="E207" s="0" t="s">
        <v>72</v>
      </c>
      <c r="F207" s="0" t="s">
        <v>129</v>
      </c>
      <c r="G207" s="0" t="s">
        <v>69</v>
      </c>
      <c r="H207" s="0" t="s">
        <v>42</v>
      </c>
      <c r="I207" s="0" t="n">
        <v>331.41</v>
      </c>
      <c r="J207" s="0" t="n">
        <v>0.05</v>
      </c>
      <c r="K207" s="0" t="n">
        <v>22</v>
      </c>
    </row>
    <row r="208" customFormat="false" ht="15" hidden="false" customHeight="false" outlineLevel="0" collapsed="false">
      <c r="A208" s="0" t="s">
        <v>497</v>
      </c>
      <c r="B208" s="0" t="s">
        <v>498</v>
      </c>
      <c r="C208" s="0" t="s">
        <v>485</v>
      </c>
      <c r="D208" s="0" t="s">
        <v>78</v>
      </c>
      <c r="E208" s="0" t="s">
        <v>72</v>
      </c>
      <c r="F208" s="0" t="s">
        <v>89</v>
      </c>
      <c r="G208" s="0" t="s">
        <v>69</v>
      </c>
      <c r="H208" s="0" t="s">
        <v>36</v>
      </c>
      <c r="I208" s="0" t="n">
        <v>358.6</v>
      </c>
      <c r="J208" s="0" t="n">
        <v>0.2</v>
      </c>
      <c r="K208" s="0" t="n">
        <v>37</v>
      </c>
    </row>
    <row r="209" customFormat="false" ht="15" hidden="false" customHeight="false" outlineLevel="0" collapsed="false">
      <c r="A209" s="0" t="s">
        <v>499</v>
      </c>
      <c r="B209" s="0" t="s">
        <v>500</v>
      </c>
      <c r="C209" s="0" t="s">
        <v>501</v>
      </c>
      <c r="D209" s="0" t="s">
        <v>51</v>
      </c>
      <c r="E209" s="0" t="s">
        <v>114</v>
      </c>
      <c r="F209" s="0" t="s">
        <v>57</v>
      </c>
      <c r="G209" s="0" t="s">
        <v>41</v>
      </c>
      <c r="H209" s="0" t="s">
        <v>42</v>
      </c>
      <c r="I209" s="0" t="n">
        <v>1353.8</v>
      </c>
      <c r="J209" s="0" t="n">
        <v>0</v>
      </c>
      <c r="K209" s="0" t="n">
        <v>14</v>
      </c>
    </row>
    <row r="210" customFormat="false" ht="15" hidden="false" customHeight="false" outlineLevel="0" collapsed="false">
      <c r="A210" s="0" t="s">
        <v>502</v>
      </c>
      <c r="B210" s="0" t="s">
        <v>503</v>
      </c>
      <c r="D210" s="0" t="s">
        <v>40</v>
      </c>
      <c r="E210" s="0" t="s">
        <v>33</v>
      </c>
      <c r="F210" s="0" t="s">
        <v>34</v>
      </c>
      <c r="G210" s="0" t="s">
        <v>140</v>
      </c>
      <c r="H210" s="0" t="s">
        <v>62</v>
      </c>
      <c r="I210" s="0" t="n">
        <v>808.64</v>
      </c>
      <c r="J210" s="0" t="n">
        <v>0</v>
      </c>
    </row>
    <row r="211" customFormat="false" ht="15" hidden="false" customHeight="false" outlineLevel="0" collapsed="false">
      <c r="A211" s="0" t="s">
        <v>504</v>
      </c>
      <c r="B211" s="0" t="s">
        <v>104</v>
      </c>
      <c r="C211" s="0" t="s">
        <v>505</v>
      </c>
      <c r="D211" s="0" t="s">
        <v>78</v>
      </c>
      <c r="E211" s="0" t="s">
        <v>72</v>
      </c>
      <c r="F211" s="0" t="s">
        <v>47</v>
      </c>
      <c r="G211" s="0" t="s">
        <v>117</v>
      </c>
      <c r="H211" s="0" t="s">
        <v>42</v>
      </c>
      <c r="I211" s="0" t="n">
        <v>399.07</v>
      </c>
      <c r="J211" s="0" t="n">
        <v>0.2</v>
      </c>
      <c r="K211" s="0" t="n">
        <v>26</v>
      </c>
    </row>
    <row r="212" customFormat="false" ht="15" hidden="false" customHeight="false" outlineLevel="0" collapsed="false">
      <c r="A212" s="0" t="s">
        <v>506</v>
      </c>
      <c r="B212" s="0" t="s">
        <v>65</v>
      </c>
      <c r="C212" s="0" t="s">
        <v>253</v>
      </c>
      <c r="D212" s="0" t="s">
        <v>40</v>
      </c>
      <c r="E212" s="0" t="s">
        <v>72</v>
      </c>
      <c r="F212" s="0" t="s">
        <v>34</v>
      </c>
      <c r="G212" s="0" t="s">
        <v>74</v>
      </c>
      <c r="H212" s="0" t="s">
        <v>36</v>
      </c>
      <c r="I212" s="0" t="n">
        <v>694.61</v>
      </c>
      <c r="J212" s="0" t="n">
        <v>0.1</v>
      </c>
      <c r="K212" s="0" t="n">
        <v>13</v>
      </c>
    </row>
    <row r="213" customFormat="false" ht="15" hidden="false" customHeight="false" outlineLevel="0" collapsed="false">
      <c r="A213" s="0" t="s">
        <v>507</v>
      </c>
      <c r="B213" s="0" t="s">
        <v>508</v>
      </c>
      <c r="D213" s="0" t="s">
        <v>40</v>
      </c>
      <c r="E213" s="0" t="s">
        <v>114</v>
      </c>
      <c r="F213" s="0" t="s">
        <v>89</v>
      </c>
      <c r="G213" s="0" t="s">
        <v>58</v>
      </c>
      <c r="H213" s="0" t="s">
        <v>62</v>
      </c>
      <c r="I213" s="0" t="n">
        <v>657.48</v>
      </c>
      <c r="J213" s="0" t="n">
        <v>0.1</v>
      </c>
    </row>
    <row r="214" customFormat="false" ht="15" hidden="false" customHeight="false" outlineLevel="0" collapsed="false">
      <c r="A214" s="0" t="s">
        <v>509</v>
      </c>
      <c r="B214" s="0" t="s">
        <v>510</v>
      </c>
      <c r="C214" s="0" t="s">
        <v>212</v>
      </c>
      <c r="D214" s="0" t="s">
        <v>51</v>
      </c>
      <c r="E214" s="0" t="s">
        <v>52</v>
      </c>
      <c r="F214" s="0" t="s">
        <v>34</v>
      </c>
      <c r="G214" s="0" t="s">
        <v>140</v>
      </c>
      <c r="H214" s="0" t="s">
        <v>36</v>
      </c>
      <c r="I214" s="0" t="n">
        <v>1052.94</v>
      </c>
      <c r="J214" s="0" t="n">
        <v>0</v>
      </c>
      <c r="K214" s="0" t="n">
        <v>26</v>
      </c>
    </row>
    <row r="215" customFormat="false" ht="15" hidden="false" customHeight="false" outlineLevel="0" collapsed="false">
      <c r="A215" s="0" t="s">
        <v>511</v>
      </c>
      <c r="B215" s="0" t="s">
        <v>64</v>
      </c>
      <c r="C215" s="0" t="s">
        <v>291</v>
      </c>
      <c r="D215" s="0" t="s">
        <v>86</v>
      </c>
      <c r="E215" s="0" t="s">
        <v>114</v>
      </c>
      <c r="F215" s="0" t="s">
        <v>34</v>
      </c>
      <c r="G215" s="0" t="s">
        <v>53</v>
      </c>
      <c r="H215" s="0" t="s">
        <v>42</v>
      </c>
      <c r="I215" s="0" t="n">
        <v>693.26</v>
      </c>
      <c r="J215" s="0" t="n">
        <v>0.1</v>
      </c>
      <c r="K215" s="0" t="n">
        <v>27</v>
      </c>
    </row>
    <row r="216" customFormat="false" ht="15" hidden="false" customHeight="false" outlineLevel="0" collapsed="false">
      <c r="A216" s="0" t="s">
        <v>512</v>
      </c>
      <c r="B216" s="0" t="s">
        <v>513</v>
      </c>
      <c r="C216" s="0" t="s">
        <v>514</v>
      </c>
      <c r="D216" s="0" t="s">
        <v>51</v>
      </c>
      <c r="E216" s="0" t="s">
        <v>114</v>
      </c>
      <c r="F216" s="0" t="s">
        <v>73</v>
      </c>
      <c r="H216" s="0" t="s">
        <v>42</v>
      </c>
      <c r="I216" s="0" t="n">
        <v>1223.54</v>
      </c>
      <c r="J216" s="0" t="n">
        <v>0.1</v>
      </c>
      <c r="K216" s="0" t="n">
        <v>29</v>
      </c>
    </row>
    <row r="217" customFormat="false" ht="15" hidden="false" customHeight="false" outlineLevel="0" collapsed="false">
      <c r="A217" s="0" t="s">
        <v>515</v>
      </c>
      <c r="B217" s="0" t="s">
        <v>274</v>
      </c>
      <c r="C217" s="0" t="s">
        <v>186</v>
      </c>
      <c r="D217" s="0" t="s">
        <v>51</v>
      </c>
      <c r="E217" s="0" t="s">
        <v>46</v>
      </c>
      <c r="F217" s="0" t="s">
        <v>79</v>
      </c>
      <c r="G217" s="0" t="s">
        <v>74</v>
      </c>
      <c r="H217" s="0" t="s">
        <v>36</v>
      </c>
      <c r="I217" s="0" t="n">
        <v>387.3</v>
      </c>
      <c r="J217" s="0" t="n">
        <v>0.1</v>
      </c>
      <c r="K217" s="0" t="n">
        <v>21</v>
      </c>
    </row>
    <row r="218" customFormat="false" ht="15" hidden="false" customHeight="false" outlineLevel="0" collapsed="false">
      <c r="A218" s="0" t="s">
        <v>516</v>
      </c>
      <c r="B218" s="0" t="s">
        <v>517</v>
      </c>
      <c r="C218" s="0" t="s">
        <v>518</v>
      </c>
      <c r="D218" s="0" t="s">
        <v>61</v>
      </c>
      <c r="E218" s="0" t="s">
        <v>46</v>
      </c>
      <c r="F218" s="0" t="s">
        <v>34</v>
      </c>
      <c r="G218" s="0" t="s">
        <v>117</v>
      </c>
      <c r="H218" s="0" t="s">
        <v>42</v>
      </c>
      <c r="I218" s="0" t="n">
        <v>120.93</v>
      </c>
      <c r="J218" s="0" t="n">
        <v>0</v>
      </c>
      <c r="K218" s="0" t="n">
        <v>18</v>
      </c>
    </row>
    <row r="219" customFormat="false" ht="15" hidden="false" customHeight="false" outlineLevel="0" collapsed="false">
      <c r="A219" s="0" t="s">
        <v>519</v>
      </c>
      <c r="B219" s="0" t="s">
        <v>320</v>
      </c>
      <c r="C219" s="0" t="s">
        <v>520</v>
      </c>
      <c r="D219" s="0" t="s">
        <v>86</v>
      </c>
      <c r="E219" s="0" t="s">
        <v>46</v>
      </c>
      <c r="F219" s="0" t="s">
        <v>34</v>
      </c>
      <c r="G219" s="0" t="s">
        <v>74</v>
      </c>
      <c r="H219" s="0" t="s">
        <v>36</v>
      </c>
      <c r="I219" s="0" t="n">
        <v>114.14</v>
      </c>
      <c r="J219" s="0" t="n">
        <v>0.05</v>
      </c>
      <c r="K219" s="0" t="n">
        <v>5</v>
      </c>
    </row>
    <row r="220" customFormat="false" ht="15" hidden="false" customHeight="false" outlineLevel="0" collapsed="false">
      <c r="A220" s="0" t="s">
        <v>521</v>
      </c>
      <c r="B220" s="0" t="s">
        <v>199</v>
      </c>
      <c r="C220" s="0" t="s">
        <v>333</v>
      </c>
      <c r="D220" s="0" t="s">
        <v>86</v>
      </c>
      <c r="E220" s="0" t="s">
        <v>114</v>
      </c>
      <c r="F220" s="0" t="s">
        <v>79</v>
      </c>
      <c r="G220" s="0" t="s">
        <v>74</v>
      </c>
      <c r="H220" s="0" t="s">
        <v>42</v>
      </c>
      <c r="I220" s="0" t="n">
        <v>1342.12</v>
      </c>
      <c r="J220" s="0" t="n">
        <v>0</v>
      </c>
      <c r="K220" s="0" t="n">
        <v>3</v>
      </c>
    </row>
    <row r="221" customFormat="false" ht="15" hidden="false" customHeight="false" outlineLevel="0" collapsed="false">
      <c r="A221" s="0" t="s">
        <v>522</v>
      </c>
      <c r="B221" s="0" t="s">
        <v>362</v>
      </c>
      <c r="D221" s="0" t="s">
        <v>61</v>
      </c>
      <c r="E221" s="0" t="s">
        <v>66</v>
      </c>
      <c r="F221" s="0" t="s">
        <v>79</v>
      </c>
      <c r="G221" s="0" t="s">
        <v>53</v>
      </c>
      <c r="H221" s="0" t="s">
        <v>80</v>
      </c>
      <c r="I221" s="0" t="n">
        <v>786.12</v>
      </c>
      <c r="J221" s="0" t="n">
        <v>0.1</v>
      </c>
    </row>
    <row r="222" customFormat="false" ht="15" hidden="false" customHeight="false" outlineLevel="0" collapsed="false">
      <c r="A222" s="0" t="s">
        <v>523</v>
      </c>
      <c r="B222" s="0" t="s">
        <v>94</v>
      </c>
      <c r="C222" s="0" t="s">
        <v>524</v>
      </c>
      <c r="D222" s="0" t="s">
        <v>40</v>
      </c>
      <c r="E222" s="0" t="s">
        <v>52</v>
      </c>
      <c r="F222" s="0" t="s">
        <v>129</v>
      </c>
      <c r="G222" s="0" t="s">
        <v>35</v>
      </c>
      <c r="H222" s="0" t="s">
        <v>36</v>
      </c>
      <c r="I222" s="0" t="n">
        <v>589.5</v>
      </c>
      <c r="J222" s="0" t="n">
        <v>0.2</v>
      </c>
      <c r="K222" s="0" t="n">
        <v>9</v>
      </c>
    </row>
    <row r="223" customFormat="false" ht="15" hidden="false" customHeight="false" outlineLevel="0" collapsed="false">
      <c r="A223" s="0" t="s">
        <v>525</v>
      </c>
      <c r="B223" s="0" t="s">
        <v>168</v>
      </c>
      <c r="C223" s="0" t="s">
        <v>526</v>
      </c>
      <c r="D223" s="0" t="s">
        <v>51</v>
      </c>
      <c r="E223" s="0" t="s">
        <v>46</v>
      </c>
      <c r="F223" s="0" t="s">
        <v>34</v>
      </c>
      <c r="G223" s="0" t="s">
        <v>117</v>
      </c>
      <c r="H223" s="0" t="s">
        <v>42</v>
      </c>
      <c r="I223" s="0" t="n">
        <v>131.06</v>
      </c>
      <c r="J223" s="0" t="n">
        <v>0</v>
      </c>
      <c r="K223" s="0" t="n">
        <v>3</v>
      </c>
    </row>
    <row r="224" customFormat="false" ht="15" hidden="false" customHeight="false" outlineLevel="0" collapsed="false">
      <c r="A224" s="0" t="s">
        <v>527</v>
      </c>
      <c r="B224" s="0" t="s">
        <v>444</v>
      </c>
      <c r="D224" s="0" t="s">
        <v>86</v>
      </c>
      <c r="E224" s="0" t="s">
        <v>46</v>
      </c>
      <c r="F224" s="0" t="s">
        <v>47</v>
      </c>
      <c r="G224" s="0" t="s">
        <v>140</v>
      </c>
      <c r="H224" s="0" t="s">
        <v>62</v>
      </c>
      <c r="I224" s="0" t="n">
        <v>133.52</v>
      </c>
      <c r="J224" s="0" t="n">
        <v>0</v>
      </c>
    </row>
    <row r="225" customFormat="false" ht="15" hidden="false" customHeight="false" outlineLevel="0" collapsed="false">
      <c r="A225" s="0" t="s">
        <v>528</v>
      </c>
      <c r="B225" s="0" t="s">
        <v>529</v>
      </c>
      <c r="D225" s="0" t="s">
        <v>51</v>
      </c>
      <c r="E225" s="0" t="s">
        <v>46</v>
      </c>
      <c r="F225" s="0" t="s">
        <v>34</v>
      </c>
      <c r="G225" s="0" t="s">
        <v>117</v>
      </c>
      <c r="H225" s="0" t="s">
        <v>80</v>
      </c>
      <c r="I225" s="0" t="n">
        <v>348</v>
      </c>
      <c r="J225" s="0" t="n">
        <v>0</v>
      </c>
    </row>
    <row r="226" customFormat="false" ht="15" hidden="false" customHeight="false" outlineLevel="0" collapsed="false">
      <c r="A226" s="0" t="s">
        <v>530</v>
      </c>
      <c r="B226" s="0" t="s">
        <v>39</v>
      </c>
      <c r="C226" s="0" t="s">
        <v>244</v>
      </c>
      <c r="D226" s="0" t="s">
        <v>86</v>
      </c>
      <c r="E226" s="0" t="s">
        <v>46</v>
      </c>
      <c r="F226" s="0" t="s">
        <v>89</v>
      </c>
      <c r="G226" s="0" t="s">
        <v>58</v>
      </c>
      <c r="H226" s="0" t="s">
        <v>36</v>
      </c>
      <c r="I226" s="0" t="n">
        <v>388.57</v>
      </c>
      <c r="J226" s="0" t="n">
        <v>0</v>
      </c>
      <c r="K226" s="0" t="n">
        <v>13</v>
      </c>
    </row>
    <row r="227" customFormat="false" ht="15" hidden="false" customHeight="false" outlineLevel="0" collapsed="false">
      <c r="A227" s="0" t="s">
        <v>531</v>
      </c>
      <c r="B227" s="0" t="s">
        <v>532</v>
      </c>
      <c r="D227" s="0" t="s">
        <v>32</v>
      </c>
      <c r="E227" s="0" t="s">
        <v>52</v>
      </c>
      <c r="F227" s="0" t="s">
        <v>34</v>
      </c>
      <c r="G227" s="0" t="s">
        <v>140</v>
      </c>
      <c r="H227" s="0" t="s">
        <v>80</v>
      </c>
      <c r="I227" s="0" t="n">
        <v>479.35</v>
      </c>
      <c r="J227" s="0" t="n">
        <v>0</v>
      </c>
    </row>
    <row r="228" customFormat="false" ht="15" hidden="false" customHeight="false" outlineLevel="0" collapsed="false">
      <c r="A228" s="0" t="s">
        <v>533</v>
      </c>
      <c r="B228" s="0" t="s">
        <v>534</v>
      </c>
      <c r="D228" s="0" t="s">
        <v>86</v>
      </c>
      <c r="E228" s="0" t="s">
        <v>52</v>
      </c>
      <c r="F228" s="0" t="s">
        <v>89</v>
      </c>
      <c r="G228" s="0" t="s">
        <v>117</v>
      </c>
      <c r="H228" s="0" t="s">
        <v>80</v>
      </c>
      <c r="I228" s="0" t="n">
        <v>562.1</v>
      </c>
      <c r="J228" s="0" t="n">
        <v>0</v>
      </c>
    </row>
    <row r="229" customFormat="false" ht="15" hidden="false" customHeight="false" outlineLevel="0" collapsed="false">
      <c r="A229" s="0" t="s">
        <v>535</v>
      </c>
      <c r="B229" s="0" t="s">
        <v>536</v>
      </c>
      <c r="C229" s="0" t="s">
        <v>119</v>
      </c>
      <c r="D229" s="0" t="s">
        <v>51</v>
      </c>
      <c r="E229" s="0" t="s">
        <v>46</v>
      </c>
      <c r="F229" s="0" t="s">
        <v>34</v>
      </c>
      <c r="G229" s="0" t="s">
        <v>58</v>
      </c>
      <c r="H229" s="0" t="s">
        <v>42</v>
      </c>
      <c r="I229" s="0" t="n">
        <v>136.75</v>
      </c>
      <c r="J229" s="0" t="n">
        <v>0.05</v>
      </c>
      <c r="K229" s="0" t="n">
        <v>17</v>
      </c>
    </row>
    <row r="230" customFormat="false" ht="15" hidden="false" customHeight="false" outlineLevel="0" collapsed="false">
      <c r="A230" s="0" t="s">
        <v>537</v>
      </c>
      <c r="B230" s="0" t="s">
        <v>325</v>
      </c>
      <c r="D230" s="0" t="s">
        <v>95</v>
      </c>
      <c r="E230" s="0" t="s">
        <v>52</v>
      </c>
      <c r="F230" s="0" t="s">
        <v>79</v>
      </c>
      <c r="G230" s="0" t="s">
        <v>74</v>
      </c>
      <c r="H230" s="0" t="s">
        <v>75</v>
      </c>
      <c r="I230" s="0" t="n">
        <v>490.18</v>
      </c>
      <c r="J230" s="0" t="n">
        <v>0</v>
      </c>
    </row>
    <row r="231" customFormat="false" ht="15" hidden="false" customHeight="false" outlineLevel="0" collapsed="false">
      <c r="A231" s="0" t="s">
        <v>538</v>
      </c>
      <c r="B231" s="0" t="s">
        <v>539</v>
      </c>
      <c r="C231" s="0" t="s">
        <v>108</v>
      </c>
      <c r="D231" s="0" t="s">
        <v>78</v>
      </c>
      <c r="E231" s="0" t="s">
        <v>72</v>
      </c>
      <c r="F231" s="0" t="s">
        <v>47</v>
      </c>
      <c r="G231" s="0" t="s">
        <v>58</v>
      </c>
      <c r="H231" s="0" t="s">
        <v>36</v>
      </c>
      <c r="I231" s="0" t="n">
        <v>1225.11</v>
      </c>
      <c r="J231" s="0" t="n">
        <v>0.1</v>
      </c>
      <c r="K231" s="0" t="n">
        <v>3</v>
      </c>
    </row>
    <row r="232" customFormat="false" ht="15" hidden="false" customHeight="false" outlineLevel="0" collapsed="false">
      <c r="A232" s="0" t="s">
        <v>540</v>
      </c>
      <c r="B232" s="0" t="s">
        <v>159</v>
      </c>
      <c r="C232" s="0" t="s">
        <v>541</v>
      </c>
      <c r="D232" s="0" t="s">
        <v>40</v>
      </c>
      <c r="E232" s="0" t="s">
        <v>52</v>
      </c>
      <c r="F232" s="0" t="s">
        <v>79</v>
      </c>
      <c r="G232" s="0" t="s">
        <v>117</v>
      </c>
      <c r="H232" s="0" t="s">
        <v>36</v>
      </c>
      <c r="I232" s="0" t="n">
        <v>524.6</v>
      </c>
      <c r="J232" s="0" t="n">
        <v>0.15</v>
      </c>
      <c r="K232" s="0" t="n">
        <v>25</v>
      </c>
    </row>
    <row r="233" customFormat="false" ht="15" hidden="false" customHeight="false" outlineLevel="0" collapsed="false">
      <c r="A233" s="0" t="s">
        <v>542</v>
      </c>
      <c r="B233" s="0" t="s">
        <v>134</v>
      </c>
      <c r="C233" s="0" t="s">
        <v>342</v>
      </c>
      <c r="D233" s="0" t="s">
        <v>61</v>
      </c>
      <c r="E233" s="0" t="s">
        <v>33</v>
      </c>
      <c r="F233" s="0" t="s">
        <v>57</v>
      </c>
      <c r="G233" s="0" t="s">
        <v>35</v>
      </c>
      <c r="H233" s="0" t="s">
        <v>36</v>
      </c>
      <c r="I233" s="0" t="n">
        <v>1882.35</v>
      </c>
      <c r="J233" s="0" t="n">
        <v>0.2</v>
      </c>
      <c r="K233" s="0" t="n">
        <v>24</v>
      </c>
    </row>
    <row r="234" customFormat="false" ht="15" hidden="false" customHeight="false" outlineLevel="0" collapsed="false">
      <c r="A234" s="0" t="s">
        <v>543</v>
      </c>
      <c r="B234" s="0" t="s">
        <v>101</v>
      </c>
      <c r="C234" s="0" t="s">
        <v>544</v>
      </c>
      <c r="D234" s="0" t="s">
        <v>248</v>
      </c>
      <c r="E234" s="0" t="s">
        <v>114</v>
      </c>
      <c r="F234" s="0" t="s">
        <v>89</v>
      </c>
      <c r="G234" s="0" t="s">
        <v>140</v>
      </c>
      <c r="H234" s="0" t="s">
        <v>36</v>
      </c>
      <c r="I234" s="0" t="n">
        <v>634.03</v>
      </c>
      <c r="J234" s="0" t="n">
        <v>0.05</v>
      </c>
      <c r="K234" s="0" t="n">
        <v>26</v>
      </c>
    </row>
    <row r="235" customFormat="false" ht="15" hidden="false" customHeight="false" outlineLevel="0" collapsed="false">
      <c r="A235" s="0" t="s">
        <v>545</v>
      </c>
      <c r="B235" s="0" t="s">
        <v>330</v>
      </c>
      <c r="C235" s="0" t="s">
        <v>546</v>
      </c>
      <c r="D235" s="0" t="s">
        <v>61</v>
      </c>
      <c r="E235" s="0" t="s">
        <v>66</v>
      </c>
      <c r="F235" s="0" t="s">
        <v>73</v>
      </c>
      <c r="G235" s="0" t="s">
        <v>53</v>
      </c>
      <c r="H235" s="0" t="s">
        <v>42</v>
      </c>
      <c r="I235" s="0" t="n">
        <v>735.34</v>
      </c>
      <c r="J235" s="0" t="n">
        <v>0.15</v>
      </c>
      <c r="K235" s="0" t="n">
        <v>27</v>
      </c>
    </row>
    <row r="236" customFormat="false" ht="15" hidden="false" customHeight="false" outlineLevel="0" collapsed="false">
      <c r="A236" s="0" t="s">
        <v>547</v>
      </c>
      <c r="B236" s="0" t="s">
        <v>309</v>
      </c>
      <c r="C236" s="0" t="s">
        <v>534</v>
      </c>
      <c r="D236" s="0" t="s">
        <v>51</v>
      </c>
      <c r="E236" s="0" t="s">
        <v>46</v>
      </c>
      <c r="F236" s="0" t="s">
        <v>34</v>
      </c>
      <c r="G236" s="0" t="s">
        <v>58</v>
      </c>
      <c r="H236" s="0" t="s">
        <v>36</v>
      </c>
      <c r="I236" s="0" t="n">
        <v>136.21</v>
      </c>
      <c r="J236" s="0" t="n">
        <v>0.15</v>
      </c>
      <c r="K236" s="0" t="n">
        <v>12</v>
      </c>
    </row>
    <row r="237" customFormat="false" ht="15" hidden="false" customHeight="false" outlineLevel="0" collapsed="false">
      <c r="A237" s="0" t="s">
        <v>548</v>
      </c>
      <c r="B237" s="0" t="s">
        <v>549</v>
      </c>
      <c r="C237" s="0" t="s">
        <v>294</v>
      </c>
      <c r="D237" s="0" t="s">
        <v>78</v>
      </c>
      <c r="E237" s="0" t="s">
        <v>46</v>
      </c>
      <c r="F237" s="0" t="s">
        <v>79</v>
      </c>
      <c r="G237" s="0" t="s">
        <v>35</v>
      </c>
      <c r="H237" s="0" t="s">
        <v>42</v>
      </c>
      <c r="I237" s="0" t="n">
        <v>116.15</v>
      </c>
      <c r="J237" s="0" t="n">
        <v>0.05</v>
      </c>
      <c r="K237" s="0" t="n">
        <v>26</v>
      </c>
    </row>
    <row r="238" customFormat="false" ht="15" hidden="false" customHeight="false" outlineLevel="0" collapsed="false">
      <c r="A238" s="0" t="s">
        <v>550</v>
      </c>
      <c r="B238" s="0" t="s">
        <v>551</v>
      </c>
      <c r="D238" s="0" t="s">
        <v>61</v>
      </c>
      <c r="E238" s="0" t="s">
        <v>66</v>
      </c>
      <c r="F238" s="0" t="s">
        <v>57</v>
      </c>
      <c r="G238" s="0" t="s">
        <v>53</v>
      </c>
      <c r="H238" s="0" t="s">
        <v>80</v>
      </c>
      <c r="I238" s="0" t="n">
        <v>2381.69</v>
      </c>
      <c r="J238" s="0" t="n">
        <v>0.2</v>
      </c>
    </row>
    <row r="239" customFormat="false" ht="15" hidden="false" customHeight="false" outlineLevel="0" collapsed="false">
      <c r="A239" s="0" t="s">
        <v>552</v>
      </c>
      <c r="B239" s="0" t="s">
        <v>553</v>
      </c>
      <c r="C239" s="0" t="s">
        <v>127</v>
      </c>
      <c r="D239" s="0" t="s">
        <v>32</v>
      </c>
      <c r="E239" s="0" t="s">
        <v>52</v>
      </c>
      <c r="F239" s="0" t="s">
        <v>73</v>
      </c>
      <c r="G239" s="0" t="s">
        <v>58</v>
      </c>
      <c r="H239" s="0" t="s">
        <v>42</v>
      </c>
      <c r="I239" s="0" t="n">
        <v>1442.46</v>
      </c>
      <c r="J239" s="0" t="n">
        <v>0.1</v>
      </c>
      <c r="K239" s="0" t="n">
        <v>8</v>
      </c>
    </row>
    <row r="240" customFormat="false" ht="15" hidden="false" customHeight="false" outlineLevel="0" collapsed="false">
      <c r="A240" s="0" t="s">
        <v>554</v>
      </c>
      <c r="B240" s="0" t="s">
        <v>514</v>
      </c>
      <c r="D240" s="0" t="s">
        <v>61</v>
      </c>
      <c r="E240" s="0" t="s">
        <v>114</v>
      </c>
      <c r="F240" s="0" t="s">
        <v>47</v>
      </c>
      <c r="G240" s="0" t="s">
        <v>69</v>
      </c>
      <c r="H240" s="0" t="s">
        <v>75</v>
      </c>
      <c r="I240" s="0" t="n">
        <v>665.18</v>
      </c>
      <c r="J240" s="0" t="n">
        <v>0.15</v>
      </c>
    </row>
    <row r="241" customFormat="false" ht="15" hidden="false" customHeight="false" outlineLevel="0" collapsed="false">
      <c r="A241" s="0" t="s">
        <v>555</v>
      </c>
      <c r="B241" s="0" t="s">
        <v>381</v>
      </c>
      <c r="C241" s="0" t="s">
        <v>556</v>
      </c>
      <c r="D241" s="0" t="s">
        <v>86</v>
      </c>
      <c r="E241" s="0" t="s">
        <v>66</v>
      </c>
      <c r="F241" s="0" t="s">
        <v>34</v>
      </c>
      <c r="G241" s="0" t="s">
        <v>117</v>
      </c>
      <c r="H241" s="0" t="s">
        <v>42</v>
      </c>
      <c r="I241" s="0" t="n">
        <v>1450.13</v>
      </c>
      <c r="J241" s="0" t="n">
        <v>0.1</v>
      </c>
      <c r="K241" s="0" t="n">
        <v>36</v>
      </c>
    </row>
    <row r="242" customFormat="false" ht="15" hidden="false" customHeight="false" outlineLevel="0" collapsed="false">
      <c r="A242" s="0" t="s">
        <v>557</v>
      </c>
      <c r="B242" s="0" t="s">
        <v>558</v>
      </c>
      <c r="C242" s="0" t="s">
        <v>369</v>
      </c>
      <c r="D242" s="0" t="s">
        <v>78</v>
      </c>
      <c r="E242" s="0" t="s">
        <v>114</v>
      </c>
      <c r="F242" s="0" t="s">
        <v>47</v>
      </c>
      <c r="G242" s="0" t="s">
        <v>35</v>
      </c>
      <c r="H242" s="0" t="s">
        <v>42</v>
      </c>
      <c r="I242" s="0" t="n">
        <v>687.13</v>
      </c>
      <c r="J242" s="0" t="n">
        <v>0.05</v>
      </c>
      <c r="K242" s="0" t="n">
        <v>27</v>
      </c>
    </row>
    <row r="243" customFormat="false" ht="15" hidden="false" customHeight="false" outlineLevel="0" collapsed="false">
      <c r="A243" s="0" t="s">
        <v>559</v>
      </c>
      <c r="B243" s="0" t="s">
        <v>560</v>
      </c>
      <c r="D243" s="0" t="s">
        <v>51</v>
      </c>
      <c r="E243" s="0" t="s">
        <v>46</v>
      </c>
      <c r="F243" s="0" t="s">
        <v>34</v>
      </c>
      <c r="G243" s="0" t="s">
        <v>74</v>
      </c>
      <c r="H243" s="0" t="s">
        <v>62</v>
      </c>
      <c r="I243" s="0" t="n">
        <v>123.66</v>
      </c>
      <c r="J243" s="0" t="n">
        <v>0.05</v>
      </c>
    </row>
    <row r="244" customFormat="false" ht="15" hidden="false" customHeight="false" outlineLevel="0" collapsed="false">
      <c r="A244" s="0" t="s">
        <v>561</v>
      </c>
      <c r="B244" s="0" t="s">
        <v>474</v>
      </c>
      <c r="D244" s="0" t="s">
        <v>61</v>
      </c>
      <c r="E244" s="0" t="s">
        <v>52</v>
      </c>
      <c r="F244" s="0" t="s">
        <v>73</v>
      </c>
      <c r="G244" s="0" t="s">
        <v>140</v>
      </c>
      <c r="H244" s="0" t="s">
        <v>62</v>
      </c>
      <c r="I244" s="0" t="n">
        <v>1029.89</v>
      </c>
      <c r="J244" s="0" t="n">
        <v>0.05</v>
      </c>
    </row>
    <row r="245" customFormat="false" ht="15" hidden="false" customHeight="false" outlineLevel="0" collapsed="false">
      <c r="A245" s="0" t="s">
        <v>562</v>
      </c>
      <c r="B245" s="0" t="s">
        <v>563</v>
      </c>
      <c r="C245" s="0" t="s">
        <v>564</v>
      </c>
      <c r="D245" s="0" t="s">
        <v>78</v>
      </c>
      <c r="E245" s="0" t="s">
        <v>46</v>
      </c>
      <c r="F245" s="0" t="s">
        <v>129</v>
      </c>
      <c r="G245" s="0" t="s">
        <v>69</v>
      </c>
      <c r="H245" s="0" t="s">
        <v>36</v>
      </c>
      <c r="I245" s="0" t="n">
        <v>278.22</v>
      </c>
      <c r="J245" s="0" t="n">
        <v>0.1</v>
      </c>
      <c r="K245" s="0" t="n">
        <v>7</v>
      </c>
    </row>
    <row r="246" customFormat="false" ht="15" hidden="false" customHeight="false" outlineLevel="0" collapsed="false">
      <c r="A246" s="0" t="s">
        <v>565</v>
      </c>
      <c r="B246" s="0" t="s">
        <v>566</v>
      </c>
      <c r="D246" s="0" t="s">
        <v>61</v>
      </c>
      <c r="E246" s="0" t="s">
        <v>46</v>
      </c>
      <c r="F246" s="0" t="s">
        <v>129</v>
      </c>
      <c r="G246" s="0" t="s">
        <v>74</v>
      </c>
      <c r="H246" s="0" t="s">
        <v>62</v>
      </c>
      <c r="I246" s="0" t="n">
        <v>370.16</v>
      </c>
      <c r="J246" s="0" t="n">
        <v>0.05</v>
      </c>
    </row>
    <row r="247" customFormat="false" ht="15" hidden="false" customHeight="false" outlineLevel="0" collapsed="false">
      <c r="A247" s="0" t="s">
        <v>567</v>
      </c>
      <c r="B247" s="0" t="s">
        <v>192</v>
      </c>
      <c r="C247" s="0" t="s">
        <v>534</v>
      </c>
      <c r="D247" s="0" t="s">
        <v>86</v>
      </c>
      <c r="E247" s="0" t="s">
        <v>66</v>
      </c>
      <c r="F247" s="0" t="s">
        <v>73</v>
      </c>
      <c r="G247" s="0" t="s">
        <v>41</v>
      </c>
      <c r="H247" s="0" t="s">
        <v>36</v>
      </c>
      <c r="I247" s="0" t="n">
        <v>761.55</v>
      </c>
      <c r="J247" s="0" t="n">
        <v>0</v>
      </c>
      <c r="K247" s="0" t="n">
        <v>17</v>
      </c>
    </row>
    <row r="248" customFormat="false" ht="15" hidden="false" customHeight="false" outlineLevel="0" collapsed="false">
      <c r="A248" s="0" t="s">
        <v>568</v>
      </c>
      <c r="B248" s="0" t="s">
        <v>569</v>
      </c>
      <c r="C248" s="0" t="s">
        <v>570</v>
      </c>
      <c r="D248" s="0" t="s">
        <v>95</v>
      </c>
      <c r="E248" s="0" t="s">
        <v>46</v>
      </c>
      <c r="F248" s="0" t="s">
        <v>89</v>
      </c>
      <c r="H248" s="0" t="s">
        <v>36</v>
      </c>
      <c r="I248" s="0" t="n">
        <v>112.64</v>
      </c>
      <c r="J248" s="0" t="n">
        <v>0.05</v>
      </c>
      <c r="K248" s="0" t="n">
        <v>41</v>
      </c>
    </row>
    <row r="249" customFormat="false" ht="15" hidden="false" customHeight="false" outlineLevel="0" collapsed="false">
      <c r="A249" s="0" t="s">
        <v>571</v>
      </c>
      <c r="B249" s="0" t="s">
        <v>30</v>
      </c>
      <c r="D249" s="0" t="s">
        <v>86</v>
      </c>
      <c r="E249" s="0" t="s">
        <v>46</v>
      </c>
      <c r="F249" s="0" t="s">
        <v>57</v>
      </c>
      <c r="G249" s="0" t="s">
        <v>74</v>
      </c>
      <c r="H249" s="0" t="s">
        <v>80</v>
      </c>
      <c r="I249" s="0" t="n">
        <v>121.59</v>
      </c>
      <c r="J249" s="0" t="n">
        <v>0.1</v>
      </c>
    </row>
    <row r="250" customFormat="false" ht="15" hidden="false" customHeight="false" outlineLevel="0" collapsed="false">
      <c r="A250" s="0" t="s">
        <v>572</v>
      </c>
      <c r="B250" s="0" t="s">
        <v>181</v>
      </c>
      <c r="D250" s="0" t="s">
        <v>61</v>
      </c>
      <c r="E250" s="0" t="s">
        <v>33</v>
      </c>
      <c r="F250" s="0" t="s">
        <v>34</v>
      </c>
      <c r="G250" s="0" t="s">
        <v>35</v>
      </c>
      <c r="H250" s="0" t="s">
        <v>75</v>
      </c>
      <c r="I250" s="0" t="n">
        <v>915.41</v>
      </c>
      <c r="J250" s="0" t="n">
        <v>0.1</v>
      </c>
    </row>
    <row r="251" customFormat="false" ht="15" hidden="false" customHeight="false" outlineLevel="0" collapsed="false">
      <c r="A251" s="0" t="s">
        <v>573</v>
      </c>
      <c r="B251" s="0" t="s">
        <v>330</v>
      </c>
      <c r="D251" s="0" t="s">
        <v>86</v>
      </c>
      <c r="E251" s="0" t="s">
        <v>46</v>
      </c>
      <c r="F251" s="0" t="s">
        <v>73</v>
      </c>
      <c r="G251" s="0" t="s">
        <v>41</v>
      </c>
      <c r="H251" s="0" t="s">
        <v>75</v>
      </c>
      <c r="I251" s="0" t="n">
        <v>416.69</v>
      </c>
      <c r="J251" s="0" t="n">
        <v>0</v>
      </c>
    </row>
    <row r="252" customFormat="false" ht="15" hidden="false" customHeight="false" outlineLevel="0" collapsed="false">
      <c r="A252" s="0" t="s">
        <v>574</v>
      </c>
      <c r="B252" s="0" t="s">
        <v>575</v>
      </c>
      <c r="C252" s="0" t="s">
        <v>127</v>
      </c>
      <c r="D252" s="0" t="s">
        <v>40</v>
      </c>
      <c r="E252" s="0" t="s">
        <v>72</v>
      </c>
      <c r="F252" s="0" t="s">
        <v>89</v>
      </c>
      <c r="G252" s="0" t="s">
        <v>69</v>
      </c>
      <c r="H252" s="0" t="s">
        <v>42</v>
      </c>
      <c r="I252" s="0" t="n">
        <v>756.46</v>
      </c>
      <c r="J252" s="0" t="n">
        <v>0.2</v>
      </c>
      <c r="K252" s="0" t="n">
        <v>28</v>
      </c>
    </row>
    <row r="253" customFormat="false" ht="15" hidden="false" customHeight="false" outlineLevel="0" collapsed="false">
      <c r="A253" s="0" t="s">
        <v>576</v>
      </c>
      <c r="B253" s="0" t="s">
        <v>289</v>
      </c>
      <c r="C253" s="0" t="s">
        <v>284</v>
      </c>
      <c r="D253" s="0" t="s">
        <v>86</v>
      </c>
      <c r="E253" s="0" t="s">
        <v>72</v>
      </c>
      <c r="F253" s="0" t="s">
        <v>57</v>
      </c>
      <c r="G253" s="0" t="s">
        <v>140</v>
      </c>
      <c r="H253" s="0" t="s">
        <v>36</v>
      </c>
      <c r="I253" s="0" t="n">
        <v>1014.54</v>
      </c>
      <c r="J253" s="0" t="n">
        <v>0.05</v>
      </c>
      <c r="K253" s="0" t="n">
        <v>23</v>
      </c>
    </row>
    <row r="254" customFormat="false" ht="15" hidden="false" customHeight="false" outlineLevel="0" collapsed="false">
      <c r="A254" s="0" t="s">
        <v>577</v>
      </c>
      <c r="B254" s="0" t="s">
        <v>303</v>
      </c>
      <c r="D254" s="0" t="s">
        <v>61</v>
      </c>
      <c r="E254" s="0" t="s">
        <v>52</v>
      </c>
      <c r="F254" s="0" t="s">
        <v>89</v>
      </c>
      <c r="G254" s="0" t="s">
        <v>69</v>
      </c>
      <c r="H254" s="0" t="s">
        <v>62</v>
      </c>
      <c r="I254" s="0" t="n">
        <v>1075.32</v>
      </c>
      <c r="J254" s="0" t="n">
        <v>0.1</v>
      </c>
    </row>
    <row r="255" customFormat="false" ht="15" hidden="false" customHeight="false" outlineLevel="0" collapsed="false">
      <c r="A255" s="0" t="s">
        <v>578</v>
      </c>
      <c r="B255" s="0" t="s">
        <v>278</v>
      </c>
      <c r="C255" s="0" t="s">
        <v>536</v>
      </c>
      <c r="D255" s="0" t="s">
        <v>86</v>
      </c>
      <c r="E255" s="0" t="s">
        <v>52</v>
      </c>
      <c r="F255" s="0" t="s">
        <v>89</v>
      </c>
      <c r="G255" s="0" t="s">
        <v>35</v>
      </c>
      <c r="H255" s="0" t="s">
        <v>36</v>
      </c>
      <c r="I255" s="0" t="n">
        <v>1540.52</v>
      </c>
      <c r="J255" s="0" t="n">
        <v>0.15</v>
      </c>
      <c r="K255" s="0" t="n">
        <v>29</v>
      </c>
    </row>
    <row r="256" customFormat="false" ht="15" hidden="false" customHeight="false" outlineLevel="0" collapsed="false">
      <c r="A256" s="0" t="s">
        <v>579</v>
      </c>
      <c r="B256" s="0" t="s">
        <v>580</v>
      </c>
      <c r="D256" s="0" t="s">
        <v>95</v>
      </c>
      <c r="E256" s="0" t="s">
        <v>52</v>
      </c>
      <c r="F256" s="0" t="s">
        <v>34</v>
      </c>
      <c r="G256" s="0" t="s">
        <v>140</v>
      </c>
      <c r="H256" s="0" t="s">
        <v>75</v>
      </c>
      <c r="I256" s="0" t="n">
        <v>1471.23</v>
      </c>
      <c r="J256" s="0" t="n">
        <v>0.15</v>
      </c>
    </row>
    <row r="257" customFormat="false" ht="15" hidden="false" customHeight="false" outlineLevel="0" collapsed="false">
      <c r="A257" s="0" t="s">
        <v>581</v>
      </c>
      <c r="B257" s="0" t="s">
        <v>582</v>
      </c>
      <c r="C257" s="0" t="s">
        <v>583</v>
      </c>
      <c r="D257" s="0" t="s">
        <v>32</v>
      </c>
      <c r="E257" s="0" t="s">
        <v>114</v>
      </c>
      <c r="F257" s="0" t="s">
        <v>34</v>
      </c>
      <c r="G257" s="0" t="s">
        <v>41</v>
      </c>
      <c r="H257" s="0" t="s">
        <v>36</v>
      </c>
      <c r="I257" s="0" t="n">
        <v>740.29</v>
      </c>
      <c r="J257" s="0" t="n">
        <v>0</v>
      </c>
      <c r="K257" s="0" t="n">
        <v>25</v>
      </c>
    </row>
    <row r="258" customFormat="false" ht="15" hidden="false" customHeight="false" outlineLevel="0" collapsed="false">
      <c r="A258" s="0" t="s">
        <v>584</v>
      </c>
      <c r="B258" s="0" t="s">
        <v>356</v>
      </c>
      <c r="D258" s="0" t="s">
        <v>32</v>
      </c>
      <c r="E258" s="0" t="s">
        <v>33</v>
      </c>
      <c r="F258" s="0" t="s">
        <v>57</v>
      </c>
      <c r="G258" s="0" t="s">
        <v>117</v>
      </c>
      <c r="H258" s="0" t="s">
        <v>80</v>
      </c>
      <c r="I258" s="0" t="n">
        <v>1819.34</v>
      </c>
      <c r="J258" s="0" t="n">
        <v>0</v>
      </c>
    </row>
    <row r="259" customFormat="false" ht="15" hidden="false" customHeight="false" outlineLevel="0" collapsed="false">
      <c r="A259" s="0" t="s">
        <v>585</v>
      </c>
      <c r="B259" s="0" t="s">
        <v>586</v>
      </c>
      <c r="C259" s="0" t="s">
        <v>587</v>
      </c>
      <c r="D259" s="0" t="s">
        <v>86</v>
      </c>
      <c r="E259" s="0" t="s">
        <v>72</v>
      </c>
      <c r="F259" s="0" t="s">
        <v>73</v>
      </c>
      <c r="H259" s="0" t="s">
        <v>42</v>
      </c>
      <c r="I259" s="0" t="n">
        <v>733.7</v>
      </c>
      <c r="J259" s="0" t="n">
        <v>0.05</v>
      </c>
      <c r="K259" s="0" t="n">
        <v>16</v>
      </c>
    </row>
    <row r="260" customFormat="false" ht="15" hidden="false" customHeight="false" outlineLevel="0" collapsed="false">
      <c r="A260" s="0" t="s">
        <v>588</v>
      </c>
      <c r="B260" s="0" t="s">
        <v>278</v>
      </c>
      <c r="C260" s="0" t="s">
        <v>71</v>
      </c>
      <c r="D260" s="0" t="s">
        <v>78</v>
      </c>
      <c r="E260" s="0" t="s">
        <v>46</v>
      </c>
      <c r="F260" s="0" t="s">
        <v>47</v>
      </c>
      <c r="G260" s="0" t="s">
        <v>53</v>
      </c>
      <c r="H260" s="0" t="s">
        <v>36</v>
      </c>
      <c r="I260" s="0" t="n">
        <v>365.79</v>
      </c>
      <c r="J260" s="0" t="n">
        <v>0.2</v>
      </c>
      <c r="K260" s="0" t="n">
        <v>26</v>
      </c>
    </row>
    <row r="261" customFormat="false" ht="15" hidden="false" customHeight="false" outlineLevel="0" collapsed="false">
      <c r="A261" s="0" t="s">
        <v>589</v>
      </c>
      <c r="B261" s="0" t="s">
        <v>386</v>
      </c>
      <c r="C261" s="0" t="s">
        <v>492</v>
      </c>
      <c r="D261" s="0" t="s">
        <v>61</v>
      </c>
      <c r="E261" s="0" t="s">
        <v>46</v>
      </c>
      <c r="F261" s="0" t="s">
        <v>34</v>
      </c>
      <c r="G261" s="0" t="s">
        <v>35</v>
      </c>
      <c r="H261" s="0" t="s">
        <v>36</v>
      </c>
      <c r="I261" s="0" t="n">
        <v>126.56</v>
      </c>
      <c r="J261" s="0" t="n">
        <v>0.05</v>
      </c>
      <c r="K261" s="0" t="n">
        <v>23</v>
      </c>
    </row>
    <row r="262" customFormat="false" ht="15" hidden="false" customHeight="false" outlineLevel="0" collapsed="false">
      <c r="A262" s="0" t="s">
        <v>590</v>
      </c>
      <c r="B262" s="0" t="s">
        <v>591</v>
      </c>
      <c r="D262" s="0" t="s">
        <v>86</v>
      </c>
      <c r="E262" s="0" t="s">
        <v>46</v>
      </c>
      <c r="F262" s="0" t="s">
        <v>79</v>
      </c>
      <c r="G262" s="0" t="s">
        <v>53</v>
      </c>
      <c r="H262" s="0" t="s">
        <v>75</v>
      </c>
      <c r="I262" s="0" t="n">
        <v>248.29</v>
      </c>
      <c r="J262" s="0" t="n">
        <v>0.05</v>
      </c>
    </row>
    <row r="263" customFormat="false" ht="15" hidden="false" customHeight="false" outlineLevel="0" collapsed="false">
      <c r="A263" s="0" t="s">
        <v>592</v>
      </c>
      <c r="B263" s="0" t="s">
        <v>593</v>
      </c>
      <c r="D263" s="0" t="s">
        <v>61</v>
      </c>
      <c r="E263" s="0" t="s">
        <v>46</v>
      </c>
      <c r="F263" s="0" t="s">
        <v>73</v>
      </c>
      <c r="G263" s="0" t="s">
        <v>69</v>
      </c>
      <c r="H263" s="0" t="s">
        <v>80</v>
      </c>
      <c r="I263" s="0" t="n">
        <v>372.42</v>
      </c>
      <c r="J263" s="0" t="n">
        <v>0.15</v>
      </c>
    </row>
    <row r="264" customFormat="false" ht="15" hidden="false" customHeight="false" outlineLevel="0" collapsed="false">
      <c r="A264" s="0" t="s">
        <v>594</v>
      </c>
      <c r="B264" s="0" t="s">
        <v>369</v>
      </c>
      <c r="D264" s="0" t="s">
        <v>78</v>
      </c>
      <c r="E264" s="0" t="s">
        <v>114</v>
      </c>
      <c r="F264" s="0" t="s">
        <v>34</v>
      </c>
      <c r="G264" s="0" t="s">
        <v>58</v>
      </c>
      <c r="H264" s="0" t="s">
        <v>75</v>
      </c>
      <c r="I264" s="0" t="n">
        <v>660.45</v>
      </c>
      <c r="J264" s="0" t="n">
        <v>0</v>
      </c>
    </row>
    <row r="265" customFormat="false" ht="15" hidden="false" customHeight="false" outlineLevel="0" collapsed="false">
      <c r="A265" s="0" t="s">
        <v>595</v>
      </c>
      <c r="B265" s="0" t="s">
        <v>596</v>
      </c>
      <c r="C265" s="0" t="s">
        <v>597</v>
      </c>
      <c r="D265" s="0" t="s">
        <v>32</v>
      </c>
      <c r="E265" s="0" t="s">
        <v>52</v>
      </c>
      <c r="F265" s="0" t="s">
        <v>34</v>
      </c>
      <c r="H265" s="0" t="s">
        <v>36</v>
      </c>
      <c r="I265" s="0" t="n">
        <v>1641.53</v>
      </c>
      <c r="J265" s="0" t="n">
        <v>0.05</v>
      </c>
      <c r="K265" s="0" t="n">
        <v>27</v>
      </c>
    </row>
    <row r="266" customFormat="false" ht="15" hidden="false" customHeight="false" outlineLevel="0" collapsed="false">
      <c r="A266" s="0" t="s">
        <v>598</v>
      </c>
      <c r="B266" s="0" t="s">
        <v>599</v>
      </c>
      <c r="C266" s="0" t="s">
        <v>216</v>
      </c>
      <c r="D266" s="0" t="s">
        <v>32</v>
      </c>
      <c r="E266" s="0" t="s">
        <v>66</v>
      </c>
      <c r="F266" s="0" t="s">
        <v>34</v>
      </c>
      <c r="G266" s="0" t="s">
        <v>140</v>
      </c>
      <c r="H266" s="0" t="s">
        <v>36</v>
      </c>
      <c r="I266" s="0" t="n">
        <v>2058.11</v>
      </c>
      <c r="J266" s="0" t="n">
        <v>0.2</v>
      </c>
      <c r="K266" s="0" t="n">
        <v>19</v>
      </c>
    </row>
    <row r="267" customFormat="false" ht="15" hidden="false" customHeight="false" outlineLevel="0" collapsed="false">
      <c r="A267" s="0" t="s">
        <v>600</v>
      </c>
      <c r="B267" s="0" t="s">
        <v>601</v>
      </c>
      <c r="D267" s="0" t="s">
        <v>32</v>
      </c>
      <c r="E267" s="0" t="s">
        <v>46</v>
      </c>
      <c r="F267" s="0" t="s">
        <v>89</v>
      </c>
      <c r="G267" s="0" t="s">
        <v>69</v>
      </c>
      <c r="H267" s="0" t="s">
        <v>62</v>
      </c>
      <c r="I267" s="0" t="n">
        <v>125.21</v>
      </c>
      <c r="J267" s="0" t="n">
        <v>0</v>
      </c>
    </row>
    <row r="268" customFormat="false" ht="15" hidden="false" customHeight="false" outlineLevel="0" collapsed="false">
      <c r="A268" s="0" t="s">
        <v>602</v>
      </c>
      <c r="B268" s="0" t="s">
        <v>455</v>
      </c>
      <c r="D268" s="0" t="s">
        <v>86</v>
      </c>
      <c r="E268" s="0" t="s">
        <v>114</v>
      </c>
      <c r="F268" s="0" t="s">
        <v>89</v>
      </c>
      <c r="G268" s="0" t="s">
        <v>53</v>
      </c>
      <c r="H268" s="0" t="s">
        <v>75</v>
      </c>
      <c r="I268" s="0" t="n">
        <v>1213.71</v>
      </c>
      <c r="J268" s="0" t="n">
        <v>0.05</v>
      </c>
    </row>
    <row r="269" customFormat="false" ht="15" hidden="false" customHeight="false" outlineLevel="0" collapsed="false">
      <c r="A269" s="0" t="s">
        <v>603</v>
      </c>
      <c r="B269" s="0" t="s">
        <v>604</v>
      </c>
      <c r="D269" s="0" t="s">
        <v>86</v>
      </c>
      <c r="E269" s="0" t="s">
        <v>52</v>
      </c>
      <c r="F269" s="0" t="s">
        <v>129</v>
      </c>
      <c r="G269" s="0" t="s">
        <v>41</v>
      </c>
      <c r="H269" s="0" t="s">
        <v>80</v>
      </c>
      <c r="I269" s="0" t="n">
        <v>573.71</v>
      </c>
      <c r="J269" s="0" t="n">
        <v>0</v>
      </c>
    </row>
    <row r="270" customFormat="false" ht="15" hidden="false" customHeight="false" outlineLevel="0" collapsed="false">
      <c r="A270" s="0" t="s">
        <v>605</v>
      </c>
      <c r="B270" s="0" t="s">
        <v>463</v>
      </c>
      <c r="D270" s="0" t="s">
        <v>40</v>
      </c>
      <c r="E270" s="0" t="s">
        <v>66</v>
      </c>
      <c r="F270" s="0" t="s">
        <v>89</v>
      </c>
      <c r="G270" s="0" t="s">
        <v>117</v>
      </c>
      <c r="H270" s="0" t="s">
        <v>80</v>
      </c>
      <c r="I270" s="0" t="n">
        <v>757.73</v>
      </c>
      <c r="J270" s="0" t="n">
        <v>0.05</v>
      </c>
    </row>
    <row r="271" customFormat="false" ht="15" hidden="false" customHeight="false" outlineLevel="0" collapsed="false">
      <c r="A271" s="0" t="s">
        <v>606</v>
      </c>
      <c r="B271" s="0" t="s">
        <v>101</v>
      </c>
      <c r="D271" s="0" t="s">
        <v>95</v>
      </c>
      <c r="E271" s="0" t="s">
        <v>66</v>
      </c>
      <c r="F271" s="0" t="s">
        <v>57</v>
      </c>
      <c r="G271" s="0" t="s">
        <v>53</v>
      </c>
      <c r="H271" s="0" t="s">
        <v>62</v>
      </c>
      <c r="I271" s="0" t="n">
        <v>794.99</v>
      </c>
      <c r="J271" s="0" t="n">
        <v>0</v>
      </c>
    </row>
    <row r="272" customFormat="false" ht="15" hidden="false" customHeight="false" outlineLevel="0" collapsed="false">
      <c r="A272" s="0" t="s">
        <v>607</v>
      </c>
      <c r="B272" s="0" t="s">
        <v>608</v>
      </c>
      <c r="C272" s="0" t="s">
        <v>570</v>
      </c>
      <c r="D272" s="0" t="s">
        <v>95</v>
      </c>
      <c r="E272" s="0" t="s">
        <v>46</v>
      </c>
      <c r="F272" s="0" t="s">
        <v>79</v>
      </c>
      <c r="G272" s="0" t="s">
        <v>117</v>
      </c>
      <c r="H272" s="0" t="s">
        <v>36</v>
      </c>
      <c r="I272" s="0" t="n">
        <v>111.86</v>
      </c>
      <c r="J272" s="0" t="n">
        <v>0.1</v>
      </c>
      <c r="K272" s="0" t="n">
        <v>10</v>
      </c>
    </row>
    <row r="273" customFormat="false" ht="15" hidden="false" customHeight="false" outlineLevel="0" collapsed="false">
      <c r="A273" s="0" t="s">
        <v>609</v>
      </c>
      <c r="B273" s="0" t="s">
        <v>610</v>
      </c>
      <c r="D273" s="0" t="s">
        <v>86</v>
      </c>
      <c r="E273" s="0" t="s">
        <v>46</v>
      </c>
      <c r="F273" s="0" t="s">
        <v>34</v>
      </c>
      <c r="G273" s="0" t="s">
        <v>53</v>
      </c>
      <c r="H273" s="0" t="s">
        <v>62</v>
      </c>
      <c r="I273" s="0" t="n">
        <v>254.13</v>
      </c>
      <c r="J273" s="0" t="n">
        <v>0</v>
      </c>
    </row>
    <row r="274" customFormat="false" ht="15" hidden="false" customHeight="false" outlineLevel="0" collapsed="false">
      <c r="A274" s="0" t="s">
        <v>611</v>
      </c>
      <c r="B274" s="0" t="s">
        <v>612</v>
      </c>
      <c r="C274" s="0" t="s">
        <v>413</v>
      </c>
      <c r="D274" s="0" t="s">
        <v>51</v>
      </c>
      <c r="E274" s="0" t="s">
        <v>52</v>
      </c>
      <c r="F274" s="0" t="s">
        <v>47</v>
      </c>
      <c r="G274" s="0" t="s">
        <v>140</v>
      </c>
      <c r="H274" s="0" t="s">
        <v>42</v>
      </c>
      <c r="I274" s="0" t="n">
        <v>553.69</v>
      </c>
      <c r="J274" s="0" t="n">
        <v>0.1</v>
      </c>
      <c r="K274" s="0" t="n">
        <v>19</v>
      </c>
    </row>
    <row r="275" customFormat="false" ht="15" hidden="false" customHeight="false" outlineLevel="0" collapsed="false">
      <c r="A275" s="0" t="s">
        <v>613</v>
      </c>
      <c r="B275" s="0" t="s">
        <v>536</v>
      </c>
      <c r="D275" s="0" t="s">
        <v>32</v>
      </c>
      <c r="E275" s="0" t="s">
        <v>72</v>
      </c>
      <c r="F275" s="0" t="s">
        <v>34</v>
      </c>
      <c r="G275" s="0" t="s">
        <v>140</v>
      </c>
      <c r="H275" s="0" t="s">
        <v>75</v>
      </c>
      <c r="I275" s="0" t="n">
        <v>1055.52</v>
      </c>
      <c r="J275" s="0" t="n">
        <v>0.1</v>
      </c>
    </row>
    <row r="276" customFormat="false" ht="15" hidden="false" customHeight="false" outlineLevel="0" collapsed="false">
      <c r="A276" s="0" t="s">
        <v>614</v>
      </c>
      <c r="B276" s="0" t="s">
        <v>419</v>
      </c>
      <c r="C276" s="0" t="s">
        <v>615</v>
      </c>
      <c r="D276" s="0" t="s">
        <v>40</v>
      </c>
      <c r="E276" s="0" t="s">
        <v>72</v>
      </c>
      <c r="F276" s="0" t="s">
        <v>34</v>
      </c>
      <c r="G276" s="0" t="s">
        <v>35</v>
      </c>
      <c r="H276" s="0" t="s">
        <v>42</v>
      </c>
      <c r="I276" s="0" t="n">
        <v>706.33</v>
      </c>
      <c r="J276" s="0" t="n">
        <v>0.05</v>
      </c>
      <c r="K276" s="0" t="n">
        <v>5</v>
      </c>
    </row>
    <row r="277" customFormat="false" ht="15" hidden="false" customHeight="false" outlineLevel="0" collapsed="false">
      <c r="A277" s="0" t="s">
        <v>616</v>
      </c>
      <c r="B277" s="0" t="s">
        <v>617</v>
      </c>
      <c r="D277" s="0" t="s">
        <v>61</v>
      </c>
      <c r="E277" s="0" t="s">
        <v>46</v>
      </c>
      <c r="F277" s="0" t="s">
        <v>47</v>
      </c>
      <c r="G277" s="0" t="s">
        <v>140</v>
      </c>
      <c r="H277" s="0" t="s">
        <v>75</v>
      </c>
      <c r="I277" s="0" t="n">
        <v>118.41</v>
      </c>
      <c r="J277" s="0" t="n">
        <v>0.15</v>
      </c>
    </row>
    <row r="278" customFormat="false" ht="15" hidden="false" customHeight="false" outlineLevel="0" collapsed="false">
      <c r="A278" s="0" t="s">
        <v>618</v>
      </c>
      <c r="B278" s="0" t="s">
        <v>283</v>
      </c>
      <c r="D278" s="0" t="s">
        <v>78</v>
      </c>
      <c r="E278" s="0" t="s">
        <v>33</v>
      </c>
      <c r="F278" s="0" t="s">
        <v>89</v>
      </c>
      <c r="G278" s="0" t="s">
        <v>140</v>
      </c>
      <c r="H278" s="0" t="s">
        <v>80</v>
      </c>
      <c r="I278" s="0" t="n">
        <v>829.63</v>
      </c>
      <c r="J278" s="0" t="n">
        <v>0</v>
      </c>
    </row>
    <row r="279" customFormat="false" ht="15" hidden="false" customHeight="false" outlineLevel="0" collapsed="false">
      <c r="A279" s="0" t="s">
        <v>619</v>
      </c>
      <c r="B279" s="0" t="s">
        <v>49</v>
      </c>
      <c r="C279" s="0" t="s">
        <v>484</v>
      </c>
      <c r="D279" s="0" t="s">
        <v>78</v>
      </c>
      <c r="E279" s="0" t="s">
        <v>72</v>
      </c>
      <c r="F279" s="0" t="s">
        <v>89</v>
      </c>
      <c r="G279" s="0" t="s">
        <v>35</v>
      </c>
      <c r="H279" s="0" t="s">
        <v>36</v>
      </c>
      <c r="I279" s="0" t="n">
        <v>741.01</v>
      </c>
      <c r="J279" s="0" t="n">
        <v>0</v>
      </c>
      <c r="K279" s="0" t="n">
        <v>24</v>
      </c>
    </row>
    <row r="280" customFormat="false" ht="15" hidden="false" customHeight="false" outlineLevel="0" collapsed="false">
      <c r="A280" s="0" t="s">
        <v>620</v>
      </c>
      <c r="B280" s="0" t="s">
        <v>621</v>
      </c>
      <c r="D280" s="0" t="s">
        <v>78</v>
      </c>
      <c r="E280" s="0" t="s">
        <v>33</v>
      </c>
      <c r="F280" s="0" t="s">
        <v>89</v>
      </c>
      <c r="G280" s="0" t="s">
        <v>58</v>
      </c>
      <c r="H280" s="0" t="s">
        <v>75</v>
      </c>
      <c r="I280" s="0" t="n">
        <v>1533.4</v>
      </c>
      <c r="J280" s="0" t="n">
        <v>0.05</v>
      </c>
    </row>
    <row r="281" customFormat="false" ht="15" hidden="false" customHeight="false" outlineLevel="0" collapsed="false">
      <c r="A281" s="0" t="s">
        <v>622</v>
      </c>
      <c r="B281" s="0" t="s">
        <v>623</v>
      </c>
      <c r="D281" s="0" t="s">
        <v>95</v>
      </c>
      <c r="E281" s="0" t="s">
        <v>33</v>
      </c>
      <c r="F281" s="0" t="s">
        <v>57</v>
      </c>
      <c r="G281" s="0" t="s">
        <v>41</v>
      </c>
      <c r="H281" s="0" t="s">
        <v>80</v>
      </c>
      <c r="I281" s="0" t="n">
        <v>799.2</v>
      </c>
      <c r="J281" s="0" t="n">
        <v>0</v>
      </c>
    </row>
    <row r="282" customFormat="false" ht="15" hidden="false" customHeight="false" outlineLevel="0" collapsed="false">
      <c r="A282" s="0" t="s">
        <v>624</v>
      </c>
      <c r="B282" s="0" t="s">
        <v>625</v>
      </c>
      <c r="C282" s="0" t="s">
        <v>447</v>
      </c>
      <c r="D282" s="0" t="s">
        <v>51</v>
      </c>
      <c r="E282" s="0" t="s">
        <v>66</v>
      </c>
      <c r="F282" s="0" t="s">
        <v>34</v>
      </c>
      <c r="G282" s="0" t="s">
        <v>69</v>
      </c>
      <c r="H282" s="0" t="s">
        <v>36</v>
      </c>
      <c r="I282" s="0" t="n">
        <v>688.29</v>
      </c>
      <c r="J282" s="0" t="n">
        <v>0</v>
      </c>
      <c r="K282" s="0" t="n">
        <v>30</v>
      </c>
    </row>
    <row r="283" customFormat="false" ht="15" hidden="false" customHeight="false" outlineLevel="0" collapsed="false">
      <c r="A283" s="0" t="s">
        <v>626</v>
      </c>
      <c r="B283" s="0" t="s">
        <v>627</v>
      </c>
      <c r="C283" s="0" t="s">
        <v>342</v>
      </c>
      <c r="D283" s="0" t="s">
        <v>51</v>
      </c>
      <c r="E283" s="0" t="s">
        <v>52</v>
      </c>
      <c r="F283" s="0" t="s">
        <v>57</v>
      </c>
      <c r="G283" s="0" t="s">
        <v>117</v>
      </c>
      <c r="H283" s="0" t="s">
        <v>42</v>
      </c>
      <c r="I283" s="0" t="n">
        <v>1549.84</v>
      </c>
      <c r="J283" s="0" t="n">
        <v>0.05</v>
      </c>
      <c r="K283" s="0" t="n">
        <v>21</v>
      </c>
    </row>
    <row r="284" customFormat="false" ht="15" hidden="false" customHeight="false" outlineLevel="0" collapsed="false">
      <c r="A284" s="0" t="s">
        <v>628</v>
      </c>
      <c r="B284" s="0" t="s">
        <v>629</v>
      </c>
      <c r="C284" s="0" t="s">
        <v>630</v>
      </c>
      <c r="D284" s="0" t="s">
        <v>95</v>
      </c>
      <c r="E284" s="0" t="s">
        <v>72</v>
      </c>
      <c r="F284" s="0" t="s">
        <v>89</v>
      </c>
      <c r="G284" s="0" t="s">
        <v>140</v>
      </c>
      <c r="H284" s="0" t="s">
        <v>36</v>
      </c>
      <c r="I284" s="0" t="n">
        <v>374.73</v>
      </c>
      <c r="J284" s="0" t="n">
        <v>0.05</v>
      </c>
      <c r="K284" s="0" t="n">
        <v>21</v>
      </c>
    </row>
    <row r="285" customFormat="false" ht="15" hidden="false" customHeight="false" outlineLevel="0" collapsed="false">
      <c r="A285" s="0" t="s">
        <v>631</v>
      </c>
      <c r="B285" s="0" t="s">
        <v>256</v>
      </c>
      <c r="D285" s="0" t="s">
        <v>51</v>
      </c>
      <c r="E285" s="0" t="s">
        <v>52</v>
      </c>
      <c r="F285" s="0" t="s">
        <v>129</v>
      </c>
      <c r="G285" s="0" t="s">
        <v>53</v>
      </c>
      <c r="H285" s="0" t="s">
        <v>80</v>
      </c>
      <c r="I285" s="0" t="n">
        <v>1639.7</v>
      </c>
      <c r="J285" s="0" t="n">
        <v>0.2</v>
      </c>
    </row>
    <row r="286" customFormat="false" ht="15" hidden="false" customHeight="false" outlineLevel="0" collapsed="false">
      <c r="A286" s="0" t="s">
        <v>632</v>
      </c>
      <c r="B286" s="0" t="s">
        <v>633</v>
      </c>
      <c r="C286" s="0" t="s">
        <v>596</v>
      </c>
      <c r="D286" s="0" t="s">
        <v>61</v>
      </c>
      <c r="E286" s="0" t="s">
        <v>72</v>
      </c>
      <c r="F286" s="0" t="s">
        <v>89</v>
      </c>
      <c r="G286" s="0" t="s">
        <v>140</v>
      </c>
      <c r="H286" s="0" t="s">
        <v>36</v>
      </c>
      <c r="I286" s="0" t="n">
        <v>1109.14</v>
      </c>
      <c r="J286" s="0" t="n">
        <v>0</v>
      </c>
      <c r="K286" s="0" t="n">
        <v>9</v>
      </c>
    </row>
    <row r="287" customFormat="false" ht="15" hidden="false" customHeight="false" outlineLevel="0" collapsed="false">
      <c r="A287" s="0" t="s">
        <v>634</v>
      </c>
      <c r="B287" s="0" t="s">
        <v>145</v>
      </c>
      <c r="D287" s="0" t="s">
        <v>32</v>
      </c>
      <c r="E287" s="0" t="s">
        <v>66</v>
      </c>
      <c r="F287" s="0" t="s">
        <v>79</v>
      </c>
      <c r="G287" s="0" t="s">
        <v>41</v>
      </c>
      <c r="H287" s="0" t="s">
        <v>75</v>
      </c>
      <c r="I287" s="0" t="n">
        <v>779.85</v>
      </c>
      <c r="J287" s="0" t="n">
        <v>0.2</v>
      </c>
    </row>
    <row r="288" customFormat="false" ht="15" hidden="false" customHeight="false" outlineLevel="0" collapsed="false">
      <c r="A288" s="0" t="s">
        <v>635</v>
      </c>
      <c r="B288" s="0" t="s">
        <v>175</v>
      </c>
      <c r="C288" s="0" t="s">
        <v>636</v>
      </c>
      <c r="D288" s="0" t="s">
        <v>95</v>
      </c>
      <c r="E288" s="0" t="s">
        <v>66</v>
      </c>
      <c r="F288" s="0" t="s">
        <v>57</v>
      </c>
      <c r="G288" s="0" t="s">
        <v>69</v>
      </c>
      <c r="H288" s="0" t="s">
        <v>36</v>
      </c>
      <c r="I288" s="0" t="n">
        <v>1500.24</v>
      </c>
      <c r="J288" s="0" t="n">
        <v>0.2</v>
      </c>
      <c r="K288" s="0" t="n">
        <v>16</v>
      </c>
    </row>
    <row r="289" customFormat="false" ht="15" hidden="false" customHeight="false" outlineLevel="0" collapsed="false">
      <c r="A289" s="0" t="s">
        <v>637</v>
      </c>
      <c r="B289" s="0" t="s">
        <v>371</v>
      </c>
      <c r="C289" s="0" t="s">
        <v>389</v>
      </c>
      <c r="D289" s="0" t="s">
        <v>40</v>
      </c>
      <c r="E289" s="0" t="s">
        <v>33</v>
      </c>
      <c r="F289" s="0" t="s">
        <v>89</v>
      </c>
      <c r="G289" s="0" t="s">
        <v>117</v>
      </c>
      <c r="H289" s="0" t="s">
        <v>42</v>
      </c>
      <c r="I289" s="0" t="n">
        <v>850.64</v>
      </c>
      <c r="J289" s="0" t="n">
        <v>0.2</v>
      </c>
      <c r="K289" s="0" t="n">
        <v>37</v>
      </c>
    </row>
    <row r="290" customFormat="false" ht="15" hidden="false" customHeight="false" outlineLevel="0" collapsed="false">
      <c r="A290" s="0" t="s">
        <v>638</v>
      </c>
      <c r="B290" s="0" t="s">
        <v>639</v>
      </c>
      <c r="D290" s="0" t="s">
        <v>51</v>
      </c>
      <c r="E290" s="0" t="s">
        <v>46</v>
      </c>
      <c r="F290" s="0" t="s">
        <v>79</v>
      </c>
      <c r="G290" s="0" t="s">
        <v>58</v>
      </c>
      <c r="H290" s="0" t="s">
        <v>75</v>
      </c>
      <c r="I290" s="0" t="n">
        <v>129.16</v>
      </c>
      <c r="J290" s="0" t="n">
        <v>0</v>
      </c>
    </row>
    <row r="291" customFormat="false" ht="15" hidden="false" customHeight="false" outlineLevel="0" collapsed="false">
      <c r="A291" s="0" t="s">
        <v>640</v>
      </c>
      <c r="B291" s="0" t="s">
        <v>612</v>
      </c>
      <c r="D291" s="0" t="s">
        <v>32</v>
      </c>
      <c r="E291" s="0" t="s">
        <v>114</v>
      </c>
      <c r="F291" s="0" t="s">
        <v>34</v>
      </c>
      <c r="G291" s="0" t="s">
        <v>140</v>
      </c>
      <c r="H291" s="0" t="s">
        <v>62</v>
      </c>
      <c r="I291" s="0" t="n">
        <v>663.35</v>
      </c>
      <c r="J291" s="0" t="n">
        <v>0</v>
      </c>
    </row>
    <row r="292" customFormat="false" ht="15" hidden="false" customHeight="false" outlineLevel="0" collapsed="false">
      <c r="A292" s="0" t="s">
        <v>641</v>
      </c>
      <c r="B292" s="0" t="s">
        <v>520</v>
      </c>
      <c r="C292" s="0" t="s">
        <v>503</v>
      </c>
      <c r="D292" s="0" t="s">
        <v>51</v>
      </c>
      <c r="E292" s="0" t="s">
        <v>52</v>
      </c>
      <c r="F292" s="0" t="s">
        <v>47</v>
      </c>
      <c r="G292" s="0" t="s">
        <v>41</v>
      </c>
      <c r="H292" s="0" t="s">
        <v>36</v>
      </c>
      <c r="I292" s="0" t="n">
        <v>1575.36</v>
      </c>
      <c r="J292" s="0" t="n">
        <v>0.15</v>
      </c>
      <c r="K292" s="0" t="n">
        <v>12</v>
      </c>
    </row>
    <row r="293" customFormat="false" ht="15" hidden="false" customHeight="false" outlineLevel="0" collapsed="false">
      <c r="A293" s="0" t="s">
        <v>642</v>
      </c>
      <c r="B293" s="0" t="s">
        <v>643</v>
      </c>
      <c r="C293" s="0" t="s">
        <v>644</v>
      </c>
      <c r="D293" s="0" t="s">
        <v>86</v>
      </c>
      <c r="E293" s="0" t="s">
        <v>52</v>
      </c>
      <c r="F293" s="0" t="s">
        <v>89</v>
      </c>
      <c r="G293" s="0" t="s">
        <v>74</v>
      </c>
      <c r="H293" s="0" t="s">
        <v>36</v>
      </c>
      <c r="I293" s="0" t="n">
        <v>481.31</v>
      </c>
      <c r="J293" s="0" t="n">
        <v>0</v>
      </c>
      <c r="K293" s="0" t="n">
        <v>3</v>
      </c>
    </row>
    <row r="294" customFormat="false" ht="15" hidden="false" customHeight="false" outlineLevel="0" collapsed="false">
      <c r="A294" s="0" t="s">
        <v>645</v>
      </c>
      <c r="B294" s="0" t="s">
        <v>643</v>
      </c>
      <c r="C294" s="0" t="s">
        <v>187</v>
      </c>
      <c r="D294" s="0" t="s">
        <v>51</v>
      </c>
      <c r="E294" s="0" t="s">
        <v>72</v>
      </c>
      <c r="F294" s="0" t="s">
        <v>47</v>
      </c>
      <c r="G294" s="0" t="s">
        <v>41</v>
      </c>
      <c r="H294" s="0" t="s">
        <v>36</v>
      </c>
      <c r="I294" s="0" t="n">
        <v>661.32</v>
      </c>
      <c r="J294" s="0" t="n">
        <v>0</v>
      </c>
      <c r="K294" s="0" t="n">
        <v>32</v>
      </c>
    </row>
    <row r="295" customFormat="false" ht="15" hidden="false" customHeight="false" outlineLevel="0" collapsed="false">
      <c r="A295" s="0" t="s">
        <v>646</v>
      </c>
      <c r="B295" s="0" t="s">
        <v>566</v>
      </c>
      <c r="D295" s="0" t="s">
        <v>78</v>
      </c>
      <c r="E295" s="0" t="s">
        <v>72</v>
      </c>
      <c r="F295" s="0" t="s">
        <v>34</v>
      </c>
      <c r="G295" s="0" t="s">
        <v>58</v>
      </c>
      <c r="H295" s="0" t="s">
        <v>75</v>
      </c>
      <c r="I295" s="0" t="n">
        <v>378.63</v>
      </c>
      <c r="J295" s="0" t="n">
        <v>0.15</v>
      </c>
    </row>
    <row r="296" customFormat="false" ht="15" hidden="false" customHeight="false" outlineLevel="0" collapsed="false">
      <c r="A296" s="0" t="s">
        <v>647</v>
      </c>
      <c r="B296" s="0" t="s">
        <v>532</v>
      </c>
      <c r="C296" s="0" t="s">
        <v>583</v>
      </c>
      <c r="D296" s="0" t="s">
        <v>61</v>
      </c>
      <c r="E296" s="0" t="s">
        <v>114</v>
      </c>
      <c r="F296" s="0" t="s">
        <v>34</v>
      </c>
      <c r="G296" s="0" t="s">
        <v>69</v>
      </c>
      <c r="H296" s="0" t="s">
        <v>42</v>
      </c>
      <c r="I296" s="0" t="n">
        <v>659.27</v>
      </c>
      <c r="J296" s="0" t="n">
        <v>0</v>
      </c>
      <c r="K296" s="0" t="n">
        <v>27</v>
      </c>
    </row>
    <row r="297" customFormat="false" ht="15" hidden="false" customHeight="false" outlineLevel="0" collapsed="false">
      <c r="A297" s="0" t="s">
        <v>648</v>
      </c>
      <c r="B297" s="0" t="s">
        <v>649</v>
      </c>
      <c r="C297" s="0" t="s">
        <v>342</v>
      </c>
      <c r="D297" s="0" t="s">
        <v>32</v>
      </c>
      <c r="E297" s="0" t="s">
        <v>46</v>
      </c>
      <c r="F297" s="0" t="s">
        <v>89</v>
      </c>
      <c r="G297" s="0" t="s">
        <v>74</v>
      </c>
      <c r="H297" s="0" t="s">
        <v>42</v>
      </c>
      <c r="I297" s="0" t="n">
        <v>122.39</v>
      </c>
      <c r="J297" s="0" t="n">
        <v>0.15</v>
      </c>
      <c r="K297" s="0" t="n">
        <v>19</v>
      </c>
    </row>
    <row r="298" customFormat="false" ht="15" hidden="false" customHeight="false" outlineLevel="0" collapsed="false">
      <c r="A298" s="0" t="s">
        <v>650</v>
      </c>
      <c r="B298" s="0" t="s">
        <v>49</v>
      </c>
      <c r="D298" s="0" t="s">
        <v>61</v>
      </c>
      <c r="E298" s="0" t="s">
        <v>52</v>
      </c>
      <c r="F298" s="0" t="s">
        <v>89</v>
      </c>
      <c r="G298" s="0" t="s">
        <v>58</v>
      </c>
      <c r="H298" s="0" t="s">
        <v>75</v>
      </c>
      <c r="I298" s="0" t="n">
        <v>534.44</v>
      </c>
      <c r="J298" s="0" t="n">
        <v>0</v>
      </c>
    </row>
    <row r="299" customFormat="false" ht="15" hidden="false" customHeight="false" outlineLevel="0" collapsed="false">
      <c r="A299" s="0" t="s">
        <v>651</v>
      </c>
      <c r="B299" s="0" t="s">
        <v>490</v>
      </c>
      <c r="C299" s="0" t="s">
        <v>97</v>
      </c>
      <c r="D299" s="0" t="s">
        <v>61</v>
      </c>
      <c r="E299" s="0" t="s">
        <v>66</v>
      </c>
      <c r="F299" s="0" t="s">
        <v>34</v>
      </c>
      <c r="G299" s="0" t="s">
        <v>117</v>
      </c>
      <c r="H299" s="0" t="s">
        <v>42</v>
      </c>
      <c r="I299" s="0" t="n">
        <v>1393.17</v>
      </c>
      <c r="J299" s="0" t="n">
        <v>0.1</v>
      </c>
      <c r="K299" s="0" t="n">
        <v>11</v>
      </c>
    </row>
    <row r="300" customFormat="false" ht="15" hidden="false" customHeight="false" outlineLevel="0" collapsed="false">
      <c r="A300" s="0" t="s">
        <v>652</v>
      </c>
      <c r="B300" s="0" t="s">
        <v>653</v>
      </c>
      <c r="D300" s="0" t="s">
        <v>61</v>
      </c>
      <c r="E300" s="0" t="s">
        <v>46</v>
      </c>
      <c r="F300" s="0" t="s">
        <v>57</v>
      </c>
      <c r="G300" s="0" t="s">
        <v>35</v>
      </c>
      <c r="H300" s="0" t="s">
        <v>80</v>
      </c>
      <c r="I300" s="0" t="n">
        <v>118.94</v>
      </c>
      <c r="J300" s="0" t="n">
        <v>0</v>
      </c>
    </row>
    <row r="301" customFormat="false" ht="15" hidden="false" customHeight="false" outlineLevel="0" collapsed="false">
      <c r="A301" s="0" t="s">
        <v>654</v>
      </c>
      <c r="B301" s="0" t="s">
        <v>655</v>
      </c>
      <c r="C301" s="0" t="s">
        <v>371</v>
      </c>
      <c r="D301" s="0" t="s">
        <v>78</v>
      </c>
      <c r="E301" s="0" t="s">
        <v>52</v>
      </c>
      <c r="F301" s="0" t="s">
        <v>89</v>
      </c>
      <c r="G301" s="0" t="s">
        <v>69</v>
      </c>
      <c r="H301" s="0" t="s">
        <v>42</v>
      </c>
      <c r="I301" s="0" t="n">
        <v>968.12</v>
      </c>
      <c r="J301" s="0" t="n">
        <v>0.05</v>
      </c>
      <c r="K301" s="0" t="n">
        <v>13</v>
      </c>
    </row>
    <row r="302" customFormat="false" ht="15" hidden="false" customHeight="false" outlineLevel="0" collapsed="false">
      <c r="A302" s="0" t="s">
        <v>656</v>
      </c>
      <c r="B302" s="0" t="s">
        <v>657</v>
      </c>
      <c r="C302" s="0" t="s">
        <v>286</v>
      </c>
      <c r="D302" s="0" t="s">
        <v>61</v>
      </c>
      <c r="E302" s="0" t="s">
        <v>66</v>
      </c>
      <c r="F302" s="0" t="s">
        <v>57</v>
      </c>
      <c r="G302" s="0" t="s">
        <v>69</v>
      </c>
      <c r="H302" s="0" t="s">
        <v>42</v>
      </c>
      <c r="I302" s="0" t="n">
        <v>714.34</v>
      </c>
      <c r="J302" s="0" t="n">
        <v>0.2</v>
      </c>
      <c r="K302" s="0" t="n">
        <v>25</v>
      </c>
    </row>
    <row r="303" customFormat="false" ht="15" hidden="false" customHeight="false" outlineLevel="0" collapsed="false">
      <c r="A303" s="0" t="s">
        <v>658</v>
      </c>
      <c r="B303" s="0" t="s">
        <v>401</v>
      </c>
      <c r="D303" s="0" t="s">
        <v>51</v>
      </c>
      <c r="E303" s="0" t="s">
        <v>33</v>
      </c>
      <c r="F303" s="0" t="s">
        <v>47</v>
      </c>
      <c r="G303" s="0" t="s">
        <v>41</v>
      </c>
      <c r="H303" s="0" t="s">
        <v>62</v>
      </c>
      <c r="I303" s="0" t="n">
        <v>1737.32</v>
      </c>
      <c r="J303" s="0" t="n">
        <v>0.05</v>
      </c>
    </row>
    <row r="304" customFormat="false" ht="15" hidden="false" customHeight="false" outlineLevel="0" collapsed="false">
      <c r="A304" s="0" t="s">
        <v>659</v>
      </c>
      <c r="B304" s="0" t="s">
        <v>660</v>
      </c>
      <c r="C304" s="0" t="s">
        <v>187</v>
      </c>
      <c r="D304" s="0" t="s">
        <v>32</v>
      </c>
      <c r="E304" s="0" t="s">
        <v>66</v>
      </c>
      <c r="F304" s="0" t="s">
        <v>89</v>
      </c>
      <c r="G304" s="0" t="s">
        <v>117</v>
      </c>
      <c r="H304" s="0" t="s">
        <v>36</v>
      </c>
      <c r="I304" s="0" t="n">
        <v>734.05</v>
      </c>
      <c r="J304" s="0" t="n">
        <v>0</v>
      </c>
      <c r="K304" s="0" t="n">
        <v>27</v>
      </c>
    </row>
    <row r="305" customFormat="false" ht="15" hidden="false" customHeight="false" outlineLevel="0" collapsed="false">
      <c r="A305" s="0" t="s">
        <v>661</v>
      </c>
      <c r="B305" s="0" t="s">
        <v>662</v>
      </c>
      <c r="D305" s="0" t="s">
        <v>78</v>
      </c>
      <c r="E305" s="0" t="s">
        <v>72</v>
      </c>
      <c r="F305" s="0" t="s">
        <v>34</v>
      </c>
      <c r="G305" s="0" t="s">
        <v>35</v>
      </c>
      <c r="H305" s="0" t="s">
        <v>75</v>
      </c>
      <c r="I305" s="0" t="n">
        <v>742.92</v>
      </c>
      <c r="J305" s="0" t="n">
        <v>0.1</v>
      </c>
    </row>
    <row r="306" customFormat="false" ht="15" hidden="false" customHeight="false" outlineLevel="0" collapsed="false">
      <c r="A306" s="0" t="s">
        <v>663</v>
      </c>
      <c r="B306" s="0" t="s">
        <v>364</v>
      </c>
      <c r="C306" s="0" t="s">
        <v>407</v>
      </c>
      <c r="D306" s="0" t="s">
        <v>86</v>
      </c>
      <c r="E306" s="0" t="s">
        <v>33</v>
      </c>
      <c r="F306" s="0" t="s">
        <v>47</v>
      </c>
      <c r="G306" s="0" t="s">
        <v>35</v>
      </c>
      <c r="H306" s="0" t="s">
        <v>42</v>
      </c>
      <c r="I306" s="0" t="n">
        <v>855.41</v>
      </c>
      <c r="J306" s="0" t="n">
        <v>0.05</v>
      </c>
      <c r="K306" s="0" t="n">
        <v>21</v>
      </c>
    </row>
    <row r="307" customFormat="false" ht="15" hidden="false" customHeight="false" outlineLevel="0" collapsed="false">
      <c r="A307" s="0" t="s">
        <v>664</v>
      </c>
      <c r="B307" s="0" t="s">
        <v>541</v>
      </c>
      <c r="D307" s="0" t="s">
        <v>78</v>
      </c>
      <c r="E307" s="0" t="s">
        <v>46</v>
      </c>
      <c r="F307" s="0" t="s">
        <v>73</v>
      </c>
      <c r="G307" s="0" t="s">
        <v>41</v>
      </c>
      <c r="H307" s="0" t="s">
        <v>75</v>
      </c>
      <c r="I307" s="0" t="n">
        <v>110.61</v>
      </c>
      <c r="J307" s="0" t="n">
        <v>0</v>
      </c>
    </row>
    <row r="308" customFormat="false" ht="15" hidden="false" customHeight="false" outlineLevel="0" collapsed="false">
      <c r="A308" s="0" t="s">
        <v>665</v>
      </c>
      <c r="B308" s="0" t="s">
        <v>666</v>
      </c>
      <c r="C308" s="0" t="s">
        <v>667</v>
      </c>
      <c r="D308" s="0" t="s">
        <v>95</v>
      </c>
      <c r="E308" s="0" t="s">
        <v>33</v>
      </c>
      <c r="F308" s="0" t="s">
        <v>89</v>
      </c>
      <c r="G308" s="0" t="s">
        <v>58</v>
      </c>
      <c r="H308" s="0" t="s">
        <v>36</v>
      </c>
      <c r="I308" s="0" t="n">
        <v>916.67</v>
      </c>
      <c r="J308" s="0" t="n">
        <v>0.2</v>
      </c>
      <c r="K308" s="0" t="n">
        <v>5</v>
      </c>
    </row>
    <row r="309" customFormat="false" ht="15" hidden="false" customHeight="false" outlineLevel="0" collapsed="false">
      <c r="A309" s="0" t="s">
        <v>668</v>
      </c>
      <c r="B309" s="0" t="s">
        <v>669</v>
      </c>
      <c r="D309" s="0" t="s">
        <v>32</v>
      </c>
      <c r="E309" s="0" t="s">
        <v>114</v>
      </c>
      <c r="F309" s="0" t="s">
        <v>57</v>
      </c>
      <c r="G309" s="0" t="s">
        <v>69</v>
      </c>
      <c r="H309" s="0" t="s">
        <v>75</v>
      </c>
      <c r="I309" s="0" t="n">
        <v>724.94</v>
      </c>
      <c r="J309" s="0" t="n">
        <v>0.1</v>
      </c>
    </row>
    <row r="310" customFormat="false" ht="15" hidden="false" customHeight="false" outlineLevel="0" collapsed="false">
      <c r="A310" s="0" t="s">
        <v>670</v>
      </c>
      <c r="B310" s="0" t="s">
        <v>97</v>
      </c>
      <c r="D310" s="0" t="s">
        <v>51</v>
      </c>
      <c r="E310" s="0" t="s">
        <v>114</v>
      </c>
      <c r="F310" s="0" t="s">
        <v>89</v>
      </c>
      <c r="G310" s="0" t="s">
        <v>69</v>
      </c>
      <c r="H310" s="0" t="s">
        <v>62</v>
      </c>
      <c r="I310" s="0" t="n">
        <v>1923.59</v>
      </c>
      <c r="J310" s="0" t="n">
        <v>0</v>
      </c>
    </row>
    <row r="311" customFormat="false" ht="15" hidden="false" customHeight="false" outlineLevel="0" collapsed="false">
      <c r="A311" s="0" t="s">
        <v>671</v>
      </c>
      <c r="B311" s="0" t="s">
        <v>332</v>
      </c>
      <c r="D311" s="0" t="s">
        <v>95</v>
      </c>
      <c r="E311" s="0" t="s">
        <v>114</v>
      </c>
      <c r="F311" s="0" t="s">
        <v>129</v>
      </c>
      <c r="G311" s="0" t="s">
        <v>58</v>
      </c>
      <c r="H311" s="0" t="s">
        <v>62</v>
      </c>
      <c r="I311" s="0" t="n">
        <v>720.47</v>
      </c>
      <c r="J311" s="0" t="n">
        <v>0</v>
      </c>
    </row>
    <row r="312" customFormat="false" ht="15" hidden="false" customHeight="false" outlineLevel="0" collapsed="false">
      <c r="A312" s="0" t="s">
        <v>672</v>
      </c>
      <c r="B312" s="0" t="s">
        <v>468</v>
      </c>
      <c r="C312" s="0" t="s">
        <v>455</v>
      </c>
      <c r="D312" s="0" t="s">
        <v>95</v>
      </c>
      <c r="E312" s="0" t="s">
        <v>46</v>
      </c>
      <c r="F312" s="0" t="s">
        <v>34</v>
      </c>
      <c r="G312" s="0" t="s">
        <v>69</v>
      </c>
      <c r="H312" s="0" t="s">
        <v>36</v>
      </c>
      <c r="I312" s="0" t="n">
        <v>269.36</v>
      </c>
      <c r="J312" s="0" t="n">
        <v>0.05</v>
      </c>
      <c r="K312" s="0" t="n">
        <v>18</v>
      </c>
    </row>
    <row r="313" customFormat="false" ht="15" hidden="false" customHeight="false" outlineLevel="0" collapsed="false">
      <c r="A313" s="0" t="s">
        <v>673</v>
      </c>
      <c r="B313" s="0" t="s">
        <v>205</v>
      </c>
      <c r="C313" s="0" t="s">
        <v>674</v>
      </c>
      <c r="D313" s="0" t="s">
        <v>61</v>
      </c>
      <c r="E313" s="0" t="s">
        <v>114</v>
      </c>
      <c r="F313" s="0" t="s">
        <v>57</v>
      </c>
      <c r="G313" s="0" t="s">
        <v>140</v>
      </c>
      <c r="H313" s="0" t="s">
        <v>42</v>
      </c>
      <c r="I313" s="0" t="n">
        <v>696.02</v>
      </c>
      <c r="J313" s="0" t="n">
        <v>0.05</v>
      </c>
      <c r="K313" s="0" t="n">
        <v>27</v>
      </c>
    </row>
    <row r="314" customFormat="false" ht="15" hidden="false" customHeight="false" outlineLevel="0" collapsed="false">
      <c r="A314" s="0" t="s">
        <v>675</v>
      </c>
      <c r="B314" s="0" t="s">
        <v>127</v>
      </c>
      <c r="D314" s="0" t="s">
        <v>86</v>
      </c>
      <c r="E314" s="0" t="s">
        <v>46</v>
      </c>
      <c r="F314" s="0" t="s">
        <v>89</v>
      </c>
      <c r="G314" s="0" t="s">
        <v>53</v>
      </c>
      <c r="H314" s="0" t="s">
        <v>62</v>
      </c>
      <c r="I314" s="0" t="n">
        <v>119.36</v>
      </c>
      <c r="J314" s="0" t="n">
        <v>0.2</v>
      </c>
    </row>
    <row r="315" customFormat="false" ht="15" hidden="false" customHeight="false" outlineLevel="0" collapsed="false">
      <c r="A315" s="0" t="s">
        <v>676</v>
      </c>
      <c r="B315" s="0" t="s">
        <v>156</v>
      </c>
      <c r="D315" s="0" t="s">
        <v>95</v>
      </c>
      <c r="E315" s="0" t="s">
        <v>46</v>
      </c>
      <c r="F315" s="0" t="s">
        <v>34</v>
      </c>
      <c r="G315" s="0" t="s">
        <v>117</v>
      </c>
      <c r="H315" s="0" t="s">
        <v>75</v>
      </c>
      <c r="I315" s="0" t="n">
        <v>266.52</v>
      </c>
      <c r="J315" s="0" t="n">
        <v>0</v>
      </c>
    </row>
    <row r="316" customFormat="false" ht="15" hidden="false" customHeight="false" outlineLevel="0" collapsed="false">
      <c r="A316" s="0" t="s">
        <v>677</v>
      </c>
      <c r="B316" s="0" t="s">
        <v>678</v>
      </c>
      <c r="C316" s="0" t="s">
        <v>679</v>
      </c>
      <c r="D316" s="0" t="s">
        <v>40</v>
      </c>
      <c r="E316" s="0" t="s">
        <v>52</v>
      </c>
      <c r="F316" s="0" t="s">
        <v>47</v>
      </c>
      <c r="G316" s="0" t="s">
        <v>53</v>
      </c>
      <c r="H316" s="0" t="s">
        <v>36</v>
      </c>
      <c r="I316" s="0" t="n">
        <v>527.93</v>
      </c>
      <c r="J316" s="0" t="n">
        <v>0.15</v>
      </c>
      <c r="K316" s="0" t="n">
        <v>10</v>
      </c>
    </row>
    <row r="317" customFormat="false" ht="15" hidden="false" customHeight="false" outlineLevel="0" collapsed="false">
      <c r="A317" s="0" t="s">
        <v>680</v>
      </c>
      <c r="B317" s="0" t="s">
        <v>610</v>
      </c>
      <c r="C317" s="0" t="s">
        <v>216</v>
      </c>
      <c r="D317" s="0" t="s">
        <v>95</v>
      </c>
      <c r="E317" s="0" t="s">
        <v>33</v>
      </c>
      <c r="F317" s="0" t="s">
        <v>34</v>
      </c>
      <c r="G317" s="0" t="s">
        <v>117</v>
      </c>
      <c r="H317" s="0" t="s">
        <v>36</v>
      </c>
      <c r="I317" s="0" t="n">
        <v>1882.97</v>
      </c>
      <c r="J317" s="0" t="n">
        <v>0.05</v>
      </c>
      <c r="K317" s="0" t="n">
        <v>15</v>
      </c>
    </row>
    <row r="318" customFormat="false" ht="15" hidden="false" customHeight="false" outlineLevel="0" collapsed="false">
      <c r="A318" s="0" t="s">
        <v>681</v>
      </c>
      <c r="B318" s="0" t="s">
        <v>330</v>
      </c>
      <c r="C318" s="0" t="s">
        <v>546</v>
      </c>
      <c r="D318" s="0" t="s">
        <v>78</v>
      </c>
      <c r="E318" s="0" t="s">
        <v>66</v>
      </c>
      <c r="F318" s="0" t="s">
        <v>34</v>
      </c>
      <c r="G318" s="0" t="s">
        <v>69</v>
      </c>
      <c r="H318" s="0" t="s">
        <v>36</v>
      </c>
      <c r="I318" s="0" t="n">
        <v>749.42</v>
      </c>
      <c r="J318" s="0" t="n">
        <v>0</v>
      </c>
      <c r="K318" s="0" t="n">
        <v>27</v>
      </c>
    </row>
    <row r="319" customFormat="false" ht="15" hidden="false" customHeight="false" outlineLevel="0" collapsed="false">
      <c r="A319" s="0" t="s">
        <v>682</v>
      </c>
      <c r="B319" s="0" t="s">
        <v>683</v>
      </c>
      <c r="C319" s="0" t="s">
        <v>684</v>
      </c>
      <c r="D319" s="0" t="s">
        <v>51</v>
      </c>
      <c r="E319" s="0" t="s">
        <v>46</v>
      </c>
      <c r="F319" s="0" t="s">
        <v>79</v>
      </c>
      <c r="H319" s="0" t="s">
        <v>42</v>
      </c>
      <c r="I319" s="0" t="n">
        <v>118.71</v>
      </c>
      <c r="J319" s="0" t="n">
        <v>0.05</v>
      </c>
      <c r="K319" s="0" t="n">
        <v>18</v>
      </c>
    </row>
    <row r="320" customFormat="false" ht="15" hidden="false" customHeight="false" outlineLevel="0" collapsed="false">
      <c r="A320" s="0" t="s">
        <v>685</v>
      </c>
      <c r="B320" s="0" t="s">
        <v>180</v>
      </c>
      <c r="C320" s="0" t="s">
        <v>110</v>
      </c>
      <c r="D320" s="0" t="s">
        <v>32</v>
      </c>
      <c r="E320" s="0" t="s">
        <v>33</v>
      </c>
      <c r="F320" s="0" t="s">
        <v>57</v>
      </c>
      <c r="G320" s="0" t="s">
        <v>74</v>
      </c>
      <c r="H320" s="0" t="s">
        <v>42</v>
      </c>
      <c r="I320" s="0" t="n">
        <v>904.75</v>
      </c>
      <c r="J320" s="0" t="n">
        <v>0</v>
      </c>
      <c r="K320" s="0" t="n">
        <v>25</v>
      </c>
    </row>
    <row r="321" customFormat="false" ht="15" hidden="false" customHeight="false" outlineLevel="0" collapsed="false">
      <c r="A321" s="0" t="s">
        <v>686</v>
      </c>
      <c r="B321" s="0" t="s">
        <v>687</v>
      </c>
      <c r="C321" s="0" t="s">
        <v>630</v>
      </c>
      <c r="D321" s="0" t="s">
        <v>32</v>
      </c>
      <c r="E321" s="0" t="s">
        <v>72</v>
      </c>
      <c r="F321" s="0" t="s">
        <v>73</v>
      </c>
      <c r="G321" s="0" t="s">
        <v>140</v>
      </c>
      <c r="H321" s="0" t="s">
        <v>42</v>
      </c>
      <c r="I321" s="0" t="n">
        <v>342.11</v>
      </c>
      <c r="J321" s="0" t="n">
        <v>0.15</v>
      </c>
      <c r="K321" s="0" t="n">
        <v>25</v>
      </c>
    </row>
    <row r="322" customFormat="false" ht="15" hidden="false" customHeight="false" outlineLevel="0" collapsed="false">
      <c r="A322" s="0" t="s">
        <v>688</v>
      </c>
      <c r="B322" s="0" t="s">
        <v>513</v>
      </c>
      <c r="C322" s="0" t="s">
        <v>689</v>
      </c>
      <c r="D322" s="0" t="s">
        <v>95</v>
      </c>
      <c r="E322" s="0" t="s">
        <v>33</v>
      </c>
      <c r="F322" s="0" t="s">
        <v>34</v>
      </c>
      <c r="G322" s="0" t="s">
        <v>53</v>
      </c>
      <c r="H322" s="0" t="s">
        <v>36</v>
      </c>
      <c r="I322" s="0" t="n">
        <v>791.68</v>
      </c>
      <c r="J322" s="0" t="n">
        <v>0</v>
      </c>
      <c r="K322" s="0" t="n">
        <v>23</v>
      </c>
    </row>
    <row r="323" customFormat="false" ht="15" hidden="false" customHeight="false" outlineLevel="0" collapsed="false">
      <c r="A323" s="0" t="s">
        <v>690</v>
      </c>
      <c r="B323" s="0" t="s">
        <v>492</v>
      </c>
      <c r="C323" s="0" t="s">
        <v>520</v>
      </c>
      <c r="D323" s="0" t="s">
        <v>86</v>
      </c>
      <c r="E323" s="0" t="s">
        <v>114</v>
      </c>
      <c r="F323" s="0" t="s">
        <v>34</v>
      </c>
      <c r="G323" s="0" t="s">
        <v>69</v>
      </c>
      <c r="H323" s="0" t="s">
        <v>36</v>
      </c>
      <c r="I323" s="0" t="n">
        <v>628.4</v>
      </c>
      <c r="J323" s="0" t="n">
        <v>0.05</v>
      </c>
      <c r="K323" s="0" t="n">
        <v>6</v>
      </c>
    </row>
    <row r="324" customFormat="false" ht="15" hidden="false" customHeight="false" outlineLevel="0" collapsed="false">
      <c r="A324" s="0" t="s">
        <v>691</v>
      </c>
      <c r="B324" s="0" t="s">
        <v>692</v>
      </c>
      <c r="D324" s="0" t="s">
        <v>86</v>
      </c>
      <c r="E324" s="0" t="s">
        <v>46</v>
      </c>
      <c r="F324" s="0" t="s">
        <v>89</v>
      </c>
      <c r="G324" s="0" t="s">
        <v>41</v>
      </c>
      <c r="H324" s="0" t="s">
        <v>62</v>
      </c>
      <c r="I324" s="0" t="n">
        <v>113.8</v>
      </c>
      <c r="J324" s="0" t="n">
        <v>0.1</v>
      </c>
    </row>
    <row r="325" customFormat="false" ht="15" hidden="false" customHeight="false" outlineLevel="0" collapsed="false">
      <c r="A325" s="0" t="s">
        <v>693</v>
      </c>
      <c r="B325" s="0" t="s">
        <v>257</v>
      </c>
      <c r="D325" s="0" t="s">
        <v>32</v>
      </c>
      <c r="E325" s="0" t="s">
        <v>66</v>
      </c>
      <c r="F325" s="0" t="s">
        <v>89</v>
      </c>
      <c r="G325" s="0" t="s">
        <v>140</v>
      </c>
      <c r="H325" s="0" t="s">
        <v>75</v>
      </c>
      <c r="I325" s="0" t="n">
        <v>679.34</v>
      </c>
      <c r="J325" s="0" t="n">
        <v>0</v>
      </c>
    </row>
    <row r="326" customFormat="false" ht="15" hidden="false" customHeight="false" outlineLevel="0" collapsed="false">
      <c r="A326" s="0" t="s">
        <v>694</v>
      </c>
      <c r="B326" s="0" t="s">
        <v>695</v>
      </c>
      <c r="D326" s="0" t="s">
        <v>86</v>
      </c>
      <c r="E326" s="0" t="s">
        <v>114</v>
      </c>
      <c r="F326" s="0" t="s">
        <v>47</v>
      </c>
      <c r="G326" s="0" t="s">
        <v>35</v>
      </c>
      <c r="H326" s="0" t="s">
        <v>75</v>
      </c>
      <c r="I326" s="0" t="n">
        <v>700</v>
      </c>
      <c r="J326" s="0" t="n">
        <v>0</v>
      </c>
    </row>
    <row r="327" customFormat="false" ht="15" hidden="false" customHeight="false" outlineLevel="0" collapsed="false">
      <c r="A327" s="0" t="s">
        <v>696</v>
      </c>
      <c r="B327" s="0" t="s">
        <v>174</v>
      </c>
      <c r="D327" s="0" t="s">
        <v>86</v>
      </c>
      <c r="E327" s="0" t="s">
        <v>114</v>
      </c>
      <c r="F327" s="0" t="s">
        <v>47</v>
      </c>
      <c r="G327" s="0" t="s">
        <v>140</v>
      </c>
      <c r="H327" s="0" t="s">
        <v>80</v>
      </c>
      <c r="I327" s="0" t="n">
        <v>720.16</v>
      </c>
      <c r="J327" s="0" t="n">
        <v>0.05</v>
      </c>
    </row>
    <row r="328" customFormat="false" ht="15" hidden="false" customHeight="false" outlineLevel="0" collapsed="false">
      <c r="A328" s="0" t="s">
        <v>697</v>
      </c>
      <c r="B328" s="0" t="s">
        <v>599</v>
      </c>
      <c r="D328" s="0" t="s">
        <v>40</v>
      </c>
      <c r="E328" s="0" t="s">
        <v>33</v>
      </c>
      <c r="F328" s="0" t="s">
        <v>34</v>
      </c>
      <c r="G328" s="0" t="s">
        <v>58</v>
      </c>
      <c r="H328" s="0" t="s">
        <v>62</v>
      </c>
      <c r="I328" s="0" t="n">
        <v>957.26</v>
      </c>
      <c r="J328" s="0" t="n">
        <v>0.05</v>
      </c>
    </row>
    <row r="329" customFormat="false" ht="15" hidden="false" customHeight="false" outlineLevel="0" collapsed="false">
      <c r="A329" s="0" t="s">
        <v>698</v>
      </c>
      <c r="B329" s="0" t="s">
        <v>699</v>
      </c>
      <c r="D329" s="0" t="s">
        <v>95</v>
      </c>
      <c r="E329" s="0" t="s">
        <v>114</v>
      </c>
      <c r="F329" s="0" t="s">
        <v>89</v>
      </c>
      <c r="G329" s="0" t="s">
        <v>69</v>
      </c>
      <c r="H329" s="0" t="s">
        <v>62</v>
      </c>
      <c r="I329" s="0" t="n">
        <v>718</v>
      </c>
      <c r="J329" s="0" t="n">
        <v>0.1</v>
      </c>
    </row>
    <row r="330" customFormat="false" ht="15" hidden="false" customHeight="false" outlineLevel="0" collapsed="false">
      <c r="A330" s="0" t="s">
        <v>700</v>
      </c>
      <c r="B330" s="0" t="s">
        <v>701</v>
      </c>
      <c r="D330" s="0" t="s">
        <v>78</v>
      </c>
      <c r="E330" s="0" t="s">
        <v>33</v>
      </c>
      <c r="F330" s="0" t="s">
        <v>89</v>
      </c>
      <c r="G330" s="0" t="s">
        <v>74</v>
      </c>
      <c r="H330" s="0" t="s">
        <v>62</v>
      </c>
      <c r="I330" s="0" t="n">
        <v>846.44</v>
      </c>
      <c r="J330" s="0" t="n">
        <v>0.15</v>
      </c>
    </row>
    <row r="331" customFormat="false" ht="15" hidden="false" customHeight="false" outlineLevel="0" collapsed="false">
      <c r="A331" s="0" t="s">
        <v>702</v>
      </c>
      <c r="B331" s="0" t="s">
        <v>674</v>
      </c>
      <c r="C331" s="0" t="s">
        <v>703</v>
      </c>
      <c r="D331" s="0" t="s">
        <v>32</v>
      </c>
      <c r="E331" s="0" t="s">
        <v>114</v>
      </c>
      <c r="F331" s="0" t="s">
        <v>73</v>
      </c>
      <c r="G331" s="0" t="s">
        <v>140</v>
      </c>
      <c r="H331" s="0" t="s">
        <v>36</v>
      </c>
      <c r="I331" s="0" t="n">
        <v>638.76</v>
      </c>
      <c r="J331" s="0" t="n">
        <v>0</v>
      </c>
      <c r="K331" s="0" t="n">
        <v>8</v>
      </c>
    </row>
    <row r="332" customFormat="false" ht="15" hidden="false" customHeight="false" outlineLevel="0" collapsed="false">
      <c r="A332" s="0" t="s">
        <v>704</v>
      </c>
      <c r="B332" s="0" t="s">
        <v>705</v>
      </c>
      <c r="C332" s="0" t="s">
        <v>480</v>
      </c>
      <c r="D332" s="0" t="s">
        <v>86</v>
      </c>
      <c r="E332" s="0" t="s">
        <v>52</v>
      </c>
      <c r="F332" s="0" t="s">
        <v>129</v>
      </c>
      <c r="G332" s="0" t="s">
        <v>69</v>
      </c>
      <c r="H332" s="0" t="s">
        <v>42</v>
      </c>
      <c r="I332" s="0" t="n">
        <v>546.74</v>
      </c>
      <c r="J332" s="0" t="n">
        <v>0</v>
      </c>
      <c r="K332" s="0" t="n">
        <v>18</v>
      </c>
    </row>
    <row r="333" customFormat="false" ht="15" hidden="false" customHeight="false" outlineLevel="0" collapsed="false">
      <c r="A333" s="0" t="s">
        <v>706</v>
      </c>
      <c r="B333" s="0" t="s">
        <v>707</v>
      </c>
      <c r="C333" s="0" t="s">
        <v>136</v>
      </c>
      <c r="D333" s="0" t="s">
        <v>32</v>
      </c>
      <c r="E333" s="0" t="s">
        <v>66</v>
      </c>
      <c r="F333" s="0" t="s">
        <v>57</v>
      </c>
      <c r="G333" s="0" t="s">
        <v>41</v>
      </c>
      <c r="H333" s="0" t="s">
        <v>36</v>
      </c>
      <c r="I333" s="0" t="n">
        <v>742.13</v>
      </c>
      <c r="J333" s="0" t="n">
        <v>0</v>
      </c>
      <c r="K333" s="0" t="n">
        <v>24</v>
      </c>
    </row>
    <row r="334" customFormat="false" ht="15" hidden="false" customHeight="false" outlineLevel="0" collapsed="false">
      <c r="A334" s="0" t="s">
        <v>708</v>
      </c>
      <c r="B334" s="0" t="s">
        <v>709</v>
      </c>
      <c r="C334" s="0" t="s">
        <v>710</v>
      </c>
      <c r="D334" s="0" t="s">
        <v>32</v>
      </c>
      <c r="E334" s="0" t="s">
        <v>46</v>
      </c>
      <c r="F334" s="0" t="s">
        <v>57</v>
      </c>
      <c r="G334" s="0" t="s">
        <v>69</v>
      </c>
      <c r="H334" s="0" t="s">
        <v>36</v>
      </c>
      <c r="I334" s="0" t="n">
        <v>113.72</v>
      </c>
      <c r="J334" s="0" t="n">
        <v>0</v>
      </c>
      <c r="K334" s="0" t="n">
        <v>18</v>
      </c>
    </row>
    <row r="335" customFormat="false" ht="15" hidden="false" customHeight="false" outlineLevel="0" collapsed="false">
      <c r="A335" s="0" t="s">
        <v>711</v>
      </c>
      <c r="B335" s="0" t="s">
        <v>657</v>
      </c>
      <c r="C335" s="0" t="s">
        <v>133</v>
      </c>
      <c r="D335" s="0" t="s">
        <v>40</v>
      </c>
      <c r="E335" s="0" t="s">
        <v>72</v>
      </c>
      <c r="F335" s="0" t="s">
        <v>47</v>
      </c>
      <c r="G335" s="0" t="s">
        <v>35</v>
      </c>
      <c r="H335" s="0" t="s">
        <v>36</v>
      </c>
      <c r="I335" s="0" t="n">
        <v>386.04</v>
      </c>
      <c r="J335" s="0" t="n">
        <v>0.2</v>
      </c>
      <c r="K335" s="0" t="n">
        <v>20</v>
      </c>
    </row>
    <row r="336" customFormat="false" ht="15" hidden="false" customHeight="false" outlineLevel="0" collapsed="false">
      <c r="A336" s="0" t="s">
        <v>712</v>
      </c>
      <c r="B336" s="0" t="s">
        <v>713</v>
      </c>
      <c r="C336" s="0" t="s">
        <v>714</v>
      </c>
      <c r="D336" s="0" t="s">
        <v>78</v>
      </c>
      <c r="E336" s="0" t="s">
        <v>72</v>
      </c>
      <c r="F336" s="0" t="s">
        <v>73</v>
      </c>
      <c r="H336" s="0" t="s">
        <v>36</v>
      </c>
      <c r="I336" s="0" t="n">
        <v>407.15</v>
      </c>
      <c r="J336" s="0" t="n">
        <v>0.05</v>
      </c>
      <c r="K336" s="0" t="n">
        <v>3</v>
      </c>
    </row>
    <row r="337" customFormat="false" ht="15" hidden="false" customHeight="false" outlineLevel="0" collapsed="false">
      <c r="A337" s="0" t="s">
        <v>715</v>
      </c>
      <c r="B337" s="0" t="s">
        <v>657</v>
      </c>
      <c r="C337" s="0" t="s">
        <v>133</v>
      </c>
      <c r="D337" s="0" t="s">
        <v>40</v>
      </c>
      <c r="E337" s="0" t="s">
        <v>114</v>
      </c>
      <c r="F337" s="0" t="s">
        <v>89</v>
      </c>
      <c r="G337" s="0" t="s">
        <v>117</v>
      </c>
      <c r="H337" s="0" t="s">
        <v>36</v>
      </c>
      <c r="I337" s="0" t="n">
        <v>686.42</v>
      </c>
      <c r="J337" s="0" t="n">
        <v>0</v>
      </c>
      <c r="K337" s="0" t="n">
        <v>20</v>
      </c>
    </row>
    <row r="338" customFormat="false" ht="15" hidden="false" customHeight="false" outlineLevel="0" collapsed="false">
      <c r="A338" s="0" t="s">
        <v>716</v>
      </c>
      <c r="B338" s="0" t="s">
        <v>30</v>
      </c>
      <c r="C338" s="0" t="s">
        <v>267</v>
      </c>
      <c r="D338" s="0" t="s">
        <v>32</v>
      </c>
      <c r="E338" s="0" t="s">
        <v>114</v>
      </c>
      <c r="F338" s="0" t="s">
        <v>34</v>
      </c>
      <c r="G338" s="0" t="s">
        <v>74</v>
      </c>
      <c r="H338" s="0" t="s">
        <v>36</v>
      </c>
      <c r="I338" s="0" t="n">
        <v>652.67</v>
      </c>
      <c r="J338" s="0" t="n">
        <v>0</v>
      </c>
      <c r="K338" s="0" t="n">
        <v>25</v>
      </c>
    </row>
    <row r="339" customFormat="false" ht="15" hidden="false" customHeight="false" outlineLevel="0" collapsed="false">
      <c r="A339" s="0" t="s">
        <v>717</v>
      </c>
      <c r="B339" s="0" t="s">
        <v>718</v>
      </c>
      <c r="C339" s="0" t="s">
        <v>536</v>
      </c>
      <c r="D339" s="0" t="s">
        <v>95</v>
      </c>
      <c r="E339" s="0" t="s">
        <v>33</v>
      </c>
      <c r="F339" s="0" t="s">
        <v>47</v>
      </c>
      <c r="G339" s="0" t="s">
        <v>140</v>
      </c>
      <c r="H339" s="0" t="s">
        <v>36</v>
      </c>
      <c r="I339" s="0" t="n">
        <v>820.24</v>
      </c>
      <c r="J339" s="0" t="n">
        <v>0.1</v>
      </c>
      <c r="K339" s="0" t="n">
        <v>8</v>
      </c>
    </row>
    <row r="340" customFormat="false" ht="15" hidden="false" customHeight="false" outlineLevel="0" collapsed="false">
      <c r="A340" s="0" t="s">
        <v>719</v>
      </c>
      <c r="B340" s="0" t="s">
        <v>720</v>
      </c>
      <c r="C340" s="0" t="s">
        <v>202</v>
      </c>
      <c r="D340" s="0" t="s">
        <v>51</v>
      </c>
      <c r="E340" s="0" t="s">
        <v>33</v>
      </c>
      <c r="F340" s="0" t="s">
        <v>47</v>
      </c>
      <c r="G340" s="0" t="s">
        <v>74</v>
      </c>
      <c r="H340" s="0" t="s">
        <v>36</v>
      </c>
      <c r="I340" s="0" t="n">
        <v>870.8</v>
      </c>
      <c r="J340" s="0" t="n">
        <v>0.05</v>
      </c>
      <c r="K340" s="0" t="n">
        <v>28</v>
      </c>
    </row>
    <row r="341" customFormat="false" ht="15" hidden="false" customHeight="false" outlineLevel="0" collapsed="false">
      <c r="A341" s="0" t="s">
        <v>721</v>
      </c>
      <c r="B341" s="0" t="s">
        <v>514</v>
      </c>
      <c r="C341" s="0" t="s">
        <v>391</v>
      </c>
      <c r="D341" s="0" t="s">
        <v>78</v>
      </c>
      <c r="E341" s="0" t="s">
        <v>66</v>
      </c>
      <c r="F341" s="0" t="s">
        <v>79</v>
      </c>
      <c r="G341" s="0" t="s">
        <v>35</v>
      </c>
      <c r="H341" s="0" t="s">
        <v>36</v>
      </c>
      <c r="I341" s="0" t="n">
        <v>686.88</v>
      </c>
      <c r="J341" s="0" t="n">
        <v>0.15</v>
      </c>
      <c r="K341" s="0" t="n">
        <v>12</v>
      </c>
    </row>
    <row r="342" customFormat="false" ht="15" hidden="false" customHeight="false" outlineLevel="0" collapsed="false">
      <c r="A342" s="0" t="s">
        <v>722</v>
      </c>
      <c r="B342" s="0" t="s">
        <v>627</v>
      </c>
      <c r="D342" s="0" t="s">
        <v>86</v>
      </c>
      <c r="E342" s="0" t="s">
        <v>52</v>
      </c>
      <c r="F342" s="0" t="s">
        <v>47</v>
      </c>
      <c r="G342" s="0" t="s">
        <v>117</v>
      </c>
      <c r="H342" s="0" t="s">
        <v>80</v>
      </c>
      <c r="I342" s="0" t="n">
        <v>535.66</v>
      </c>
      <c r="J342" s="0" t="n">
        <v>0</v>
      </c>
    </row>
    <row r="343" customFormat="false" ht="15" hidden="false" customHeight="false" outlineLevel="0" collapsed="false">
      <c r="A343" s="0" t="s">
        <v>723</v>
      </c>
      <c r="B343" s="0" t="s">
        <v>724</v>
      </c>
      <c r="D343" s="0" t="s">
        <v>78</v>
      </c>
      <c r="E343" s="0" t="s">
        <v>66</v>
      </c>
      <c r="F343" s="0" t="s">
        <v>34</v>
      </c>
      <c r="G343" s="0" t="s">
        <v>53</v>
      </c>
      <c r="H343" s="0" t="s">
        <v>62</v>
      </c>
      <c r="I343" s="0" t="n">
        <v>1273.8</v>
      </c>
      <c r="J343" s="0" t="n">
        <v>0.2</v>
      </c>
    </row>
    <row r="344" customFormat="false" ht="15" hidden="false" customHeight="false" outlineLevel="0" collapsed="false">
      <c r="A344" s="0" t="s">
        <v>725</v>
      </c>
      <c r="B344" s="0" t="s">
        <v>110</v>
      </c>
      <c r="C344" s="0" t="s">
        <v>726</v>
      </c>
      <c r="D344" s="0" t="s">
        <v>32</v>
      </c>
      <c r="E344" s="0" t="s">
        <v>46</v>
      </c>
      <c r="F344" s="0" t="s">
        <v>89</v>
      </c>
      <c r="G344" s="0" t="s">
        <v>41</v>
      </c>
      <c r="H344" s="0" t="s">
        <v>42</v>
      </c>
      <c r="I344" s="0" t="n">
        <v>138.17</v>
      </c>
      <c r="J344" s="0" t="n">
        <v>0.15</v>
      </c>
      <c r="K344" s="0" t="n">
        <v>23</v>
      </c>
    </row>
    <row r="345" customFormat="false" ht="15" hidden="false" customHeight="false" outlineLevel="0" collapsed="false">
      <c r="A345" s="0" t="s">
        <v>727</v>
      </c>
      <c r="B345" s="0" t="s">
        <v>728</v>
      </c>
      <c r="D345" s="0" t="s">
        <v>51</v>
      </c>
      <c r="E345" s="0" t="s">
        <v>33</v>
      </c>
      <c r="F345" s="0" t="s">
        <v>34</v>
      </c>
      <c r="G345" s="0" t="s">
        <v>41</v>
      </c>
      <c r="H345" s="0" t="s">
        <v>80</v>
      </c>
      <c r="I345" s="0" t="n">
        <v>841.17</v>
      </c>
      <c r="J345" s="0" t="n">
        <v>0.1</v>
      </c>
    </row>
    <row r="346" customFormat="false" ht="15" hidden="false" customHeight="false" outlineLevel="0" collapsed="false">
      <c r="A346" s="0" t="s">
        <v>729</v>
      </c>
      <c r="B346" s="0" t="s">
        <v>297</v>
      </c>
      <c r="C346" s="0" t="s">
        <v>601</v>
      </c>
      <c r="D346" s="0" t="s">
        <v>78</v>
      </c>
      <c r="E346" s="0" t="s">
        <v>114</v>
      </c>
      <c r="F346" s="0" t="s">
        <v>34</v>
      </c>
      <c r="G346" s="0" t="s">
        <v>140</v>
      </c>
      <c r="H346" s="0" t="s">
        <v>42</v>
      </c>
      <c r="I346" s="0" t="n">
        <v>615.16</v>
      </c>
      <c r="J346" s="0" t="n">
        <v>0</v>
      </c>
      <c r="K346" s="0" t="n">
        <v>33</v>
      </c>
    </row>
    <row r="347" customFormat="false" ht="15" hidden="false" customHeight="false" outlineLevel="0" collapsed="false">
      <c r="A347" s="0" t="s">
        <v>730</v>
      </c>
      <c r="B347" s="0" t="s">
        <v>705</v>
      </c>
      <c r="C347" s="0" t="s">
        <v>204</v>
      </c>
      <c r="D347" s="0" t="s">
        <v>95</v>
      </c>
      <c r="E347" s="0" t="s">
        <v>72</v>
      </c>
      <c r="F347" s="0" t="s">
        <v>79</v>
      </c>
      <c r="G347" s="0" t="s">
        <v>140</v>
      </c>
      <c r="H347" s="0" t="s">
        <v>36</v>
      </c>
      <c r="I347" s="0" t="n">
        <v>345.86</v>
      </c>
      <c r="J347" s="0" t="n">
        <v>0</v>
      </c>
      <c r="K347" s="0" t="n">
        <v>26</v>
      </c>
    </row>
    <row r="348" customFormat="false" ht="15" hidden="false" customHeight="false" outlineLevel="0" collapsed="false">
      <c r="A348" s="0" t="s">
        <v>731</v>
      </c>
      <c r="B348" s="0" t="s">
        <v>247</v>
      </c>
      <c r="C348" s="0" t="s">
        <v>732</v>
      </c>
      <c r="D348" s="0" t="s">
        <v>61</v>
      </c>
      <c r="E348" s="0" t="s">
        <v>114</v>
      </c>
      <c r="F348" s="0" t="s">
        <v>34</v>
      </c>
      <c r="G348" s="0" t="s">
        <v>58</v>
      </c>
      <c r="H348" s="0" t="s">
        <v>42</v>
      </c>
      <c r="I348" s="0" t="n">
        <v>651.75</v>
      </c>
      <c r="J348" s="0" t="n">
        <v>0.05</v>
      </c>
      <c r="K348" s="0" t="n">
        <v>19</v>
      </c>
    </row>
    <row r="349" customFormat="false" ht="15" hidden="false" customHeight="false" outlineLevel="0" collapsed="false">
      <c r="A349" s="0" t="s">
        <v>733</v>
      </c>
      <c r="B349" s="0" t="s">
        <v>556</v>
      </c>
      <c r="C349" s="0" t="s">
        <v>734</v>
      </c>
      <c r="D349" s="0" t="s">
        <v>51</v>
      </c>
      <c r="E349" s="0" t="s">
        <v>66</v>
      </c>
      <c r="F349" s="0" t="s">
        <v>89</v>
      </c>
      <c r="G349" s="0" t="s">
        <v>58</v>
      </c>
      <c r="H349" s="0" t="s">
        <v>36</v>
      </c>
      <c r="I349" s="0" t="n">
        <v>2264.51</v>
      </c>
      <c r="J349" s="0" t="n">
        <v>0</v>
      </c>
      <c r="K349" s="0" t="n">
        <v>25</v>
      </c>
    </row>
    <row r="350" customFormat="false" ht="15" hidden="false" customHeight="false" outlineLevel="0" collapsed="false">
      <c r="A350" s="0" t="s">
        <v>735</v>
      </c>
      <c r="B350" s="0" t="s">
        <v>736</v>
      </c>
      <c r="C350" s="0" t="s">
        <v>737</v>
      </c>
      <c r="D350" s="0" t="s">
        <v>61</v>
      </c>
      <c r="E350" s="0" t="s">
        <v>72</v>
      </c>
      <c r="F350" s="0" t="s">
        <v>34</v>
      </c>
      <c r="G350" s="0" t="s">
        <v>41</v>
      </c>
      <c r="H350" s="0" t="s">
        <v>42</v>
      </c>
      <c r="I350" s="0" t="n">
        <v>393.64</v>
      </c>
      <c r="J350" s="0" t="n">
        <v>0</v>
      </c>
      <c r="K350" s="0" t="n">
        <v>28</v>
      </c>
    </row>
    <row r="351" customFormat="false" ht="15" hidden="false" customHeight="false" outlineLevel="0" collapsed="false">
      <c r="A351" s="0" t="s">
        <v>738</v>
      </c>
      <c r="B351" s="0" t="s">
        <v>488</v>
      </c>
      <c r="C351" s="0" t="s">
        <v>739</v>
      </c>
      <c r="D351" s="0" t="s">
        <v>40</v>
      </c>
      <c r="E351" s="0" t="s">
        <v>66</v>
      </c>
      <c r="F351" s="0" t="s">
        <v>47</v>
      </c>
      <c r="G351" s="0" t="s">
        <v>41</v>
      </c>
      <c r="H351" s="0" t="s">
        <v>42</v>
      </c>
      <c r="I351" s="0" t="n">
        <v>775.14</v>
      </c>
      <c r="J351" s="0" t="n">
        <v>0</v>
      </c>
      <c r="K351" s="0" t="n">
        <v>23</v>
      </c>
    </row>
    <row r="352" customFormat="false" ht="15" hidden="false" customHeight="false" outlineLevel="0" collapsed="false">
      <c r="A352" s="0" t="s">
        <v>740</v>
      </c>
      <c r="B352" s="0" t="s">
        <v>344</v>
      </c>
      <c r="C352" s="0" t="s">
        <v>669</v>
      </c>
      <c r="D352" s="0" t="s">
        <v>78</v>
      </c>
      <c r="E352" s="0" t="s">
        <v>33</v>
      </c>
      <c r="F352" s="0" t="s">
        <v>73</v>
      </c>
      <c r="G352" s="0" t="s">
        <v>41</v>
      </c>
      <c r="H352" s="0" t="s">
        <v>36</v>
      </c>
      <c r="I352" s="0" t="n">
        <v>958.01</v>
      </c>
      <c r="J352" s="0" t="n">
        <v>0.1</v>
      </c>
      <c r="K352" s="0" t="n">
        <v>9</v>
      </c>
    </row>
    <row r="353" customFormat="false" ht="15" hidden="false" customHeight="false" outlineLevel="0" collapsed="false">
      <c r="A353" s="0" t="s">
        <v>741</v>
      </c>
      <c r="B353" s="0" t="s">
        <v>558</v>
      </c>
      <c r="D353" s="0" t="s">
        <v>86</v>
      </c>
      <c r="E353" s="0" t="s">
        <v>72</v>
      </c>
      <c r="F353" s="0" t="s">
        <v>79</v>
      </c>
      <c r="G353" s="0" t="s">
        <v>58</v>
      </c>
      <c r="H353" s="0" t="s">
        <v>62</v>
      </c>
      <c r="I353" s="0" t="n">
        <v>678.78</v>
      </c>
      <c r="J353" s="0" t="n">
        <v>0.2</v>
      </c>
    </row>
    <row r="354" customFormat="false" ht="15" hidden="false" customHeight="false" outlineLevel="0" collapsed="false">
      <c r="A354" s="0" t="s">
        <v>742</v>
      </c>
      <c r="B354" s="0" t="s">
        <v>379</v>
      </c>
      <c r="C354" s="0" t="s">
        <v>743</v>
      </c>
      <c r="D354" s="0" t="s">
        <v>61</v>
      </c>
      <c r="E354" s="0" t="s">
        <v>33</v>
      </c>
      <c r="F354" s="0" t="s">
        <v>79</v>
      </c>
      <c r="G354" s="0" t="s">
        <v>53</v>
      </c>
      <c r="H354" s="0" t="s">
        <v>36</v>
      </c>
      <c r="I354" s="0" t="n">
        <v>859.47</v>
      </c>
      <c r="J354" s="0" t="n">
        <v>0.1</v>
      </c>
      <c r="K354" s="0" t="n">
        <v>29</v>
      </c>
    </row>
    <row r="355" customFormat="false" ht="15" hidden="false" customHeight="false" outlineLevel="0" collapsed="false">
      <c r="A355" s="0" t="s">
        <v>744</v>
      </c>
      <c r="B355" s="0" t="s">
        <v>745</v>
      </c>
      <c r="D355" s="0" t="s">
        <v>40</v>
      </c>
      <c r="E355" s="0" t="s">
        <v>46</v>
      </c>
      <c r="F355" s="0" t="s">
        <v>89</v>
      </c>
      <c r="G355" s="0" t="s">
        <v>74</v>
      </c>
      <c r="H355" s="0" t="s">
        <v>80</v>
      </c>
      <c r="I355" s="0" t="n">
        <v>114.78</v>
      </c>
      <c r="J355" s="0" t="n">
        <v>0</v>
      </c>
    </row>
    <row r="356" customFormat="false" ht="15" hidden="false" customHeight="false" outlineLevel="0" collapsed="false">
      <c r="A356" s="0" t="s">
        <v>746</v>
      </c>
      <c r="B356" s="0" t="s">
        <v>462</v>
      </c>
      <c r="C356" s="0" t="s">
        <v>747</v>
      </c>
      <c r="D356" s="0" t="s">
        <v>51</v>
      </c>
      <c r="E356" s="0" t="s">
        <v>72</v>
      </c>
      <c r="F356" s="0" t="s">
        <v>89</v>
      </c>
      <c r="G356" s="0" t="s">
        <v>69</v>
      </c>
      <c r="H356" s="0" t="s">
        <v>42</v>
      </c>
      <c r="I356" s="0" t="n">
        <v>1096.92</v>
      </c>
      <c r="J356" s="0" t="n">
        <v>0.05</v>
      </c>
      <c r="K356" s="0" t="n">
        <v>11</v>
      </c>
    </row>
    <row r="357" customFormat="false" ht="15" hidden="false" customHeight="false" outlineLevel="0" collapsed="false">
      <c r="A357" s="0" t="s">
        <v>748</v>
      </c>
      <c r="B357" s="0" t="s">
        <v>372</v>
      </c>
      <c r="C357" s="0" t="s">
        <v>749</v>
      </c>
      <c r="D357" s="0" t="s">
        <v>78</v>
      </c>
      <c r="E357" s="0" t="s">
        <v>33</v>
      </c>
      <c r="F357" s="0" t="s">
        <v>89</v>
      </c>
      <c r="G357" s="0" t="s">
        <v>69</v>
      </c>
      <c r="H357" s="0" t="s">
        <v>36</v>
      </c>
      <c r="I357" s="0" t="n">
        <v>2841.21</v>
      </c>
      <c r="J357" s="0" t="n">
        <v>0</v>
      </c>
      <c r="K357" s="0" t="n">
        <v>12</v>
      </c>
    </row>
    <row r="358" customFormat="false" ht="15" hidden="false" customHeight="false" outlineLevel="0" collapsed="false">
      <c r="A358" s="0" t="s">
        <v>750</v>
      </c>
      <c r="B358" s="0" t="s">
        <v>313</v>
      </c>
      <c r="C358" s="0" t="s">
        <v>250</v>
      </c>
      <c r="D358" s="0" t="s">
        <v>32</v>
      </c>
      <c r="E358" s="0" t="s">
        <v>114</v>
      </c>
      <c r="F358" s="0" t="s">
        <v>73</v>
      </c>
      <c r="G358" s="0" t="s">
        <v>140</v>
      </c>
      <c r="H358" s="0" t="s">
        <v>42</v>
      </c>
      <c r="I358" s="0" t="n">
        <v>685.09</v>
      </c>
      <c r="J358" s="0" t="n">
        <v>0.05</v>
      </c>
      <c r="K358" s="0" t="n">
        <v>22</v>
      </c>
    </row>
    <row r="359" customFormat="false" ht="15" hidden="false" customHeight="false" outlineLevel="0" collapsed="false">
      <c r="A359" s="0" t="s">
        <v>751</v>
      </c>
      <c r="B359" s="0" t="s">
        <v>752</v>
      </c>
      <c r="D359" s="0" t="s">
        <v>51</v>
      </c>
      <c r="E359" s="0" t="s">
        <v>52</v>
      </c>
      <c r="F359" s="0" t="s">
        <v>34</v>
      </c>
      <c r="G359" s="0" t="s">
        <v>41</v>
      </c>
      <c r="H359" s="0" t="s">
        <v>62</v>
      </c>
      <c r="I359" s="0" t="n">
        <v>564.96</v>
      </c>
      <c r="J359" s="0" t="n">
        <v>0.2</v>
      </c>
    </row>
    <row r="360" customFormat="false" ht="15" hidden="false" customHeight="false" outlineLevel="0" collapsed="false">
      <c r="A360" s="0" t="s">
        <v>753</v>
      </c>
      <c r="B360" s="0" t="s">
        <v>500</v>
      </c>
      <c r="C360" s="0" t="s">
        <v>284</v>
      </c>
      <c r="D360" s="0" t="s">
        <v>40</v>
      </c>
      <c r="E360" s="0" t="s">
        <v>114</v>
      </c>
      <c r="F360" s="0" t="s">
        <v>89</v>
      </c>
      <c r="G360" s="0" t="s">
        <v>41</v>
      </c>
      <c r="H360" s="0" t="s">
        <v>36</v>
      </c>
      <c r="I360" s="0" t="n">
        <v>699.75</v>
      </c>
      <c r="J360" s="0" t="n">
        <v>0.1</v>
      </c>
      <c r="K360" s="0" t="n">
        <v>12</v>
      </c>
    </row>
    <row r="361" customFormat="false" ht="15" hidden="false" customHeight="false" outlineLevel="0" collapsed="false">
      <c r="A361" s="0" t="s">
        <v>754</v>
      </c>
      <c r="B361" s="0" t="s">
        <v>655</v>
      </c>
      <c r="C361" s="0" t="s">
        <v>386</v>
      </c>
      <c r="D361" s="0" t="s">
        <v>95</v>
      </c>
      <c r="E361" s="0" t="s">
        <v>46</v>
      </c>
      <c r="F361" s="0" t="s">
        <v>34</v>
      </c>
      <c r="G361" s="0" t="s">
        <v>41</v>
      </c>
      <c r="H361" s="0" t="s">
        <v>36</v>
      </c>
      <c r="I361" s="0" t="n">
        <v>344.62</v>
      </c>
      <c r="J361" s="0" t="n">
        <v>0</v>
      </c>
      <c r="K361" s="0" t="n">
        <v>30</v>
      </c>
    </row>
    <row r="362" customFormat="false" ht="15" hidden="false" customHeight="false" outlineLevel="0" collapsed="false">
      <c r="A362" s="0" t="s">
        <v>755</v>
      </c>
      <c r="B362" s="0" t="s">
        <v>204</v>
      </c>
      <c r="D362" s="0" t="s">
        <v>95</v>
      </c>
      <c r="E362" s="0" t="s">
        <v>46</v>
      </c>
      <c r="F362" s="0" t="s">
        <v>57</v>
      </c>
      <c r="G362" s="0" t="s">
        <v>74</v>
      </c>
      <c r="H362" s="0" t="s">
        <v>62</v>
      </c>
      <c r="I362" s="0" t="n">
        <v>379.12</v>
      </c>
      <c r="J362" s="0" t="n">
        <v>0</v>
      </c>
    </row>
    <row r="363" customFormat="false" ht="15" hidden="false" customHeight="false" outlineLevel="0" collapsed="false">
      <c r="A363" s="0" t="s">
        <v>756</v>
      </c>
      <c r="B363" s="0" t="s">
        <v>757</v>
      </c>
      <c r="C363" s="0" t="s">
        <v>316</v>
      </c>
      <c r="D363" s="0" t="s">
        <v>95</v>
      </c>
      <c r="E363" s="0" t="s">
        <v>66</v>
      </c>
      <c r="F363" s="0" t="s">
        <v>47</v>
      </c>
      <c r="G363" s="0" t="s">
        <v>69</v>
      </c>
      <c r="H363" s="0" t="s">
        <v>36</v>
      </c>
      <c r="I363" s="0" t="n">
        <v>1938.98</v>
      </c>
      <c r="J363" s="0" t="n">
        <v>0</v>
      </c>
      <c r="K363" s="0" t="n">
        <v>6</v>
      </c>
    </row>
    <row r="364" customFormat="false" ht="15" hidden="false" customHeight="false" outlineLevel="0" collapsed="false">
      <c r="A364" s="0" t="s">
        <v>758</v>
      </c>
      <c r="B364" s="0" t="s">
        <v>759</v>
      </c>
      <c r="D364" s="0" t="s">
        <v>78</v>
      </c>
      <c r="E364" s="0" t="s">
        <v>114</v>
      </c>
      <c r="F364" s="0" t="s">
        <v>47</v>
      </c>
      <c r="G364" s="0" t="s">
        <v>53</v>
      </c>
      <c r="H364" s="0" t="s">
        <v>75</v>
      </c>
      <c r="I364" s="0" t="n">
        <v>648.93</v>
      </c>
      <c r="J364" s="0" t="n">
        <v>0.2</v>
      </c>
    </row>
    <row r="365" customFormat="false" ht="15" hidden="false" customHeight="false" outlineLevel="0" collapsed="false">
      <c r="A365" s="0" t="s">
        <v>760</v>
      </c>
      <c r="B365" s="0" t="s">
        <v>761</v>
      </c>
      <c r="D365" s="0" t="s">
        <v>95</v>
      </c>
      <c r="E365" s="0" t="s">
        <v>72</v>
      </c>
      <c r="F365" s="0" t="s">
        <v>34</v>
      </c>
      <c r="G365" s="0" t="s">
        <v>69</v>
      </c>
      <c r="H365" s="0" t="s">
        <v>75</v>
      </c>
      <c r="I365" s="0" t="n">
        <v>395.94</v>
      </c>
      <c r="J365" s="0" t="n">
        <v>0</v>
      </c>
    </row>
    <row r="366" customFormat="false" ht="15" hidden="false" customHeight="false" outlineLevel="0" collapsed="false">
      <c r="A366" s="0" t="s">
        <v>762</v>
      </c>
      <c r="B366" s="0" t="s">
        <v>763</v>
      </c>
      <c r="C366" s="0" t="s">
        <v>378</v>
      </c>
      <c r="D366" s="0" t="s">
        <v>51</v>
      </c>
      <c r="E366" s="0" t="s">
        <v>46</v>
      </c>
      <c r="F366" s="0" t="s">
        <v>79</v>
      </c>
      <c r="G366" s="0" t="s">
        <v>140</v>
      </c>
      <c r="H366" s="0" t="s">
        <v>36</v>
      </c>
      <c r="I366" s="0" t="n">
        <v>262.76</v>
      </c>
      <c r="J366" s="0" t="n">
        <v>0.2</v>
      </c>
      <c r="K366" s="0" t="n">
        <v>10</v>
      </c>
    </row>
    <row r="367" customFormat="false" ht="15" hidden="false" customHeight="false" outlineLevel="0" collapsed="false">
      <c r="A367" s="0" t="s">
        <v>764</v>
      </c>
      <c r="B367" s="0" t="s">
        <v>583</v>
      </c>
      <c r="C367" s="0" t="s">
        <v>106</v>
      </c>
      <c r="D367" s="0" t="s">
        <v>32</v>
      </c>
      <c r="E367" s="0" t="s">
        <v>66</v>
      </c>
      <c r="F367" s="0" t="s">
        <v>57</v>
      </c>
      <c r="G367" s="0" t="s">
        <v>69</v>
      </c>
      <c r="H367" s="0" t="s">
        <v>36</v>
      </c>
      <c r="I367" s="0" t="n">
        <v>738.11</v>
      </c>
      <c r="J367" s="0" t="n">
        <v>0.05</v>
      </c>
      <c r="K367" s="0" t="n">
        <v>43</v>
      </c>
    </row>
    <row r="368" customFormat="false" ht="15" hidden="false" customHeight="false" outlineLevel="0" collapsed="false">
      <c r="A368" s="0" t="s">
        <v>765</v>
      </c>
      <c r="B368" s="0" t="s">
        <v>766</v>
      </c>
      <c r="D368" s="0" t="s">
        <v>51</v>
      </c>
      <c r="E368" s="0" t="s">
        <v>46</v>
      </c>
      <c r="F368" s="0" t="s">
        <v>57</v>
      </c>
      <c r="G368" s="0" t="s">
        <v>69</v>
      </c>
      <c r="H368" s="0" t="s">
        <v>80</v>
      </c>
      <c r="I368" s="0" t="n">
        <v>413.4</v>
      </c>
      <c r="J368" s="0" t="n">
        <v>0.05</v>
      </c>
    </row>
    <row r="369" customFormat="false" ht="15" hidden="false" customHeight="false" outlineLevel="0" collapsed="false">
      <c r="A369" s="0" t="s">
        <v>767</v>
      </c>
      <c r="B369" s="0" t="s">
        <v>768</v>
      </c>
      <c r="D369" s="0" t="s">
        <v>95</v>
      </c>
      <c r="E369" s="0" t="s">
        <v>114</v>
      </c>
      <c r="F369" s="0" t="s">
        <v>34</v>
      </c>
      <c r="H369" s="0" t="s">
        <v>80</v>
      </c>
      <c r="I369" s="0" t="n">
        <v>1221.78</v>
      </c>
      <c r="J369" s="0" t="n">
        <v>0</v>
      </c>
    </row>
    <row r="370" customFormat="false" ht="15" hidden="false" customHeight="false" outlineLevel="0" collapsed="false">
      <c r="A370" s="0" t="s">
        <v>769</v>
      </c>
      <c r="B370" s="0" t="s">
        <v>526</v>
      </c>
      <c r="C370" s="0" t="s">
        <v>770</v>
      </c>
      <c r="D370" s="0" t="s">
        <v>51</v>
      </c>
      <c r="E370" s="0" t="s">
        <v>46</v>
      </c>
      <c r="F370" s="0" t="s">
        <v>34</v>
      </c>
      <c r="G370" s="0" t="s">
        <v>53</v>
      </c>
      <c r="H370" s="0" t="s">
        <v>36</v>
      </c>
      <c r="I370" s="0" t="n">
        <v>130.69</v>
      </c>
      <c r="J370" s="0" t="n">
        <v>0.05</v>
      </c>
      <c r="K370" s="0" t="n">
        <v>23</v>
      </c>
    </row>
    <row r="371" customFormat="false" ht="15" hidden="false" customHeight="false" outlineLevel="0" collapsed="false">
      <c r="A371" s="0" t="s">
        <v>771</v>
      </c>
      <c r="B371" s="0" t="s">
        <v>413</v>
      </c>
      <c r="C371" s="0" t="s">
        <v>549</v>
      </c>
      <c r="D371" s="0" t="s">
        <v>78</v>
      </c>
      <c r="E371" s="0" t="s">
        <v>72</v>
      </c>
      <c r="F371" s="0" t="s">
        <v>34</v>
      </c>
      <c r="G371" s="0" t="s">
        <v>58</v>
      </c>
      <c r="H371" s="0" t="s">
        <v>36</v>
      </c>
      <c r="I371" s="0" t="n">
        <v>331.57</v>
      </c>
      <c r="J371" s="0" t="n">
        <v>0</v>
      </c>
      <c r="K371" s="0" t="n">
        <v>18</v>
      </c>
    </row>
    <row r="372" customFormat="false" ht="15" hidden="false" customHeight="false" outlineLevel="0" collapsed="false">
      <c r="A372" s="0" t="s">
        <v>772</v>
      </c>
      <c r="B372" s="0" t="s">
        <v>276</v>
      </c>
      <c r="C372" s="0" t="s">
        <v>773</v>
      </c>
      <c r="D372" s="0" t="s">
        <v>40</v>
      </c>
      <c r="E372" s="0" t="s">
        <v>66</v>
      </c>
      <c r="F372" s="0" t="s">
        <v>57</v>
      </c>
      <c r="G372" s="0" t="s">
        <v>69</v>
      </c>
      <c r="H372" s="0" t="s">
        <v>42</v>
      </c>
      <c r="I372" s="0" t="n">
        <v>1308.25</v>
      </c>
      <c r="J372" s="0" t="n">
        <v>0.2</v>
      </c>
      <c r="K372" s="0" t="n">
        <v>12</v>
      </c>
    </row>
    <row r="373" customFormat="false" ht="15" hidden="false" customHeight="false" outlineLevel="0" collapsed="false">
      <c r="A373" s="0" t="s">
        <v>774</v>
      </c>
      <c r="B373" s="0" t="s">
        <v>64</v>
      </c>
      <c r="C373" s="0" t="s">
        <v>339</v>
      </c>
      <c r="D373" s="0" t="s">
        <v>95</v>
      </c>
      <c r="E373" s="0" t="s">
        <v>114</v>
      </c>
      <c r="F373" s="0" t="s">
        <v>57</v>
      </c>
      <c r="G373" s="0" t="s">
        <v>41</v>
      </c>
      <c r="H373" s="0" t="s">
        <v>42</v>
      </c>
      <c r="I373" s="0" t="n">
        <v>722.64</v>
      </c>
      <c r="J373" s="0" t="n">
        <v>0</v>
      </c>
      <c r="K373" s="0" t="n">
        <v>28</v>
      </c>
    </row>
    <row r="374" customFormat="false" ht="15" hidden="false" customHeight="false" outlineLevel="0" collapsed="false">
      <c r="A374" s="0" t="s">
        <v>775</v>
      </c>
      <c r="B374" s="0" t="s">
        <v>142</v>
      </c>
      <c r="C374" s="0" t="s">
        <v>776</v>
      </c>
      <c r="D374" s="0" t="s">
        <v>78</v>
      </c>
      <c r="E374" s="0" t="s">
        <v>72</v>
      </c>
      <c r="F374" s="0" t="s">
        <v>89</v>
      </c>
      <c r="G374" s="0" t="s">
        <v>58</v>
      </c>
      <c r="H374" s="0" t="s">
        <v>36</v>
      </c>
      <c r="I374" s="0" t="n">
        <v>328.69</v>
      </c>
      <c r="J374" s="0" t="n">
        <v>0</v>
      </c>
      <c r="K374" s="0" t="n">
        <v>25</v>
      </c>
    </row>
    <row r="375" customFormat="false" ht="15" hidden="false" customHeight="false" outlineLevel="0" collapsed="false">
      <c r="A375" s="0" t="s">
        <v>777</v>
      </c>
      <c r="B375" s="0" t="s">
        <v>749</v>
      </c>
      <c r="D375" s="0" t="s">
        <v>86</v>
      </c>
      <c r="E375" s="0" t="s">
        <v>114</v>
      </c>
      <c r="F375" s="0" t="s">
        <v>79</v>
      </c>
      <c r="G375" s="0" t="s">
        <v>74</v>
      </c>
      <c r="H375" s="0" t="s">
        <v>62</v>
      </c>
      <c r="I375" s="0" t="n">
        <v>1241.35</v>
      </c>
      <c r="J375" s="0" t="n">
        <v>0</v>
      </c>
    </row>
    <row r="376" customFormat="false" ht="15" hidden="false" customHeight="false" outlineLevel="0" collapsed="false">
      <c r="A376" s="0" t="s">
        <v>778</v>
      </c>
      <c r="B376" s="0" t="s">
        <v>703</v>
      </c>
      <c r="D376" s="0" t="s">
        <v>78</v>
      </c>
      <c r="E376" s="0" t="s">
        <v>33</v>
      </c>
      <c r="F376" s="0" t="s">
        <v>89</v>
      </c>
      <c r="G376" s="0" t="s">
        <v>41</v>
      </c>
      <c r="H376" s="0" t="s">
        <v>80</v>
      </c>
      <c r="I376" s="0" t="n">
        <v>2740.34</v>
      </c>
      <c r="J376" s="0" t="n">
        <v>0</v>
      </c>
    </row>
    <row r="377" customFormat="false" ht="15" hidden="false" customHeight="false" outlineLevel="0" collapsed="false">
      <c r="A377" s="0" t="s">
        <v>779</v>
      </c>
      <c r="B377" s="0" t="s">
        <v>780</v>
      </c>
      <c r="C377" s="0" t="s">
        <v>212</v>
      </c>
      <c r="D377" s="0" t="s">
        <v>32</v>
      </c>
      <c r="E377" s="0" t="s">
        <v>72</v>
      </c>
      <c r="F377" s="0" t="s">
        <v>89</v>
      </c>
      <c r="G377" s="0" t="s">
        <v>58</v>
      </c>
      <c r="H377" s="0" t="s">
        <v>42</v>
      </c>
      <c r="I377" s="0" t="n">
        <v>740.13</v>
      </c>
      <c r="J377" s="0" t="n">
        <v>0</v>
      </c>
      <c r="K377" s="0" t="n">
        <v>17</v>
      </c>
    </row>
    <row r="378" customFormat="false" ht="15" hidden="false" customHeight="false" outlineLevel="0" collapsed="false">
      <c r="A378" s="0" t="s">
        <v>781</v>
      </c>
      <c r="B378" s="0" t="s">
        <v>430</v>
      </c>
      <c r="D378" s="0" t="s">
        <v>78</v>
      </c>
      <c r="E378" s="0" t="s">
        <v>72</v>
      </c>
      <c r="F378" s="0" t="s">
        <v>34</v>
      </c>
      <c r="G378" s="0" t="s">
        <v>58</v>
      </c>
      <c r="H378" s="0" t="s">
        <v>75</v>
      </c>
      <c r="I378" s="0" t="n">
        <v>753.28</v>
      </c>
      <c r="J378" s="0" t="n">
        <v>0</v>
      </c>
    </row>
    <row r="379" customFormat="false" ht="15" hidden="false" customHeight="false" outlineLevel="0" collapsed="false">
      <c r="A379" s="0" t="s">
        <v>782</v>
      </c>
      <c r="B379" s="0" t="s">
        <v>136</v>
      </c>
      <c r="C379" s="0" t="s">
        <v>783</v>
      </c>
      <c r="D379" s="0" t="s">
        <v>78</v>
      </c>
      <c r="E379" s="0" t="s">
        <v>33</v>
      </c>
      <c r="F379" s="0" t="s">
        <v>34</v>
      </c>
      <c r="G379" s="0" t="s">
        <v>35</v>
      </c>
      <c r="H379" s="0" t="s">
        <v>42</v>
      </c>
      <c r="I379" s="0" t="n">
        <v>861.53</v>
      </c>
      <c r="J379" s="0" t="n">
        <v>0</v>
      </c>
      <c r="K379" s="0" t="n">
        <v>32</v>
      </c>
    </row>
    <row r="380" customFormat="false" ht="15" hidden="false" customHeight="false" outlineLevel="0" collapsed="false">
      <c r="A380" s="0" t="s">
        <v>784</v>
      </c>
      <c r="B380" s="0" t="s">
        <v>293</v>
      </c>
      <c r="C380" s="0" t="s">
        <v>305</v>
      </c>
      <c r="D380" s="0" t="s">
        <v>32</v>
      </c>
      <c r="E380" s="0" t="s">
        <v>114</v>
      </c>
      <c r="F380" s="0" t="s">
        <v>89</v>
      </c>
      <c r="G380" s="0" t="s">
        <v>53</v>
      </c>
      <c r="H380" s="0" t="s">
        <v>36</v>
      </c>
      <c r="I380" s="0" t="n">
        <v>665.82</v>
      </c>
      <c r="J380" s="0" t="n">
        <v>0.05</v>
      </c>
      <c r="K380" s="0" t="n">
        <v>31</v>
      </c>
    </row>
    <row r="381" customFormat="false" ht="15" hidden="false" customHeight="false" outlineLevel="0" collapsed="false">
      <c r="A381" s="0" t="s">
        <v>785</v>
      </c>
      <c r="B381" s="0" t="s">
        <v>786</v>
      </c>
      <c r="C381" s="0" t="s">
        <v>189</v>
      </c>
      <c r="D381" s="0" t="s">
        <v>40</v>
      </c>
      <c r="E381" s="0" t="s">
        <v>72</v>
      </c>
      <c r="F381" s="0" t="s">
        <v>34</v>
      </c>
      <c r="G381" s="0" t="s">
        <v>35</v>
      </c>
      <c r="H381" s="0" t="s">
        <v>36</v>
      </c>
      <c r="I381" s="0" t="n">
        <v>1141.18</v>
      </c>
      <c r="J381" s="0" t="n">
        <v>0.05</v>
      </c>
      <c r="K381" s="0" t="n">
        <v>19</v>
      </c>
    </row>
    <row r="382" customFormat="false" ht="15" hidden="false" customHeight="false" outlineLevel="0" collapsed="false">
      <c r="A382" s="0" t="s">
        <v>787</v>
      </c>
      <c r="B382" s="0" t="s">
        <v>407</v>
      </c>
      <c r="D382" s="0" t="s">
        <v>95</v>
      </c>
      <c r="E382" s="0" t="s">
        <v>114</v>
      </c>
      <c r="F382" s="0" t="s">
        <v>34</v>
      </c>
      <c r="G382" s="0" t="s">
        <v>74</v>
      </c>
      <c r="H382" s="0" t="s">
        <v>75</v>
      </c>
      <c r="I382" s="0" t="n">
        <v>1984.36</v>
      </c>
      <c r="J382" s="0" t="n">
        <v>0.15</v>
      </c>
    </row>
    <row r="383" customFormat="false" ht="15" hidden="false" customHeight="false" outlineLevel="0" collapsed="false">
      <c r="A383" s="0" t="s">
        <v>788</v>
      </c>
      <c r="B383" s="0" t="s">
        <v>404</v>
      </c>
      <c r="C383" s="0" t="s">
        <v>789</v>
      </c>
      <c r="D383" s="0" t="s">
        <v>95</v>
      </c>
      <c r="E383" s="0" t="s">
        <v>66</v>
      </c>
      <c r="F383" s="0" t="s">
        <v>47</v>
      </c>
      <c r="G383" s="0" t="s">
        <v>41</v>
      </c>
      <c r="H383" s="0" t="s">
        <v>36</v>
      </c>
      <c r="I383" s="0" t="n">
        <v>704.66</v>
      </c>
      <c r="J383" s="0" t="n">
        <v>0.1</v>
      </c>
      <c r="K383" s="0" t="n">
        <v>17</v>
      </c>
    </row>
    <row r="384" customFormat="false" ht="15" hidden="false" customHeight="false" outlineLevel="0" collapsed="false">
      <c r="A384" s="0" t="s">
        <v>790</v>
      </c>
      <c r="B384" s="0" t="s">
        <v>544</v>
      </c>
      <c r="D384" s="0" t="s">
        <v>86</v>
      </c>
      <c r="E384" s="0" t="s">
        <v>114</v>
      </c>
      <c r="F384" s="0" t="s">
        <v>73</v>
      </c>
      <c r="G384" s="0" t="s">
        <v>69</v>
      </c>
      <c r="H384" s="0" t="s">
        <v>62</v>
      </c>
      <c r="I384" s="0" t="n">
        <v>666.34</v>
      </c>
      <c r="J384" s="0" t="n">
        <v>0</v>
      </c>
    </row>
    <row r="385" customFormat="false" ht="15" hidden="false" customHeight="false" outlineLevel="0" collapsed="false">
      <c r="A385" s="0" t="s">
        <v>791</v>
      </c>
      <c r="B385" s="0" t="s">
        <v>100</v>
      </c>
      <c r="D385" s="0" t="s">
        <v>95</v>
      </c>
      <c r="E385" s="0" t="s">
        <v>52</v>
      </c>
      <c r="F385" s="0" t="s">
        <v>34</v>
      </c>
      <c r="G385" s="0" t="s">
        <v>140</v>
      </c>
      <c r="H385" s="0" t="s">
        <v>62</v>
      </c>
      <c r="I385" s="0" t="n">
        <v>521.63</v>
      </c>
      <c r="J385" s="0" t="n">
        <v>0.2</v>
      </c>
    </row>
    <row r="386" customFormat="false" ht="15" hidden="false" customHeight="false" outlineLevel="0" collapsed="false">
      <c r="A386" s="0" t="s">
        <v>792</v>
      </c>
      <c r="B386" s="0" t="s">
        <v>793</v>
      </c>
      <c r="C386" s="0" t="s">
        <v>763</v>
      </c>
      <c r="D386" s="0" t="s">
        <v>86</v>
      </c>
      <c r="E386" s="0" t="s">
        <v>72</v>
      </c>
      <c r="F386" s="0" t="s">
        <v>89</v>
      </c>
      <c r="G386" s="0" t="s">
        <v>58</v>
      </c>
      <c r="H386" s="0" t="s">
        <v>42</v>
      </c>
      <c r="I386" s="0" t="n">
        <v>692.45</v>
      </c>
      <c r="J386" s="0" t="n">
        <v>0.2</v>
      </c>
      <c r="K386" s="0" t="n">
        <v>14</v>
      </c>
    </row>
    <row r="387" customFormat="false" ht="15" hidden="false" customHeight="false" outlineLevel="0" collapsed="false">
      <c r="A387" s="0" t="s">
        <v>794</v>
      </c>
      <c r="B387" s="0" t="s">
        <v>783</v>
      </c>
      <c r="C387" s="0" t="s">
        <v>710</v>
      </c>
      <c r="D387" s="0" t="s">
        <v>78</v>
      </c>
      <c r="E387" s="0" t="s">
        <v>46</v>
      </c>
      <c r="F387" s="0" t="s">
        <v>47</v>
      </c>
      <c r="G387" s="0" t="s">
        <v>140</v>
      </c>
      <c r="H387" s="0" t="s">
        <v>42</v>
      </c>
      <c r="I387" s="0" t="n">
        <v>342.14</v>
      </c>
      <c r="J387" s="0" t="n">
        <v>0.1</v>
      </c>
      <c r="K387" s="0" t="n">
        <v>25</v>
      </c>
    </row>
    <row r="388" customFormat="false" ht="15" hidden="false" customHeight="false" outlineLevel="0" collapsed="false">
      <c r="A388" s="0" t="s">
        <v>795</v>
      </c>
      <c r="B388" s="0" t="s">
        <v>104</v>
      </c>
      <c r="D388" s="0" t="s">
        <v>95</v>
      </c>
      <c r="E388" s="0" t="s">
        <v>33</v>
      </c>
      <c r="F388" s="0" t="s">
        <v>79</v>
      </c>
      <c r="G388" s="0" t="s">
        <v>58</v>
      </c>
      <c r="H388" s="0" t="s">
        <v>75</v>
      </c>
      <c r="I388" s="0" t="n">
        <v>1892.27</v>
      </c>
      <c r="J388" s="0" t="n">
        <v>0</v>
      </c>
    </row>
    <row r="389" customFormat="false" ht="15" hidden="false" customHeight="false" outlineLevel="0" collapsed="false">
      <c r="A389" s="0" t="s">
        <v>796</v>
      </c>
      <c r="B389" s="0" t="s">
        <v>797</v>
      </c>
      <c r="C389" s="0" t="s">
        <v>798</v>
      </c>
      <c r="D389" s="0" t="s">
        <v>40</v>
      </c>
      <c r="E389" s="0" t="s">
        <v>46</v>
      </c>
      <c r="F389" s="0" t="s">
        <v>47</v>
      </c>
      <c r="G389" s="0" t="s">
        <v>117</v>
      </c>
      <c r="H389" s="0" t="s">
        <v>36</v>
      </c>
      <c r="I389" s="0" t="n">
        <v>259.7</v>
      </c>
      <c r="J389" s="0" t="n">
        <v>0</v>
      </c>
      <c r="K389" s="0" t="n">
        <v>10</v>
      </c>
    </row>
    <row r="390" customFormat="false" ht="15" hidden="false" customHeight="false" outlineLevel="0" collapsed="false">
      <c r="A390" s="0" t="s">
        <v>799</v>
      </c>
      <c r="B390" s="0" t="s">
        <v>800</v>
      </c>
      <c r="D390" s="0" t="s">
        <v>40</v>
      </c>
      <c r="E390" s="0" t="s">
        <v>72</v>
      </c>
      <c r="F390" s="0" t="s">
        <v>57</v>
      </c>
      <c r="G390" s="0" t="s">
        <v>74</v>
      </c>
      <c r="H390" s="0" t="s">
        <v>62</v>
      </c>
      <c r="I390" s="0" t="n">
        <v>400.34</v>
      </c>
      <c r="J390" s="0" t="n">
        <v>0</v>
      </c>
    </row>
    <row r="391" customFormat="false" ht="15" hidden="false" customHeight="false" outlineLevel="0" collapsed="false">
      <c r="A391" s="0" t="s">
        <v>801</v>
      </c>
      <c r="B391" s="0" t="s">
        <v>776</v>
      </c>
      <c r="D391" s="0" t="s">
        <v>95</v>
      </c>
      <c r="E391" s="0" t="s">
        <v>72</v>
      </c>
      <c r="F391" s="0" t="s">
        <v>89</v>
      </c>
      <c r="G391" s="0" t="s">
        <v>117</v>
      </c>
      <c r="H391" s="0" t="s">
        <v>62</v>
      </c>
      <c r="I391" s="0" t="n">
        <v>342.02</v>
      </c>
      <c r="J391" s="0" t="n">
        <v>0.15</v>
      </c>
    </row>
    <row r="392" customFormat="false" ht="15" hidden="false" customHeight="false" outlineLevel="0" collapsed="false">
      <c r="A392" s="0" t="s">
        <v>802</v>
      </c>
      <c r="B392" s="0" t="s">
        <v>803</v>
      </c>
      <c r="C392" s="0" t="s">
        <v>739</v>
      </c>
      <c r="D392" s="0" t="s">
        <v>40</v>
      </c>
      <c r="E392" s="0" t="s">
        <v>72</v>
      </c>
      <c r="F392" s="0" t="s">
        <v>89</v>
      </c>
      <c r="G392" s="0" t="s">
        <v>140</v>
      </c>
      <c r="H392" s="0" t="s">
        <v>36</v>
      </c>
      <c r="I392" s="0" t="n">
        <v>681.15</v>
      </c>
      <c r="J392" s="0" t="n">
        <v>0.15</v>
      </c>
      <c r="K392" s="0" t="n">
        <v>28</v>
      </c>
    </row>
    <row r="393" customFormat="false" ht="15" hidden="false" customHeight="false" outlineLevel="0" collapsed="false">
      <c r="A393" s="0" t="s">
        <v>804</v>
      </c>
      <c r="B393" s="0" t="s">
        <v>280</v>
      </c>
      <c r="C393" s="0" t="s">
        <v>805</v>
      </c>
      <c r="D393" s="0" t="s">
        <v>40</v>
      </c>
      <c r="E393" s="0" t="s">
        <v>114</v>
      </c>
      <c r="F393" s="0" t="s">
        <v>79</v>
      </c>
      <c r="G393" s="0" t="s">
        <v>74</v>
      </c>
      <c r="H393" s="0" t="s">
        <v>36</v>
      </c>
      <c r="I393" s="0" t="n">
        <v>2158.9</v>
      </c>
      <c r="J393" s="0" t="n">
        <v>0.1</v>
      </c>
      <c r="K393" s="0" t="n">
        <v>18</v>
      </c>
    </row>
    <row r="394" customFormat="false" ht="15" hidden="false" customHeight="false" outlineLevel="0" collapsed="false">
      <c r="A394" s="0" t="s">
        <v>806</v>
      </c>
      <c r="B394" s="0" t="s">
        <v>707</v>
      </c>
      <c r="C394" s="0" t="s">
        <v>684</v>
      </c>
      <c r="D394" s="0" t="s">
        <v>78</v>
      </c>
      <c r="E394" s="0" t="s">
        <v>52</v>
      </c>
      <c r="F394" s="0" t="s">
        <v>34</v>
      </c>
      <c r="G394" s="0" t="s">
        <v>41</v>
      </c>
      <c r="H394" s="0" t="s">
        <v>36</v>
      </c>
      <c r="I394" s="0" t="n">
        <v>524.29</v>
      </c>
      <c r="J394" s="0" t="n">
        <v>0.15</v>
      </c>
      <c r="K394" s="0" t="n">
        <v>12</v>
      </c>
    </row>
    <row r="395" customFormat="false" ht="15" hidden="false" customHeight="false" outlineLevel="0" collapsed="false">
      <c r="A395" s="0" t="s">
        <v>807</v>
      </c>
      <c r="B395" s="0" t="s">
        <v>325</v>
      </c>
      <c r="D395" s="0" t="s">
        <v>61</v>
      </c>
      <c r="E395" s="0" t="s">
        <v>72</v>
      </c>
      <c r="F395" s="0" t="s">
        <v>89</v>
      </c>
      <c r="G395" s="0" t="s">
        <v>117</v>
      </c>
      <c r="H395" s="0" t="s">
        <v>80</v>
      </c>
      <c r="I395" s="0" t="n">
        <v>332.95</v>
      </c>
      <c r="J395" s="0" t="n">
        <v>0</v>
      </c>
    </row>
    <row r="396" customFormat="false" ht="15" hidden="false" customHeight="false" outlineLevel="0" collapsed="false">
      <c r="A396" s="0" t="s">
        <v>808</v>
      </c>
      <c r="B396" s="0" t="s">
        <v>274</v>
      </c>
      <c r="C396" s="0" t="s">
        <v>757</v>
      </c>
      <c r="D396" s="0" t="s">
        <v>51</v>
      </c>
      <c r="E396" s="0" t="s">
        <v>66</v>
      </c>
      <c r="F396" s="0" t="s">
        <v>47</v>
      </c>
      <c r="G396" s="0" t="s">
        <v>69</v>
      </c>
      <c r="H396" s="0" t="s">
        <v>42</v>
      </c>
      <c r="I396" s="0" t="n">
        <v>790.74</v>
      </c>
      <c r="J396" s="0" t="n">
        <v>0</v>
      </c>
      <c r="K396" s="0" t="n">
        <v>17</v>
      </c>
    </row>
    <row r="397" customFormat="false" ht="15" hidden="false" customHeight="false" outlineLevel="0" collapsed="false">
      <c r="A397" s="0" t="s">
        <v>809</v>
      </c>
      <c r="B397" s="0" t="s">
        <v>768</v>
      </c>
      <c r="D397" s="0" t="s">
        <v>78</v>
      </c>
      <c r="E397" s="0" t="s">
        <v>66</v>
      </c>
      <c r="F397" s="0" t="s">
        <v>34</v>
      </c>
      <c r="G397" s="0" t="s">
        <v>41</v>
      </c>
      <c r="H397" s="0" t="s">
        <v>80</v>
      </c>
      <c r="I397" s="0" t="n">
        <v>753.4</v>
      </c>
      <c r="J397" s="0" t="n">
        <v>0.15</v>
      </c>
    </row>
    <row r="398" customFormat="false" ht="15" hidden="false" customHeight="false" outlineLevel="0" collapsed="false">
      <c r="A398" s="0" t="s">
        <v>810</v>
      </c>
      <c r="B398" s="0" t="s">
        <v>274</v>
      </c>
      <c r="D398" s="0" t="s">
        <v>40</v>
      </c>
      <c r="E398" s="0" t="s">
        <v>114</v>
      </c>
      <c r="F398" s="0" t="s">
        <v>34</v>
      </c>
      <c r="H398" s="0" t="s">
        <v>62</v>
      </c>
      <c r="I398" s="0" t="n">
        <v>2094.68</v>
      </c>
      <c r="J398" s="0" t="n">
        <v>0.2</v>
      </c>
    </row>
    <row r="399" customFormat="false" ht="15" hidden="false" customHeight="false" outlineLevel="0" collapsed="false">
      <c r="A399" s="0" t="s">
        <v>811</v>
      </c>
      <c r="B399" s="0" t="s">
        <v>196</v>
      </c>
      <c r="C399" s="0" t="s">
        <v>513</v>
      </c>
      <c r="D399" s="0" t="s">
        <v>78</v>
      </c>
      <c r="E399" s="0" t="s">
        <v>52</v>
      </c>
      <c r="F399" s="0" t="s">
        <v>89</v>
      </c>
      <c r="G399" s="0" t="s">
        <v>35</v>
      </c>
      <c r="H399" s="0" t="s">
        <v>42</v>
      </c>
      <c r="I399" s="0" t="n">
        <v>514.19</v>
      </c>
      <c r="J399" s="0" t="n">
        <v>0.05</v>
      </c>
      <c r="K399" s="0" t="n">
        <v>25</v>
      </c>
    </row>
    <row r="400" customFormat="false" ht="15" hidden="false" customHeight="false" outlineLevel="0" collapsed="false">
      <c r="A400" s="0" t="s">
        <v>812</v>
      </c>
      <c r="B400" s="0" t="s">
        <v>49</v>
      </c>
      <c r="C400" s="0" t="s">
        <v>813</v>
      </c>
      <c r="D400" s="0" t="s">
        <v>51</v>
      </c>
      <c r="E400" s="0" t="s">
        <v>52</v>
      </c>
      <c r="F400" s="0" t="s">
        <v>47</v>
      </c>
      <c r="G400" s="0" t="s">
        <v>140</v>
      </c>
      <c r="H400" s="0" t="s">
        <v>36</v>
      </c>
      <c r="I400" s="0" t="n">
        <v>1717.91</v>
      </c>
      <c r="J400" s="0" t="n">
        <v>0.15</v>
      </c>
      <c r="K400" s="0" t="n">
        <v>44</v>
      </c>
    </row>
    <row r="401" customFormat="false" ht="15" hidden="false" customHeight="false" outlineLevel="0" collapsed="false">
      <c r="A401" s="0" t="s">
        <v>814</v>
      </c>
      <c r="B401" s="0" t="s">
        <v>587</v>
      </c>
      <c r="C401" s="0" t="s">
        <v>815</v>
      </c>
      <c r="D401" s="0" t="s">
        <v>86</v>
      </c>
      <c r="E401" s="0" t="s">
        <v>114</v>
      </c>
      <c r="F401" s="0" t="s">
        <v>89</v>
      </c>
      <c r="G401" s="0" t="s">
        <v>58</v>
      </c>
      <c r="H401" s="0" t="s">
        <v>36</v>
      </c>
      <c r="I401" s="0" t="n">
        <v>753.05</v>
      </c>
      <c r="J401" s="0" t="n">
        <v>0.2</v>
      </c>
      <c r="K401" s="0" t="n">
        <v>20</v>
      </c>
    </row>
    <row r="402" customFormat="false" ht="15" hidden="false" customHeight="false" outlineLevel="0" collapsed="false">
      <c r="A402" s="0" t="s">
        <v>816</v>
      </c>
      <c r="B402" s="0" t="s">
        <v>518</v>
      </c>
      <c r="C402" s="0" t="s">
        <v>817</v>
      </c>
      <c r="D402" s="0" t="s">
        <v>51</v>
      </c>
      <c r="E402" s="0" t="s">
        <v>72</v>
      </c>
      <c r="F402" s="0" t="s">
        <v>57</v>
      </c>
      <c r="G402" s="0" t="s">
        <v>35</v>
      </c>
      <c r="H402" s="0" t="s">
        <v>36</v>
      </c>
      <c r="I402" s="0" t="n">
        <v>1177.08</v>
      </c>
      <c r="J402" s="0" t="n">
        <v>0.05</v>
      </c>
      <c r="K402" s="0" t="n">
        <v>22</v>
      </c>
    </row>
    <row r="403" customFormat="false" ht="15" hidden="false" customHeight="false" outlineLevel="0" collapsed="false">
      <c r="A403" s="0" t="s">
        <v>818</v>
      </c>
      <c r="B403" s="0" t="s">
        <v>307</v>
      </c>
      <c r="D403" s="0" t="s">
        <v>32</v>
      </c>
      <c r="E403" s="0" t="s">
        <v>72</v>
      </c>
      <c r="F403" s="0" t="s">
        <v>57</v>
      </c>
      <c r="G403" s="0" t="s">
        <v>74</v>
      </c>
      <c r="H403" s="0" t="s">
        <v>62</v>
      </c>
      <c r="I403" s="0" t="n">
        <v>689.53</v>
      </c>
      <c r="J403" s="0" t="n">
        <v>0.05</v>
      </c>
    </row>
    <row r="404" customFormat="false" ht="15" hidden="false" customHeight="false" outlineLevel="0" collapsed="false">
      <c r="A404" s="0" t="s">
        <v>819</v>
      </c>
      <c r="B404" s="0" t="s">
        <v>820</v>
      </c>
      <c r="D404" s="0" t="s">
        <v>40</v>
      </c>
      <c r="E404" s="0" t="s">
        <v>46</v>
      </c>
      <c r="F404" s="0" t="s">
        <v>34</v>
      </c>
      <c r="G404" s="0" t="s">
        <v>41</v>
      </c>
      <c r="H404" s="0" t="s">
        <v>80</v>
      </c>
      <c r="I404" s="0" t="n">
        <v>348.74</v>
      </c>
      <c r="J404" s="0" t="n">
        <v>0.15</v>
      </c>
    </row>
    <row r="405" customFormat="false" ht="15" hidden="false" customHeight="false" outlineLevel="0" collapsed="false">
      <c r="A405" s="0" t="s">
        <v>821</v>
      </c>
      <c r="B405" s="0" t="s">
        <v>604</v>
      </c>
      <c r="D405" s="0" t="s">
        <v>822</v>
      </c>
      <c r="E405" s="0" t="s">
        <v>66</v>
      </c>
      <c r="F405" s="0" t="s">
        <v>79</v>
      </c>
      <c r="G405" s="0" t="s">
        <v>53</v>
      </c>
      <c r="H405" s="0" t="s">
        <v>75</v>
      </c>
      <c r="I405" s="0" t="n">
        <v>2344.4</v>
      </c>
      <c r="J405" s="0" t="n">
        <v>0</v>
      </c>
    </row>
    <row r="406" customFormat="false" ht="15" hidden="false" customHeight="false" outlineLevel="0" collapsed="false">
      <c r="A406" s="0" t="s">
        <v>823</v>
      </c>
      <c r="B406" s="0" t="s">
        <v>732</v>
      </c>
      <c r="D406" s="0" t="s">
        <v>51</v>
      </c>
      <c r="E406" s="0" t="s">
        <v>33</v>
      </c>
      <c r="F406" s="0" t="s">
        <v>47</v>
      </c>
      <c r="G406" s="0" t="s">
        <v>35</v>
      </c>
      <c r="H406" s="0" t="s">
        <v>62</v>
      </c>
      <c r="I406" s="0" t="n">
        <v>950.16</v>
      </c>
      <c r="J406" s="0" t="n">
        <v>0</v>
      </c>
    </row>
    <row r="407" customFormat="false" ht="15" hidden="false" customHeight="false" outlineLevel="0" collapsed="false">
      <c r="A407" s="0" t="s">
        <v>824</v>
      </c>
      <c r="B407" s="0" t="s">
        <v>387</v>
      </c>
      <c r="D407" s="0" t="s">
        <v>51</v>
      </c>
      <c r="E407" s="0" t="s">
        <v>52</v>
      </c>
      <c r="F407" s="0" t="s">
        <v>57</v>
      </c>
      <c r="G407" s="0" t="s">
        <v>35</v>
      </c>
      <c r="H407" s="0" t="s">
        <v>75</v>
      </c>
      <c r="I407" s="0" t="n">
        <v>508.49</v>
      </c>
      <c r="J407" s="0" t="n">
        <v>0.1</v>
      </c>
    </row>
    <row r="408" customFormat="false" ht="15" hidden="false" customHeight="false" outlineLevel="0" collapsed="false">
      <c r="A408" s="0" t="s">
        <v>825</v>
      </c>
      <c r="B408" s="0" t="s">
        <v>450</v>
      </c>
      <c r="D408" s="0" t="s">
        <v>51</v>
      </c>
      <c r="E408" s="0" t="s">
        <v>66</v>
      </c>
      <c r="F408" s="0" t="s">
        <v>79</v>
      </c>
      <c r="G408" s="0" t="s">
        <v>117</v>
      </c>
      <c r="H408" s="0" t="s">
        <v>75</v>
      </c>
      <c r="I408" s="0" t="n">
        <v>2211.55</v>
      </c>
      <c r="J408" s="0" t="n">
        <v>0</v>
      </c>
    </row>
    <row r="409" customFormat="false" ht="15" hidden="false" customHeight="false" outlineLevel="0" collapsed="false">
      <c r="A409" s="0" t="s">
        <v>826</v>
      </c>
      <c r="B409" s="0" t="s">
        <v>94</v>
      </c>
      <c r="C409" s="0" t="s">
        <v>827</v>
      </c>
      <c r="D409" s="0" t="s">
        <v>40</v>
      </c>
      <c r="E409" s="0" t="s">
        <v>52</v>
      </c>
      <c r="F409" s="0" t="s">
        <v>47</v>
      </c>
      <c r="G409" s="0" t="s">
        <v>140</v>
      </c>
      <c r="H409" s="0" t="s">
        <v>42</v>
      </c>
      <c r="I409" s="0" t="n">
        <v>576.61</v>
      </c>
      <c r="J409" s="0" t="n">
        <v>0</v>
      </c>
      <c r="K409" s="0" t="n">
        <v>3</v>
      </c>
    </row>
    <row r="410" customFormat="false" ht="15" hidden="false" customHeight="false" outlineLevel="0" collapsed="false">
      <c r="A410" s="0" t="s">
        <v>828</v>
      </c>
      <c r="B410" s="0" t="s">
        <v>829</v>
      </c>
      <c r="C410" s="0" t="s">
        <v>500</v>
      </c>
      <c r="D410" s="0" t="s">
        <v>61</v>
      </c>
      <c r="E410" s="0" t="s">
        <v>72</v>
      </c>
      <c r="F410" s="0" t="s">
        <v>89</v>
      </c>
      <c r="G410" s="0" t="s">
        <v>117</v>
      </c>
      <c r="H410" s="0" t="s">
        <v>36</v>
      </c>
      <c r="I410" s="0" t="n">
        <v>364.65</v>
      </c>
      <c r="J410" s="0" t="n">
        <v>0</v>
      </c>
      <c r="K410" s="0" t="n">
        <v>17</v>
      </c>
    </row>
    <row r="411" customFormat="false" ht="15" hidden="false" customHeight="false" outlineLevel="0" collapsed="false">
      <c r="A411" s="0" t="s">
        <v>830</v>
      </c>
      <c r="B411" s="0" t="s">
        <v>817</v>
      </c>
      <c r="D411" s="0" t="s">
        <v>32</v>
      </c>
      <c r="E411" s="0" t="s">
        <v>33</v>
      </c>
      <c r="F411" s="0" t="s">
        <v>34</v>
      </c>
      <c r="G411" s="0" t="s">
        <v>35</v>
      </c>
      <c r="H411" s="0" t="s">
        <v>75</v>
      </c>
      <c r="I411" s="0" t="n">
        <v>799.01</v>
      </c>
      <c r="J411" s="0" t="n">
        <v>0.05</v>
      </c>
    </row>
    <row r="412" customFormat="false" ht="15" hidden="false" customHeight="false" outlineLevel="0" collapsed="false">
      <c r="A412" s="0" t="s">
        <v>831</v>
      </c>
      <c r="B412" s="0" t="s">
        <v>832</v>
      </c>
      <c r="C412" s="0" t="s">
        <v>163</v>
      </c>
      <c r="D412" s="0" t="s">
        <v>95</v>
      </c>
      <c r="E412" s="0" t="s">
        <v>33</v>
      </c>
      <c r="F412" s="0" t="s">
        <v>34</v>
      </c>
      <c r="G412" s="0" t="s">
        <v>140</v>
      </c>
      <c r="H412" s="0" t="s">
        <v>42</v>
      </c>
      <c r="I412" s="0" t="n">
        <v>1927.5</v>
      </c>
      <c r="J412" s="0" t="n">
        <v>0</v>
      </c>
      <c r="K412" s="0" t="n">
        <v>5</v>
      </c>
    </row>
    <row r="413" customFormat="false" ht="15" hidden="false" customHeight="false" outlineLevel="0" collapsed="false">
      <c r="A413" s="0" t="s">
        <v>833</v>
      </c>
      <c r="B413" s="0" t="s">
        <v>834</v>
      </c>
      <c r="D413" s="0" t="s">
        <v>78</v>
      </c>
      <c r="E413" s="0" t="s">
        <v>114</v>
      </c>
      <c r="F413" s="0" t="s">
        <v>34</v>
      </c>
      <c r="G413" s="0" t="s">
        <v>53</v>
      </c>
      <c r="H413" s="0" t="s">
        <v>62</v>
      </c>
      <c r="I413" s="0" t="n">
        <v>2147.49</v>
      </c>
      <c r="J413" s="0" t="n">
        <v>0</v>
      </c>
    </row>
    <row r="414" customFormat="false" ht="15" hidden="false" customHeight="false" outlineLevel="0" collapsed="false">
      <c r="A414" s="0" t="s">
        <v>835</v>
      </c>
      <c r="B414" s="0" t="s">
        <v>366</v>
      </c>
      <c r="D414" s="0" t="s">
        <v>78</v>
      </c>
      <c r="E414" s="0" t="s">
        <v>46</v>
      </c>
      <c r="F414" s="0" t="s">
        <v>34</v>
      </c>
      <c r="G414" s="0" t="s">
        <v>41</v>
      </c>
      <c r="H414" s="0" t="s">
        <v>80</v>
      </c>
      <c r="I414" s="0" t="n">
        <v>119.87</v>
      </c>
      <c r="J414" s="0" t="n">
        <v>0</v>
      </c>
    </row>
    <row r="415" customFormat="false" ht="15" hidden="false" customHeight="false" outlineLevel="0" collapsed="false">
      <c r="A415" s="0" t="s">
        <v>836</v>
      </c>
      <c r="B415" s="0" t="s">
        <v>837</v>
      </c>
      <c r="D415" s="0" t="s">
        <v>40</v>
      </c>
      <c r="E415" s="0" t="s">
        <v>114</v>
      </c>
      <c r="F415" s="0" t="s">
        <v>47</v>
      </c>
      <c r="G415" s="0" t="s">
        <v>69</v>
      </c>
      <c r="H415" s="0" t="s">
        <v>75</v>
      </c>
      <c r="I415" s="0" t="n">
        <v>642.09</v>
      </c>
      <c r="J415" s="0" t="n">
        <v>0.05</v>
      </c>
    </row>
    <row r="416" customFormat="false" ht="15" hidden="false" customHeight="false" outlineLevel="0" collapsed="false">
      <c r="A416" s="0" t="s">
        <v>838</v>
      </c>
      <c r="B416" s="0" t="s">
        <v>163</v>
      </c>
      <c r="D416" s="0" t="s">
        <v>32</v>
      </c>
      <c r="E416" s="0" t="s">
        <v>114</v>
      </c>
      <c r="F416" s="0" t="s">
        <v>47</v>
      </c>
      <c r="G416" s="0" t="s">
        <v>53</v>
      </c>
      <c r="H416" s="0" t="s">
        <v>62</v>
      </c>
      <c r="I416" s="0" t="n">
        <v>754.19</v>
      </c>
      <c r="J416" s="0" t="n">
        <v>0.05</v>
      </c>
    </row>
    <row r="417" customFormat="false" ht="15" hidden="false" customHeight="false" outlineLevel="0" collapsed="false">
      <c r="A417" s="0" t="s">
        <v>839</v>
      </c>
      <c r="B417" s="0" t="s">
        <v>840</v>
      </c>
      <c r="C417" s="0" t="s">
        <v>841</v>
      </c>
      <c r="D417" s="0" t="s">
        <v>51</v>
      </c>
      <c r="E417" s="0" t="s">
        <v>52</v>
      </c>
      <c r="F417" s="0" t="s">
        <v>34</v>
      </c>
      <c r="H417" s="0" t="s">
        <v>36</v>
      </c>
      <c r="I417" s="0" t="n">
        <v>1678.03</v>
      </c>
      <c r="J417" s="0" t="n">
        <v>0.1</v>
      </c>
      <c r="K417" s="0" t="n">
        <v>20</v>
      </c>
    </row>
    <row r="418" customFormat="false" ht="15" hidden="false" customHeight="false" outlineLevel="0" collapsed="false">
      <c r="A418" s="0" t="s">
        <v>842</v>
      </c>
      <c r="B418" s="0" t="s">
        <v>205</v>
      </c>
      <c r="D418" s="0" t="s">
        <v>61</v>
      </c>
      <c r="E418" s="0" t="s">
        <v>33</v>
      </c>
      <c r="F418" s="0" t="s">
        <v>89</v>
      </c>
      <c r="G418" s="0" t="s">
        <v>74</v>
      </c>
      <c r="H418" s="0" t="s">
        <v>75</v>
      </c>
      <c r="I418" s="0" t="n">
        <v>2451.12</v>
      </c>
      <c r="J418" s="0" t="n">
        <v>0.1</v>
      </c>
    </row>
    <row r="419" customFormat="false" ht="15" hidden="false" customHeight="false" outlineLevel="0" collapsed="false">
      <c r="A419" s="0" t="s">
        <v>843</v>
      </c>
      <c r="B419" s="0" t="s">
        <v>844</v>
      </c>
      <c r="C419" s="0" t="s">
        <v>154</v>
      </c>
      <c r="D419" s="0" t="s">
        <v>78</v>
      </c>
      <c r="E419" s="0" t="s">
        <v>114</v>
      </c>
      <c r="F419" s="0" t="s">
        <v>129</v>
      </c>
      <c r="G419" s="0" t="s">
        <v>58</v>
      </c>
      <c r="H419" s="0" t="s">
        <v>36</v>
      </c>
      <c r="I419" s="0" t="n">
        <v>1225.53</v>
      </c>
      <c r="J419" s="0" t="n">
        <v>0.05</v>
      </c>
      <c r="K419" s="0" t="n">
        <v>16</v>
      </c>
    </row>
    <row r="420" customFormat="false" ht="15" hidden="false" customHeight="false" outlineLevel="0" collapsed="false">
      <c r="A420" s="0" t="s">
        <v>845</v>
      </c>
      <c r="B420" s="0" t="s">
        <v>846</v>
      </c>
      <c r="D420" s="0" t="s">
        <v>78</v>
      </c>
      <c r="E420" s="0" t="s">
        <v>114</v>
      </c>
      <c r="F420" s="0" t="s">
        <v>89</v>
      </c>
      <c r="G420" s="0" t="s">
        <v>69</v>
      </c>
      <c r="H420" s="0" t="s">
        <v>80</v>
      </c>
      <c r="I420" s="0" t="n">
        <v>695.49</v>
      </c>
      <c r="J420" s="0" t="n">
        <v>0.05</v>
      </c>
    </row>
    <row r="421" customFormat="false" ht="15" hidden="false" customHeight="false" outlineLevel="0" collapsed="false">
      <c r="A421" s="0" t="s">
        <v>847</v>
      </c>
      <c r="B421" s="0" t="s">
        <v>710</v>
      </c>
      <c r="C421" s="0" t="s">
        <v>434</v>
      </c>
      <c r="D421" s="0" t="s">
        <v>32</v>
      </c>
      <c r="E421" s="0" t="s">
        <v>33</v>
      </c>
      <c r="F421" s="0" t="s">
        <v>57</v>
      </c>
      <c r="G421" s="0" t="s">
        <v>35</v>
      </c>
      <c r="H421" s="0" t="s">
        <v>42</v>
      </c>
      <c r="I421" s="0" t="n">
        <v>891.87</v>
      </c>
      <c r="J421" s="0" t="n">
        <v>0</v>
      </c>
      <c r="K421" s="0" t="n">
        <v>29</v>
      </c>
    </row>
    <row r="422" customFormat="false" ht="15" hidden="false" customHeight="false" outlineLevel="0" collapsed="false">
      <c r="A422" s="0" t="s">
        <v>848</v>
      </c>
      <c r="B422" s="0" t="s">
        <v>31</v>
      </c>
      <c r="D422" s="0" t="s">
        <v>95</v>
      </c>
      <c r="E422" s="0" t="s">
        <v>33</v>
      </c>
      <c r="F422" s="0" t="s">
        <v>47</v>
      </c>
      <c r="G422" s="0" t="s">
        <v>41</v>
      </c>
      <c r="H422" s="0" t="s">
        <v>75</v>
      </c>
      <c r="I422" s="0" t="n">
        <v>965.36</v>
      </c>
      <c r="J422" s="0" t="n">
        <v>0.15</v>
      </c>
    </row>
    <row r="423" customFormat="false" ht="15" hidden="false" customHeight="false" outlineLevel="0" collapsed="false">
      <c r="A423" s="0" t="s">
        <v>849</v>
      </c>
      <c r="B423" s="0" t="s">
        <v>253</v>
      </c>
      <c r="D423" s="0" t="s">
        <v>40</v>
      </c>
      <c r="E423" s="0" t="s">
        <v>72</v>
      </c>
      <c r="F423" s="0" t="s">
        <v>34</v>
      </c>
      <c r="G423" s="0" t="s">
        <v>117</v>
      </c>
      <c r="H423" s="0" t="s">
        <v>80</v>
      </c>
      <c r="I423" s="0" t="n">
        <v>364.05</v>
      </c>
      <c r="J423" s="0" t="n">
        <v>0</v>
      </c>
    </row>
    <row r="424" customFormat="false" ht="15" hidden="false" customHeight="false" outlineLevel="0" collapsed="false">
      <c r="A424" s="0" t="s">
        <v>850</v>
      </c>
      <c r="B424" s="0" t="s">
        <v>851</v>
      </c>
      <c r="C424" s="0" t="s">
        <v>187</v>
      </c>
      <c r="D424" s="0" t="s">
        <v>78</v>
      </c>
      <c r="E424" s="0" t="s">
        <v>46</v>
      </c>
      <c r="F424" s="0" t="s">
        <v>34</v>
      </c>
      <c r="G424" s="0" t="s">
        <v>58</v>
      </c>
      <c r="H424" s="0" t="s">
        <v>36</v>
      </c>
      <c r="I424" s="0" t="n">
        <v>336.97</v>
      </c>
      <c r="J424" s="0" t="n">
        <v>0</v>
      </c>
      <c r="K424" s="0" t="n">
        <v>14</v>
      </c>
    </row>
    <row r="425" customFormat="false" ht="15" hidden="false" customHeight="false" outlineLevel="0" collapsed="false">
      <c r="A425" s="0" t="s">
        <v>852</v>
      </c>
      <c r="B425" s="0" t="s">
        <v>853</v>
      </c>
      <c r="C425" s="0" t="s">
        <v>591</v>
      </c>
      <c r="D425" s="0" t="s">
        <v>32</v>
      </c>
      <c r="E425" s="0" t="s">
        <v>46</v>
      </c>
      <c r="F425" s="0" t="s">
        <v>34</v>
      </c>
      <c r="G425" s="0" t="s">
        <v>35</v>
      </c>
      <c r="H425" s="0" t="s">
        <v>42</v>
      </c>
      <c r="I425" s="0" t="n">
        <v>111.14</v>
      </c>
      <c r="J425" s="0" t="n">
        <v>0.2</v>
      </c>
      <c r="K425" s="0" t="n">
        <v>27</v>
      </c>
    </row>
    <row r="426" customFormat="false" ht="15" hidden="false" customHeight="false" outlineLevel="0" collapsed="false">
      <c r="A426" s="0" t="s">
        <v>854</v>
      </c>
      <c r="B426" s="0" t="s">
        <v>855</v>
      </c>
      <c r="D426" s="0" t="s">
        <v>78</v>
      </c>
      <c r="E426" s="0" t="s">
        <v>72</v>
      </c>
      <c r="F426" s="0" t="s">
        <v>89</v>
      </c>
      <c r="G426" s="0" t="s">
        <v>53</v>
      </c>
      <c r="H426" s="0" t="s">
        <v>80</v>
      </c>
      <c r="I426" s="0" t="n">
        <v>330.43</v>
      </c>
      <c r="J426" s="0" t="n">
        <v>0</v>
      </c>
    </row>
    <row r="427" customFormat="false" ht="15" hidden="false" customHeight="false" outlineLevel="0" collapsed="false">
      <c r="A427" s="0" t="s">
        <v>856</v>
      </c>
      <c r="B427" s="0" t="s">
        <v>546</v>
      </c>
      <c r="C427" s="0" t="s">
        <v>98</v>
      </c>
      <c r="D427" s="0" t="s">
        <v>95</v>
      </c>
      <c r="E427" s="0" t="s">
        <v>52</v>
      </c>
      <c r="F427" s="0" t="s">
        <v>57</v>
      </c>
      <c r="G427" s="0" t="s">
        <v>69</v>
      </c>
      <c r="H427" s="0" t="s">
        <v>36</v>
      </c>
      <c r="I427" s="0" t="n">
        <v>1565.76</v>
      </c>
      <c r="J427" s="0" t="n">
        <v>0</v>
      </c>
      <c r="K427" s="0" t="n">
        <v>19</v>
      </c>
    </row>
    <row r="428" customFormat="false" ht="15" hidden="false" customHeight="false" outlineLevel="0" collapsed="false">
      <c r="A428" s="0" t="s">
        <v>857</v>
      </c>
      <c r="B428" s="0" t="s">
        <v>732</v>
      </c>
      <c r="C428" s="0" t="s">
        <v>65</v>
      </c>
      <c r="D428" s="0" t="s">
        <v>32</v>
      </c>
      <c r="E428" s="0" t="s">
        <v>33</v>
      </c>
      <c r="F428" s="0" t="s">
        <v>89</v>
      </c>
      <c r="G428" s="0" t="s">
        <v>53</v>
      </c>
      <c r="H428" s="0" t="s">
        <v>36</v>
      </c>
      <c r="I428" s="0" t="n">
        <v>1873.9</v>
      </c>
      <c r="J428" s="0" t="n">
        <v>0.2</v>
      </c>
      <c r="K428" s="0" t="n">
        <v>12</v>
      </c>
    </row>
    <row r="429" customFormat="false" ht="15" hidden="false" customHeight="false" outlineLevel="0" collapsed="false">
      <c r="A429" s="0" t="s">
        <v>858</v>
      </c>
      <c r="B429" s="0" t="s">
        <v>783</v>
      </c>
      <c r="C429" s="0" t="s">
        <v>199</v>
      </c>
      <c r="D429" s="0" t="s">
        <v>40</v>
      </c>
      <c r="E429" s="0" t="s">
        <v>46</v>
      </c>
      <c r="F429" s="0" t="s">
        <v>79</v>
      </c>
      <c r="G429" s="0" t="s">
        <v>69</v>
      </c>
      <c r="H429" s="0" t="s">
        <v>36</v>
      </c>
      <c r="I429" s="0" t="n">
        <v>131.2</v>
      </c>
      <c r="J429" s="0" t="n">
        <v>0</v>
      </c>
      <c r="K429" s="0" t="n">
        <v>26</v>
      </c>
    </row>
    <row r="430" customFormat="false" ht="15" hidden="false" customHeight="false" outlineLevel="0" collapsed="false">
      <c r="A430" s="0" t="s">
        <v>859</v>
      </c>
      <c r="B430" s="0" t="s">
        <v>270</v>
      </c>
      <c r="C430" s="0" t="s">
        <v>278</v>
      </c>
      <c r="D430" s="0" t="s">
        <v>40</v>
      </c>
      <c r="E430" s="0" t="s">
        <v>114</v>
      </c>
      <c r="F430" s="0" t="s">
        <v>47</v>
      </c>
      <c r="G430" s="0" t="s">
        <v>117</v>
      </c>
      <c r="H430" s="0" t="s">
        <v>42</v>
      </c>
      <c r="I430" s="0" t="n">
        <v>732.83</v>
      </c>
      <c r="J430" s="0" t="n">
        <v>0.05</v>
      </c>
      <c r="K430" s="0" t="n">
        <v>23</v>
      </c>
    </row>
    <row r="431" customFormat="false" ht="15" hidden="false" customHeight="false" outlineLevel="0" collapsed="false">
      <c r="A431" s="0" t="s">
        <v>860</v>
      </c>
      <c r="B431" s="0" t="s">
        <v>861</v>
      </c>
      <c r="C431" s="0" t="s">
        <v>116</v>
      </c>
      <c r="D431" s="0" t="s">
        <v>40</v>
      </c>
      <c r="E431" s="0" t="s">
        <v>33</v>
      </c>
      <c r="F431" s="0" t="s">
        <v>79</v>
      </c>
      <c r="G431" s="0" t="s">
        <v>117</v>
      </c>
      <c r="H431" s="0" t="s">
        <v>36</v>
      </c>
      <c r="I431" s="0" t="n">
        <v>899.58</v>
      </c>
      <c r="J431" s="0" t="n">
        <v>0.15</v>
      </c>
      <c r="K431" s="0" t="n">
        <v>8</v>
      </c>
    </row>
    <row r="432" customFormat="false" ht="15" hidden="false" customHeight="false" outlineLevel="0" collapsed="false">
      <c r="A432" s="0" t="s">
        <v>862</v>
      </c>
      <c r="B432" s="0" t="s">
        <v>108</v>
      </c>
      <c r="C432" s="0" t="s">
        <v>362</v>
      </c>
      <c r="D432" s="0" t="s">
        <v>95</v>
      </c>
      <c r="E432" s="0" t="s">
        <v>46</v>
      </c>
      <c r="F432" s="0" t="s">
        <v>47</v>
      </c>
      <c r="G432" s="0" t="s">
        <v>41</v>
      </c>
      <c r="H432" s="0" t="s">
        <v>42</v>
      </c>
      <c r="I432" s="0" t="n">
        <v>122.49</v>
      </c>
      <c r="J432" s="0" t="n">
        <v>0.05</v>
      </c>
      <c r="K432" s="0" t="n">
        <v>16</v>
      </c>
    </row>
    <row r="433" customFormat="false" ht="15" hidden="false" customHeight="false" outlineLevel="0" collapsed="false">
      <c r="A433" s="0" t="s">
        <v>863</v>
      </c>
      <c r="B433" s="0" t="s">
        <v>289</v>
      </c>
      <c r="D433" s="0" t="s">
        <v>51</v>
      </c>
      <c r="E433" s="0" t="s">
        <v>46</v>
      </c>
      <c r="F433" s="0" t="s">
        <v>57</v>
      </c>
      <c r="G433" s="0" t="s">
        <v>140</v>
      </c>
      <c r="H433" s="0" t="s">
        <v>75</v>
      </c>
      <c r="I433" s="0" t="n">
        <v>378.65</v>
      </c>
      <c r="J433" s="0" t="n">
        <v>0</v>
      </c>
    </row>
    <row r="434" customFormat="false" ht="15" hidden="false" customHeight="false" outlineLevel="0" collapsed="false">
      <c r="A434" s="0" t="s">
        <v>864</v>
      </c>
      <c r="B434" s="0" t="s">
        <v>865</v>
      </c>
      <c r="D434" s="0" t="s">
        <v>78</v>
      </c>
      <c r="E434" s="0" t="s">
        <v>46</v>
      </c>
      <c r="F434" s="0" t="s">
        <v>79</v>
      </c>
      <c r="G434" s="0" t="s">
        <v>117</v>
      </c>
      <c r="H434" s="0" t="s">
        <v>75</v>
      </c>
      <c r="I434" s="0" t="n">
        <v>223.74</v>
      </c>
      <c r="J434" s="0" t="n">
        <v>0</v>
      </c>
    </row>
    <row r="435" customFormat="false" ht="15" hidden="false" customHeight="false" outlineLevel="0" collapsed="false">
      <c r="A435" s="0" t="s">
        <v>866</v>
      </c>
      <c r="B435" s="0" t="s">
        <v>867</v>
      </c>
      <c r="C435" s="0" t="s">
        <v>536</v>
      </c>
      <c r="D435" s="0" t="s">
        <v>61</v>
      </c>
      <c r="E435" s="0" t="s">
        <v>72</v>
      </c>
      <c r="F435" s="0" t="s">
        <v>129</v>
      </c>
      <c r="G435" s="0" t="s">
        <v>74</v>
      </c>
      <c r="H435" s="0" t="s">
        <v>42</v>
      </c>
      <c r="I435" s="0" t="n">
        <v>355.16</v>
      </c>
      <c r="J435" s="0" t="n">
        <v>0</v>
      </c>
      <c r="K435" s="0" t="n">
        <v>9</v>
      </c>
    </row>
    <row r="436" customFormat="false" ht="15" hidden="false" customHeight="false" outlineLevel="0" collapsed="false">
      <c r="A436" s="0" t="s">
        <v>868</v>
      </c>
      <c r="B436" s="0" t="s">
        <v>143</v>
      </c>
      <c r="D436" s="0" t="s">
        <v>40</v>
      </c>
      <c r="E436" s="0" t="s">
        <v>66</v>
      </c>
      <c r="F436" s="0" t="s">
        <v>73</v>
      </c>
      <c r="G436" s="0" t="s">
        <v>117</v>
      </c>
      <c r="H436" s="0" t="s">
        <v>75</v>
      </c>
      <c r="I436" s="0" t="n">
        <v>713.67</v>
      </c>
      <c r="J436" s="0" t="n">
        <v>0.05</v>
      </c>
    </row>
    <row r="437" customFormat="false" ht="15" hidden="false" customHeight="false" outlineLevel="0" collapsed="false">
      <c r="A437" s="0" t="s">
        <v>869</v>
      </c>
      <c r="B437" s="0" t="s">
        <v>728</v>
      </c>
      <c r="C437" s="0" t="s">
        <v>441</v>
      </c>
      <c r="D437" s="0" t="s">
        <v>32</v>
      </c>
      <c r="E437" s="0" t="s">
        <v>46</v>
      </c>
      <c r="F437" s="0" t="s">
        <v>34</v>
      </c>
      <c r="G437" s="0" t="s">
        <v>140</v>
      </c>
      <c r="H437" s="0" t="s">
        <v>36</v>
      </c>
      <c r="I437" s="0" t="n">
        <v>399.43</v>
      </c>
      <c r="J437" s="0" t="n">
        <v>0.15</v>
      </c>
      <c r="K437" s="0" t="n">
        <v>4</v>
      </c>
    </row>
    <row r="438" customFormat="false" ht="15" hidden="false" customHeight="false" outlineLevel="0" collapsed="false">
      <c r="A438" s="0" t="s">
        <v>870</v>
      </c>
      <c r="B438" s="0" t="s">
        <v>871</v>
      </c>
      <c r="C438" s="0" t="s">
        <v>736</v>
      </c>
      <c r="D438" s="0" t="s">
        <v>51</v>
      </c>
      <c r="E438" s="0" t="s">
        <v>114</v>
      </c>
      <c r="F438" s="0" t="s">
        <v>47</v>
      </c>
      <c r="G438" s="0" t="s">
        <v>117</v>
      </c>
      <c r="H438" s="0" t="s">
        <v>36</v>
      </c>
      <c r="I438" s="0" t="n">
        <v>602.88</v>
      </c>
      <c r="J438" s="0" t="n">
        <v>0.2</v>
      </c>
      <c r="K438" s="0" t="n">
        <v>15</v>
      </c>
    </row>
    <row r="439" customFormat="false" ht="15" hidden="false" customHeight="false" outlineLevel="0" collapsed="false">
      <c r="A439" s="0" t="s">
        <v>872</v>
      </c>
      <c r="B439" s="0" t="s">
        <v>414</v>
      </c>
      <c r="D439" s="0" t="s">
        <v>40</v>
      </c>
      <c r="E439" s="0" t="s">
        <v>72</v>
      </c>
      <c r="F439" s="0" t="s">
        <v>47</v>
      </c>
      <c r="G439" s="0" t="s">
        <v>117</v>
      </c>
      <c r="H439" s="0" t="s">
        <v>80</v>
      </c>
      <c r="I439" s="0" t="n">
        <v>332.09</v>
      </c>
      <c r="J439" s="0" t="n">
        <v>0</v>
      </c>
    </row>
    <row r="440" customFormat="false" ht="15" hidden="false" customHeight="false" outlineLevel="0" collapsed="false">
      <c r="A440" s="0" t="s">
        <v>873</v>
      </c>
      <c r="B440" s="0" t="s">
        <v>596</v>
      </c>
      <c r="D440" s="0" t="s">
        <v>51</v>
      </c>
      <c r="E440" s="0" t="s">
        <v>72</v>
      </c>
      <c r="F440" s="0" t="s">
        <v>73</v>
      </c>
      <c r="G440" s="0" t="s">
        <v>35</v>
      </c>
      <c r="H440" s="0" t="s">
        <v>80</v>
      </c>
      <c r="I440" s="0" t="n">
        <v>326.14</v>
      </c>
      <c r="J440" s="0" t="n">
        <v>0.05</v>
      </c>
    </row>
    <row r="441" customFormat="false" ht="15" hidden="false" customHeight="false" outlineLevel="0" collapsed="false">
      <c r="A441" s="0" t="s">
        <v>874</v>
      </c>
      <c r="B441" s="0" t="s">
        <v>601</v>
      </c>
      <c r="C441" s="0" t="s">
        <v>508</v>
      </c>
      <c r="D441" s="0" t="s">
        <v>61</v>
      </c>
      <c r="E441" s="0" t="s">
        <v>46</v>
      </c>
      <c r="F441" s="0" t="s">
        <v>57</v>
      </c>
      <c r="G441" s="0" t="s">
        <v>140</v>
      </c>
      <c r="H441" s="0" t="s">
        <v>36</v>
      </c>
      <c r="I441" s="0" t="n">
        <v>134.93</v>
      </c>
      <c r="J441" s="0" t="n">
        <v>0.05</v>
      </c>
      <c r="K441" s="0" t="n">
        <v>22</v>
      </c>
    </row>
    <row r="442" customFormat="false" ht="15" hidden="false" customHeight="false" outlineLevel="0" collapsed="false">
      <c r="A442" s="0" t="s">
        <v>875</v>
      </c>
      <c r="B442" s="0" t="s">
        <v>210</v>
      </c>
      <c r="C442" s="0" t="s">
        <v>262</v>
      </c>
      <c r="D442" s="0" t="s">
        <v>95</v>
      </c>
      <c r="E442" s="0" t="s">
        <v>52</v>
      </c>
      <c r="F442" s="0" t="s">
        <v>57</v>
      </c>
      <c r="G442" s="0" t="s">
        <v>58</v>
      </c>
      <c r="H442" s="0" t="s">
        <v>36</v>
      </c>
      <c r="I442" s="0" t="n">
        <v>1639.83</v>
      </c>
      <c r="J442" s="0" t="n">
        <v>0</v>
      </c>
      <c r="K442" s="0" t="n">
        <v>25</v>
      </c>
    </row>
    <row r="443" customFormat="false" ht="15" hidden="false" customHeight="false" outlineLevel="0" collapsed="false">
      <c r="A443" s="0" t="s">
        <v>876</v>
      </c>
      <c r="B443" s="0" t="s">
        <v>214</v>
      </c>
      <c r="C443" s="0" t="s">
        <v>187</v>
      </c>
      <c r="D443" s="0" t="s">
        <v>95</v>
      </c>
      <c r="E443" s="0" t="s">
        <v>66</v>
      </c>
      <c r="F443" s="0" t="s">
        <v>47</v>
      </c>
      <c r="G443" s="0" t="s">
        <v>69</v>
      </c>
      <c r="H443" s="0" t="s">
        <v>36</v>
      </c>
      <c r="I443" s="0" t="n">
        <v>2133.63</v>
      </c>
      <c r="J443" s="0" t="n">
        <v>0.05</v>
      </c>
      <c r="K443" s="0" t="n">
        <v>20</v>
      </c>
    </row>
    <row r="444" customFormat="false" ht="15" hidden="false" customHeight="false" outlineLevel="0" collapsed="false">
      <c r="A444" s="0" t="s">
        <v>877</v>
      </c>
      <c r="B444" s="0" t="s">
        <v>508</v>
      </c>
      <c r="C444" s="0" t="s">
        <v>710</v>
      </c>
      <c r="D444" s="0" t="s">
        <v>86</v>
      </c>
      <c r="E444" s="0" t="s">
        <v>52</v>
      </c>
      <c r="F444" s="0" t="s">
        <v>57</v>
      </c>
      <c r="G444" s="0" t="s">
        <v>69</v>
      </c>
      <c r="H444" s="0" t="s">
        <v>36</v>
      </c>
      <c r="I444" s="0" t="n">
        <v>1649.03</v>
      </c>
      <c r="J444" s="0" t="n">
        <v>0</v>
      </c>
      <c r="K444" s="0" t="n">
        <v>9</v>
      </c>
    </row>
    <row r="445" customFormat="false" ht="15" hidden="false" customHeight="false" outlineLevel="0" collapsed="false">
      <c r="A445" s="0" t="s">
        <v>878</v>
      </c>
      <c r="B445" s="0" t="s">
        <v>239</v>
      </c>
      <c r="C445" s="0" t="s">
        <v>60</v>
      </c>
      <c r="D445" s="0" t="s">
        <v>86</v>
      </c>
      <c r="E445" s="0" t="s">
        <v>66</v>
      </c>
      <c r="F445" s="0" t="s">
        <v>89</v>
      </c>
      <c r="G445" s="0" t="s">
        <v>41</v>
      </c>
      <c r="H445" s="0" t="s">
        <v>42</v>
      </c>
      <c r="I445" s="0" t="n">
        <v>775.29</v>
      </c>
      <c r="J445" s="0" t="n">
        <v>0.05</v>
      </c>
      <c r="K445" s="0" t="n">
        <v>16</v>
      </c>
    </row>
    <row r="446" customFormat="false" ht="15" hidden="false" customHeight="false" outlineLevel="0" collapsed="false">
      <c r="A446" s="0" t="s">
        <v>879</v>
      </c>
      <c r="B446" s="0" t="s">
        <v>167</v>
      </c>
      <c r="D446" s="0" t="s">
        <v>86</v>
      </c>
      <c r="E446" s="0" t="s">
        <v>46</v>
      </c>
      <c r="F446" s="0" t="s">
        <v>79</v>
      </c>
      <c r="G446" s="0" t="s">
        <v>35</v>
      </c>
      <c r="H446" s="0" t="s">
        <v>80</v>
      </c>
      <c r="I446" s="0" t="n">
        <v>137.41</v>
      </c>
      <c r="J446" s="0" t="n">
        <v>0</v>
      </c>
    </row>
    <row r="447" customFormat="false" ht="15" hidden="false" customHeight="false" outlineLevel="0" collapsed="false">
      <c r="A447" s="0" t="s">
        <v>880</v>
      </c>
      <c r="B447" s="0" t="s">
        <v>687</v>
      </c>
      <c r="D447" s="0" t="s">
        <v>61</v>
      </c>
      <c r="E447" s="0" t="s">
        <v>114</v>
      </c>
      <c r="F447" s="0" t="s">
        <v>57</v>
      </c>
      <c r="G447" s="0" t="s">
        <v>53</v>
      </c>
      <c r="H447" s="0" t="s">
        <v>62</v>
      </c>
      <c r="I447" s="0" t="n">
        <v>698.66</v>
      </c>
      <c r="J447" s="0" t="n">
        <v>0.1</v>
      </c>
    </row>
    <row r="448" customFormat="false" ht="15" hidden="false" customHeight="false" outlineLevel="0" collapsed="false">
      <c r="A448" s="0" t="s">
        <v>881</v>
      </c>
      <c r="B448" s="0" t="s">
        <v>204</v>
      </c>
      <c r="C448" s="0" t="s">
        <v>55</v>
      </c>
      <c r="D448" s="0" t="s">
        <v>86</v>
      </c>
      <c r="E448" s="0" t="s">
        <v>46</v>
      </c>
      <c r="F448" s="0" t="s">
        <v>57</v>
      </c>
      <c r="G448" s="0" t="s">
        <v>58</v>
      </c>
      <c r="H448" s="0" t="s">
        <v>42</v>
      </c>
      <c r="I448" s="0" t="n">
        <v>253.88</v>
      </c>
      <c r="J448" s="0" t="n">
        <v>0.15</v>
      </c>
      <c r="K448" s="0" t="n">
        <v>27</v>
      </c>
    </row>
    <row r="449" customFormat="false" ht="15" hidden="false" customHeight="false" outlineLevel="0" collapsed="false">
      <c r="A449" s="0" t="s">
        <v>882</v>
      </c>
      <c r="B449" s="0" t="s">
        <v>883</v>
      </c>
      <c r="C449" s="0" t="s">
        <v>797</v>
      </c>
      <c r="D449" s="0" t="s">
        <v>32</v>
      </c>
      <c r="E449" s="0" t="s">
        <v>114</v>
      </c>
      <c r="F449" s="0" t="s">
        <v>89</v>
      </c>
      <c r="G449" s="0" t="s">
        <v>140</v>
      </c>
      <c r="H449" s="0" t="s">
        <v>42</v>
      </c>
      <c r="I449" s="0" t="n">
        <v>701.91</v>
      </c>
      <c r="J449" s="0" t="n">
        <v>0</v>
      </c>
      <c r="K449" s="0" t="n">
        <v>25</v>
      </c>
    </row>
    <row r="450" customFormat="false" ht="15" hidden="false" customHeight="false" outlineLevel="0" collapsed="false">
      <c r="A450" s="0" t="s">
        <v>884</v>
      </c>
      <c r="B450" s="0" t="s">
        <v>433</v>
      </c>
      <c r="D450" s="0" t="s">
        <v>95</v>
      </c>
      <c r="E450" s="0" t="s">
        <v>52</v>
      </c>
      <c r="F450" s="0" t="s">
        <v>129</v>
      </c>
      <c r="G450" s="0" t="s">
        <v>35</v>
      </c>
      <c r="H450" s="0" t="s">
        <v>75</v>
      </c>
      <c r="I450" s="0" t="n">
        <v>553.85</v>
      </c>
      <c r="J450" s="0" t="n">
        <v>0</v>
      </c>
    </row>
    <row r="451" customFormat="false" ht="15" hidden="false" customHeight="false" outlineLevel="0" collapsed="false">
      <c r="A451" s="0" t="s">
        <v>885</v>
      </c>
      <c r="B451" s="0" t="s">
        <v>49</v>
      </c>
      <c r="C451" s="0" t="s">
        <v>379</v>
      </c>
      <c r="D451" s="0" t="s">
        <v>95</v>
      </c>
      <c r="E451" s="0" t="s">
        <v>114</v>
      </c>
      <c r="F451" s="0" t="s">
        <v>34</v>
      </c>
      <c r="G451" s="0" t="s">
        <v>117</v>
      </c>
      <c r="H451" s="0" t="s">
        <v>42</v>
      </c>
      <c r="I451" s="0" t="n">
        <v>2108.26</v>
      </c>
      <c r="J451" s="0" t="n">
        <v>0.2</v>
      </c>
      <c r="K451" s="0" t="n">
        <v>21</v>
      </c>
    </row>
    <row r="452" customFormat="false" ht="15" hidden="false" customHeight="false" outlineLevel="0" collapsed="false">
      <c r="A452" s="0" t="s">
        <v>886</v>
      </c>
      <c r="B452" s="0" t="s">
        <v>110</v>
      </c>
      <c r="C452" s="0" t="s">
        <v>428</v>
      </c>
      <c r="D452" s="0" t="s">
        <v>61</v>
      </c>
      <c r="E452" s="0" t="s">
        <v>46</v>
      </c>
      <c r="F452" s="0" t="s">
        <v>57</v>
      </c>
      <c r="G452" s="0" t="s">
        <v>140</v>
      </c>
      <c r="H452" s="0" t="s">
        <v>42</v>
      </c>
      <c r="I452" s="0" t="n">
        <v>130.21</v>
      </c>
      <c r="J452" s="0" t="n">
        <v>0.05</v>
      </c>
      <c r="K452" s="0" t="n">
        <v>25</v>
      </c>
    </row>
    <row r="453" customFormat="false" ht="15" hidden="false" customHeight="false" outlineLevel="0" collapsed="false">
      <c r="A453" s="0" t="s">
        <v>887</v>
      </c>
      <c r="B453" s="0" t="s">
        <v>116</v>
      </c>
      <c r="C453" s="0" t="s">
        <v>131</v>
      </c>
      <c r="D453" s="0" t="s">
        <v>40</v>
      </c>
      <c r="E453" s="0" t="s">
        <v>66</v>
      </c>
      <c r="F453" s="0" t="s">
        <v>129</v>
      </c>
      <c r="G453" s="0" t="s">
        <v>53</v>
      </c>
      <c r="H453" s="0" t="s">
        <v>36</v>
      </c>
      <c r="I453" s="0" t="n">
        <v>2039.85</v>
      </c>
      <c r="J453" s="0" t="n">
        <v>0.2</v>
      </c>
      <c r="K453" s="0" t="n">
        <v>7</v>
      </c>
    </row>
    <row r="454" customFormat="false" ht="15" hidden="false" customHeight="false" outlineLevel="0" collapsed="false">
      <c r="A454" s="0" t="s">
        <v>888</v>
      </c>
      <c r="B454" s="0" t="s">
        <v>889</v>
      </c>
      <c r="D454" s="0" t="s">
        <v>95</v>
      </c>
      <c r="E454" s="0" t="s">
        <v>66</v>
      </c>
      <c r="F454" s="0" t="s">
        <v>73</v>
      </c>
      <c r="G454" s="0" t="s">
        <v>53</v>
      </c>
      <c r="H454" s="0" t="s">
        <v>75</v>
      </c>
      <c r="I454" s="0" t="n">
        <v>802.77</v>
      </c>
      <c r="J454" s="0" t="n">
        <v>0.05</v>
      </c>
    </row>
    <row r="455" customFormat="false" ht="15" hidden="false" customHeight="false" outlineLevel="0" collapsed="false">
      <c r="A455" s="0" t="s">
        <v>890</v>
      </c>
      <c r="B455" s="0" t="s">
        <v>709</v>
      </c>
      <c r="C455" s="0" t="s">
        <v>891</v>
      </c>
      <c r="D455" s="0" t="s">
        <v>61</v>
      </c>
      <c r="E455" s="0" t="s">
        <v>46</v>
      </c>
      <c r="F455" s="0" t="s">
        <v>34</v>
      </c>
      <c r="G455" s="0" t="s">
        <v>69</v>
      </c>
      <c r="H455" s="0" t="s">
        <v>36</v>
      </c>
      <c r="I455" s="0" t="n">
        <v>340.53</v>
      </c>
      <c r="J455" s="0" t="n">
        <v>0.2</v>
      </c>
      <c r="K455" s="0" t="n">
        <v>10</v>
      </c>
    </row>
    <row r="456" customFormat="false" ht="15" hidden="false" customHeight="false" outlineLevel="0" collapsed="false">
      <c r="A456" s="0" t="s">
        <v>892</v>
      </c>
      <c r="B456" s="0" t="s">
        <v>580</v>
      </c>
      <c r="C456" s="0" t="s">
        <v>713</v>
      </c>
      <c r="D456" s="0" t="s">
        <v>51</v>
      </c>
      <c r="E456" s="0" t="s">
        <v>33</v>
      </c>
      <c r="F456" s="0" t="s">
        <v>89</v>
      </c>
      <c r="G456" s="0" t="s">
        <v>69</v>
      </c>
      <c r="H456" s="0" t="s">
        <v>36</v>
      </c>
      <c r="I456" s="0" t="n">
        <v>830.86</v>
      </c>
      <c r="J456" s="0" t="n">
        <v>0.2</v>
      </c>
      <c r="K456" s="0" t="n">
        <v>25</v>
      </c>
    </row>
    <row r="457" customFormat="false" ht="15" hidden="false" customHeight="false" outlineLevel="0" collapsed="false">
      <c r="A457" s="0" t="s">
        <v>893</v>
      </c>
      <c r="B457" s="0" t="s">
        <v>757</v>
      </c>
      <c r="D457" s="0" t="s">
        <v>32</v>
      </c>
      <c r="E457" s="0" t="s">
        <v>114</v>
      </c>
      <c r="F457" s="0" t="s">
        <v>73</v>
      </c>
      <c r="G457" s="0" t="s">
        <v>35</v>
      </c>
      <c r="H457" s="0" t="s">
        <v>75</v>
      </c>
      <c r="I457" s="0" t="n">
        <v>682.6</v>
      </c>
      <c r="J457" s="0" t="n">
        <v>0.2</v>
      </c>
    </row>
    <row r="458" customFormat="false" ht="15" hidden="false" customHeight="false" outlineLevel="0" collapsed="false">
      <c r="A458" s="0" t="s">
        <v>894</v>
      </c>
      <c r="B458" s="0" t="s">
        <v>895</v>
      </c>
      <c r="D458" s="0" t="s">
        <v>32</v>
      </c>
      <c r="E458" s="0" t="s">
        <v>72</v>
      </c>
      <c r="F458" s="0" t="s">
        <v>47</v>
      </c>
      <c r="G458" s="0" t="s">
        <v>69</v>
      </c>
      <c r="H458" s="0" t="s">
        <v>75</v>
      </c>
      <c r="I458" s="0" t="n">
        <v>1008.13</v>
      </c>
      <c r="J458" s="0" t="n">
        <v>0.1</v>
      </c>
    </row>
    <row r="459" customFormat="false" ht="15" hidden="false" customHeight="false" outlineLevel="0" collapsed="false">
      <c r="A459" s="0" t="s">
        <v>896</v>
      </c>
      <c r="B459" s="0" t="s">
        <v>612</v>
      </c>
      <c r="C459" s="0" t="s">
        <v>411</v>
      </c>
      <c r="D459" s="0" t="s">
        <v>40</v>
      </c>
      <c r="E459" s="0" t="s">
        <v>33</v>
      </c>
      <c r="F459" s="0" t="s">
        <v>89</v>
      </c>
      <c r="G459" s="0" t="s">
        <v>41</v>
      </c>
      <c r="H459" s="0" t="s">
        <v>36</v>
      </c>
      <c r="I459" s="0" t="n">
        <v>1783.98</v>
      </c>
      <c r="J459" s="0" t="n">
        <v>0.1</v>
      </c>
      <c r="K459" s="0" t="n">
        <v>15</v>
      </c>
    </row>
    <row r="460" customFormat="false" ht="15" hidden="false" customHeight="false" outlineLevel="0" collapsed="false">
      <c r="A460" s="0" t="s">
        <v>897</v>
      </c>
      <c r="B460" s="0" t="s">
        <v>520</v>
      </c>
      <c r="C460" s="0" t="s">
        <v>898</v>
      </c>
      <c r="D460" s="0" t="s">
        <v>95</v>
      </c>
      <c r="E460" s="0" t="s">
        <v>46</v>
      </c>
      <c r="F460" s="0" t="s">
        <v>34</v>
      </c>
      <c r="G460" s="0" t="s">
        <v>53</v>
      </c>
      <c r="H460" s="0" t="s">
        <v>36</v>
      </c>
      <c r="I460" s="0" t="n">
        <v>386.12</v>
      </c>
      <c r="J460" s="0" t="n">
        <v>0</v>
      </c>
      <c r="K460" s="0" t="n">
        <v>42</v>
      </c>
    </row>
    <row r="461" customFormat="false" ht="15" hidden="false" customHeight="false" outlineLevel="0" collapsed="false">
      <c r="A461" s="0" t="s">
        <v>899</v>
      </c>
      <c r="B461" s="0" t="s">
        <v>900</v>
      </c>
      <c r="C461" s="0" t="s">
        <v>901</v>
      </c>
      <c r="D461" s="0" t="s">
        <v>78</v>
      </c>
      <c r="E461" s="0" t="s">
        <v>46</v>
      </c>
      <c r="F461" s="0" t="s">
        <v>79</v>
      </c>
      <c r="G461" s="0" t="s">
        <v>140</v>
      </c>
      <c r="H461" s="0" t="s">
        <v>42</v>
      </c>
      <c r="I461" s="0" t="n">
        <v>136.69</v>
      </c>
      <c r="J461" s="0" t="n">
        <v>0.1</v>
      </c>
      <c r="K461" s="0" t="n">
        <v>13</v>
      </c>
    </row>
    <row r="462" customFormat="false" ht="15" hidden="false" customHeight="false" outlineLevel="0" collapsed="false">
      <c r="A462" s="0" t="s">
        <v>902</v>
      </c>
      <c r="B462" s="0" t="s">
        <v>903</v>
      </c>
      <c r="D462" s="0" t="s">
        <v>95</v>
      </c>
      <c r="E462" s="0" t="s">
        <v>114</v>
      </c>
      <c r="F462" s="0" t="s">
        <v>89</v>
      </c>
      <c r="G462" s="0" t="s">
        <v>74</v>
      </c>
      <c r="H462" s="0" t="s">
        <v>62</v>
      </c>
      <c r="I462" s="0" t="n">
        <v>1875.3</v>
      </c>
      <c r="J462" s="0" t="n">
        <v>0</v>
      </c>
    </row>
    <row r="463" customFormat="false" ht="15" hidden="false" customHeight="false" outlineLevel="0" collapsed="false">
      <c r="A463" s="0" t="s">
        <v>904</v>
      </c>
      <c r="B463" s="0" t="s">
        <v>212</v>
      </c>
      <c r="C463" s="0" t="s">
        <v>653</v>
      </c>
      <c r="D463" s="0" t="s">
        <v>78</v>
      </c>
      <c r="E463" s="0" t="s">
        <v>52</v>
      </c>
      <c r="F463" s="0" t="s">
        <v>129</v>
      </c>
      <c r="G463" s="0" t="s">
        <v>74</v>
      </c>
      <c r="H463" s="0" t="s">
        <v>36</v>
      </c>
      <c r="I463" s="0" t="n">
        <v>546.14</v>
      </c>
      <c r="J463" s="0" t="n">
        <v>0.2</v>
      </c>
      <c r="K463" s="0" t="n">
        <v>19</v>
      </c>
    </row>
    <row r="464" customFormat="false" ht="15" hidden="false" customHeight="false" outlineLevel="0" collapsed="false">
      <c r="A464" s="0" t="s">
        <v>905</v>
      </c>
      <c r="B464" s="0" t="s">
        <v>625</v>
      </c>
      <c r="D464" s="0" t="s">
        <v>32</v>
      </c>
      <c r="E464" s="0" t="s">
        <v>66</v>
      </c>
      <c r="F464" s="0" t="s">
        <v>73</v>
      </c>
      <c r="G464" s="0" t="s">
        <v>41</v>
      </c>
      <c r="H464" s="0" t="s">
        <v>80</v>
      </c>
      <c r="I464" s="0" t="n">
        <v>798.54</v>
      </c>
      <c r="J464" s="0" t="n">
        <v>0</v>
      </c>
    </row>
    <row r="465" customFormat="false" ht="15" hidden="false" customHeight="false" outlineLevel="0" collapsed="false">
      <c r="A465" s="0" t="s">
        <v>906</v>
      </c>
      <c r="B465" s="0" t="s">
        <v>142</v>
      </c>
      <c r="C465" s="0" t="s">
        <v>498</v>
      </c>
      <c r="D465" s="0" t="s">
        <v>40</v>
      </c>
      <c r="E465" s="0" t="s">
        <v>46</v>
      </c>
      <c r="F465" s="0" t="s">
        <v>89</v>
      </c>
      <c r="G465" s="0" t="s">
        <v>58</v>
      </c>
      <c r="H465" s="0" t="s">
        <v>36</v>
      </c>
      <c r="I465" s="0" t="n">
        <v>126.71</v>
      </c>
      <c r="J465" s="0" t="n">
        <v>0</v>
      </c>
      <c r="K465" s="0" t="n">
        <v>24</v>
      </c>
    </row>
    <row r="466" customFormat="false" ht="15" hidden="false" customHeight="false" outlineLevel="0" collapsed="false">
      <c r="A466" s="0" t="s">
        <v>907</v>
      </c>
      <c r="B466" s="0" t="s">
        <v>178</v>
      </c>
      <c r="C466" s="0" t="s">
        <v>908</v>
      </c>
      <c r="D466" s="0" t="s">
        <v>40</v>
      </c>
      <c r="E466" s="0" t="s">
        <v>66</v>
      </c>
      <c r="F466" s="0" t="s">
        <v>47</v>
      </c>
      <c r="G466" s="0" t="s">
        <v>140</v>
      </c>
      <c r="H466" s="0" t="s">
        <v>36</v>
      </c>
      <c r="I466" s="0" t="n">
        <v>703.75</v>
      </c>
      <c r="J466" s="0" t="n">
        <v>0.1</v>
      </c>
      <c r="K466" s="0" t="n">
        <v>9</v>
      </c>
    </row>
    <row r="467" customFormat="false" ht="15" hidden="false" customHeight="false" outlineLevel="0" collapsed="false">
      <c r="A467" s="0" t="s">
        <v>909</v>
      </c>
      <c r="B467" s="0" t="s">
        <v>747</v>
      </c>
      <c r="D467" s="0" t="s">
        <v>78</v>
      </c>
      <c r="E467" s="0" t="s">
        <v>46</v>
      </c>
      <c r="F467" s="0" t="s">
        <v>57</v>
      </c>
      <c r="G467" s="0" t="s">
        <v>58</v>
      </c>
      <c r="H467" s="0" t="s">
        <v>80</v>
      </c>
      <c r="I467" s="0" t="n">
        <v>335.41</v>
      </c>
      <c r="J467" s="0" t="n">
        <v>0</v>
      </c>
    </row>
    <row r="468" customFormat="false" ht="15" hidden="false" customHeight="false" outlineLevel="0" collapsed="false">
      <c r="A468" s="0" t="s">
        <v>910</v>
      </c>
      <c r="B468" s="0" t="s">
        <v>911</v>
      </c>
      <c r="D468" s="0" t="s">
        <v>51</v>
      </c>
      <c r="E468" s="0" t="s">
        <v>46</v>
      </c>
      <c r="F468" s="0" t="s">
        <v>89</v>
      </c>
      <c r="G468" s="0" t="s">
        <v>58</v>
      </c>
      <c r="H468" s="0" t="s">
        <v>75</v>
      </c>
      <c r="I468" s="0" t="n">
        <v>245.27</v>
      </c>
      <c r="J468" s="0" t="n">
        <v>0.2</v>
      </c>
    </row>
    <row r="469" customFormat="false" ht="15" hidden="false" customHeight="false" outlineLevel="0" collapsed="false">
      <c r="A469" s="0" t="s">
        <v>912</v>
      </c>
      <c r="B469" s="0" t="s">
        <v>629</v>
      </c>
      <c r="D469" s="0" t="s">
        <v>32</v>
      </c>
      <c r="E469" s="0" t="s">
        <v>33</v>
      </c>
      <c r="F469" s="0" t="s">
        <v>47</v>
      </c>
      <c r="G469" s="0" t="s">
        <v>41</v>
      </c>
      <c r="H469" s="0" t="s">
        <v>80</v>
      </c>
      <c r="I469" s="0" t="n">
        <v>2786.69</v>
      </c>
      <c r="J469" s="0" t="n">
        <v>0</v>
      </c>
    </row>
    <row r="470" customFormat="false" ht="15" hidden="false" customHeight="false" outlineLevel="0" collapsed="false">
      <c r="A470" s="0" t="s">
        <v>913</v>
      </c>
      <c r="B470" s="0" t="s">
        <v>914</v>
      </c>
      <c r="C470" s="0" t="s">
        <v>695</v>
      </c>
      <c r="D470" s="0" t="s">
        <v>32</v>
      </c>
      <c r="E470" s="0" t="s">
        <v>52</v>
      </c>
      <c r="F470" s="0" t="s">
        <v>89</v>
      </c>
      <c r="G470" s="0" t="s">
        <v>53</v>
      </c>
      <c r="H470" s="0" t="s">
        <v>42</v>
      </c>
      <c r="I470" s="0" t="n">
        <v>1401.86</v>
      </c>
      <c r="J470" s="0" t="n">
        <v>0.05</v>
      </c>
      <c r="K470" s="0" t="n">
        <v>16</v>
      </c>
    </row>
    <row r="471" customFormat="false" ht="15" hidden="false" customHeight="false" outlineLevel="0" collapsed="false">
      <c r="A471" s="0" t="s">
        <v>915</v>
      </c>
      <c r="B471" s="0" t="s">
        <v>149</v>
      </c>
      <c r="D471" s="0" t="s">
        <v>916</v>
      </c>
      <c r="E471" s="0" t="s">
        <v>114</v>
      </c>
      <c r="F471" s="0" t="s">
        <v>79</v>
      </c>
      <c r="G471" s="0" t="s">
        <v>35</v>
      </c>
      <c r="H471" s="0" t="s">
        <v>80</v>
      </c>
      <c r="I471" s="0" t="n">
        <v>739.41</v>
      </c>
      <c r="J471" s="0" t="n">
        <v>0</v>
      </c>
    </row>
    <row r="472" customFormat="false" ht="15" hidden="false" customHeight="false" outlineLevel="0" collapsed="false">
      <c r="A472" s="0" t="s">
        <v>917</v>
      </c>
      <c r="B472" s="0" t="s">
        <v>918</v>
      </c>
      <c r="C472" s="0" t="s">
        <v>720</v>
      </c>
      <c r="D472" s="0" t="s">
        <v>40</v>
      </c>
      <c r="E472" s="0" t="s">
        <v>46</v>
      </c>
      <c r="F472" s="0" t="s">
        <v>79</v>
      </c>
      <c r="G472" s="0" t="s">
        <v>69</v>
      </c>
      <c r="H472" s="0" t="s">
        <v>36</v>
      </c>
      <c r="I472" s="0" t="n">
        <v>127.95</v>
      </c>
      <c r="J472" s="0" t="n">
        <v>0</v>
      </c>
      <c r="K472" s="0" t="n">
        <v>19</v>
      </c>
    </row>
    <row r="473" customFormat="false" ht="15" hidden="false" customHeight="false" outlineLevel="0" collapsed="false">
      <c r="A473" s="0" t="s">
        <v>919</v>
      </c>
      <c r="B473" s="0" t="s">
        <v>426</v>
      </c>
      <c r="D473" s="0" t="s">
        <v>78</v>
      </c>
      <c r="E473" s="0" t="s">
        <v>52</v>
      </c>
      <c r="F473" s="0" t="s">
        <v>57</v>
      </c>
      <c r="G473" s="0" t="s">
        <v>74</v>
      </c>
      <c r="H473" s="0" t="s">
        <v>80</v>
      </c>
      <c r="I473" s="0" t="n">
        <v>475.89</v>
      </c>
      <c r="J473" s="0" t="n">
        <v>0</v>
      </c>
    </row>
    <row r="474" customFormat="false" ht="15" hidden="false" customHeight="false" outlineLevel="0" collapsed="false">
      <c r="A474" s="0" t="s">
        <v>920</v>
      </c>
      <c r="B474" s="0" t="s">
        <v>532</v>
      </c>
      <c r="C474" s="0" t="s">
        <v>98</v>
      </c>
      <c r="D474" s="0" t="s">
        <v>78</v>
      </c>
      <c r="E474" s="0" t="s">
        <v>52</v>
      </c>
      <c r="F474" s="0" t="s">
        <v>57</v>
      </c>
      <c r="G474" s="0" t="s">
        <v>117</v>
      </c>
      <c r="H474" s="0" t="s">
        <v>36</v>
      </c>
      <c r="I474" s="0" t="n">
        <v>502.65</v>
      </c>
      <c r="J474" s="0" t="n">
        <v>0</v>
      </c>
      <c r="K474" s="0" t="n">
        <v>17</v>
      </c>
    </row>
    <row r="475" customFormat="false" ht="15" hidden="false" customHeight="false" outlineLevel="0" collapsed="false">
      <c r="A475" s="0" t="s">
        <v>921</v>
      </c>
      <c r="B475" s="0" t="s">
        <v>922</v>
      </c>
      <c r="C475" s="0" t="s">
        <v>923</v>
      </c>
      <c r="D475" s="0" t="s">
        <v>51</v>
      </c>
      <c r="E475" s="0" t="s">
        <v>66</v>
      </c>
      <c r="F475" s="0" t="s">
        <v>47</v>
      </c>
      <c r="G475" s="0" t="s">
        <v>35</v>
      </c>
      <c r="H475" s="0" t="s">
        <v>42</v>
      </c>
      <c r="I475" s="0" t="n">
        <v>699.44</v>
      </c>
      <c r="J475" s="0" t="n">
        <v>0.05</v>
      </c>
      <c r="K475" s="0" t="n">
        <v>15</v>
      </c>
    </row>
    <row r="476" customFormat="false" ht="15" hidden="false" customHeight="false" outlineLevel="0" collapsed="false">
      <c r="A476" s="0" t="s">
        <v>924</v>
      </c>
      <c r="B476" s="0" t="s">
        <v>925</v>
      </c>
      <c r="C476" s="0" t="s">
        <v>232</v>
      </c>
      <c r="D476" s="0" t="s">
        <v>61</v>
      </c>
      <c r="E476" s="0" t="s">
        <v>33</v>
      </c>
      <c r="F476" s="0" t="s">
        <v>89</v>
      </c>
      <c r="G476" s="0" t="s">
        <v>41</v>
      </c>
      <c r="H476" s="0" t="s">
        <v>36</v>
      </c>
      <c r="I476" s="0" t="n">
        <v>1665.41</v>
      </c>
      <c r="J476" s="0" t="n">
        <v>0.05</v>
      </c>
      <c r="K476" s="0" t="n">
        <v>12</v>
      </c>
    </row>
    <row r="477" customFormat="false" ht="15" hidden="false" customHeight="false" outlineLevel="0" collapsed="false">
      <c r="A477" s="0" t="s">
        <v>926</v>
      </c>
      <c r="B477" s="0" t="s">
        <v>639</v>
      </c>
      <c r="C477" s="0" t="s">
        <v>669</v>
      </c>
      <c r="D477" s="0" t="s">
        <v>40</v>
      </c>
      <c r="E477" s="0" t="s">
        <v>72</v>
      </c>
      <c r="F477" s="0" t="s">
        <v>73</v>
      </c>
      <c r="G477" s="0" t="s">
        <v>117</v>
      </c>
      <c r="H477" s="0" t="s">
        <v>36</v>
      </c>
      <c r="I477" s="0" t="n">
        <v>375.03</v>
      </c>
      <c r="J477" s="0" t="n">
        <v>0.2</v>
      </c>
      <c r="K477" s="0" t="n">
        <v>31</v>
      </c>
    </row>
    <row r="478" customFormat="false" ht="15" hidden="false" customHeight="false" outlineLevel="0" collapsed="false">
      <c r="A478" s="0" t="s">
        <v>927</v>
      </c>
      <c r="B478" s="0" t="s">
        <v>31</v>
      </c>
      <c r="D478" s="0" t="s">
        <v>95</v>
      </c>
      <c r="E478" s="0" t="s">
        <v>52</v>
      </c>
      <c r="F478" s="0" t="s">
        <v>79</v>
      </c>
      <c r="G478" s="0" t="s">
        <v>41</v>
      </c>
      <c r="H478" s="0" t="s">
        <v>80</v>
      </c>
      <c r="I478" s="0" t="n">
        <v>545.77</v>
      </c>
      <c r="J478" s="0" t="n">
        <v>0</v>
      </c>
    </row>
    <row r="479" customFormat="false" ht="15" hidden="false" customHeight="false" outlineLevel="0" collapsed="false">
      <c r="A479" s="0" t="s">
        <v>928</v>
      </c>
      <c r="B479" s="0" t="s">
        <v>77</v>
      </c>
      <c r="D479" s="0" t="s">
        <v>95</v>
      </c>
      <c r="E479" s="0" t="s">
        <v>114</v>
      </c>
      <c r="F479" s="0" t="s">
        <v>57</v>
      </c>
      <c r="G479" s="0" t="s">
        <v>140</v>
      </c>
      <c r="H479" s="0" t="s">
        <v>62</v>
      </c>
      <c r="I479" s="0" t="n">
        <v>2048.49</v>
      </c>
      <c r="J479" s="0" t="n">
        <v>0.1</v>
      </c>
    </row>
    <row r="480" customFormat="false" ht="15" hidden="false" customHeight="false" outlineLevel="0" collapsed="false">
      <c r="A480" s="0" t="s">
        <v>929</v>
      </c>
      <c r="B480" s="0" t="s">
        <v>496</v>
      </c>
      <c r="C480" s="0" t="s">
        <v>210</v>
      </c>
      <c r="D480" s="0" t="s">
        <v>40</v>
      </c>
      <c r="E480" s="0" t="s">
        <v>46</v>
      </c>
      <c r="F480" s="0" t="s">
        <v>73</v>
      </c>
      <c r="G480" s="0" t="s">
        <v>53</v>
      </c>
      <c r="H480" s="0" t="s">
        <v>36</v>
      </c>
      <c r="I480" s="0" t="n">
        <v>236.57</v>
      </c>
      <c r="J480" s="0" t="n">
        <v>0.1</v>
      </c>
      <c r="K480" s="0" t="n">
        <v>23</v>
      </c>
    </row>
    <row r="481" customFormat="false" ht="15" hidden="false" customHeight="false" outlineLevel="0" collapsed="false">
      <c r="A481" s="0" t="s">
        <v>930</v>
      </c>
      <c r="B481" s="0" t="s">
        <v>328</v>
      </c>
      <c r="D481" s="0" t="s">
        <v>86</v>
      </c>
      <c r="E481" s="0" t="s">
        <v>33</v>
      </c>
      <c r="F481" s="0" t="s">
        <v>89</v>
      </c>
      <c r="G481" s="0" t="s">
        <v>74</v>
      </c>
      <c r="H481" s="0" t="s">
        <v>75</v>
      </c>
      <c r="I481" s="0" t="n">
        <v>2792.75</v>
      </c>
      <c r="J481" s="0" t="n">
        <v>0.15</v>
      </c>
    </row>
    <row r="482" customFormat="false" ht="15" hidden="false" customHeight="false" outlineLevel="0" collapsed="false">
      <c r="A482" s="0" t="s">
        <v>931</v>
      </c>
      <c r="B482" s="0" t="s">
        <v>720</v>
      </c>
      <c r="C482" s="0" t="s">
        <v>932</v>
      </c>
      <c r="D482" s="0" t="s">
        <v>61</v>
      </c>
      <c r="E482" s="0" t="s">
        <v>114</v>
      </c>
      <c r="F482" s="0" t="s">
        <v>34</v>
      </c>
      <c r="G482" s="0" t="s">
        <v>69</v>
      </c>
      <c r="H482" s="0" t="s">
        <v>42</v>
      </c>
      <c r="I482" s="0" t="n">
        <v>685.12</v>
      </c>
      <c r="J482" s="0" t="n">
        <v>0.15</v>
      </c>
      <c r="K482" s="0" t="n">
        <v>6</v>
      </c>
    </row>
    <row r="483" customFormat="false" ht="15" hidden="false" customHeight="false" outlineLevel="0" collapsed="false">
      <c r="A483" s="0" t="s">
        <v>933</v>
      </c>
      <c r="B483" s="0" t="s">
        <v>934</v>
      </c>
      <c r="D483" s="0" t="s">
        <v>32</v>
      </c>
      <c r="E483" s="0" t="s">
        <v>66</v>
      </c>
      <c r="F483" s="0" t="s">
        <v>79</v>
      </c>
      <c r="G483" s="0" t="s">
        <v>74</v>
      </c>
      <c r="H483" s="0" t="s">
        <v>75</v>
      </c>
      <c r="I483" s="0" t="n">
        <v>676.57</v>
      </c>
      <c r="J483" s="0" t="n">
        <v>0</v>
      </c>
    </row>
    <row r="484" customFormat="false" ht="15" hidden="false" customHeight="false" outlineLevel="0" collapsed="false">
      <c r="A484" s="0" t="s">
        <v>935</v>
      </c>
      <c r="B484" s="0" t="s">
        <v>655</v>
      </c>
      <c r="C484" s="0" t="s">
        <v>177</v>
      </c>
      <c r="D484" s="0" t="s">
        <v>61</v>
      </c>
      <c r="E484" s="0" t="s">
        <v>33</v>
      </c>
      <c r="F484" s="0" t="s">
        <v>57</v>
      </c>
      <c r="G484" s="0" t="s">
        <v>53</v>
      </c>
      <c r="H484" s="0" t="s">
        <v>42</v>
      </c>
      <c r="I484" s="0" t="n">
        <v>966.91</v>
      </c>
      <c r="J484" s="0" t="n">
        <v>0</v>
      </c>
      <c r="K484" s="0" t="n">
        <v>18</v>
      </c>
    </row>
    <row r="485" customFormat="false" ht="15" hidden="false" customHeight="false" outlineLevel="0" collapsed="false">
      <c r="A485" s="0" t="s">
        <v>936</v>
      </c>
      <c r="B485" s="0" t="s">
        <v>31</v>
      </c>
      <c r="C485" s="0" t="s">
        <v>678</v>
      </c>
      <c r="D485" s="0" t="s">
        <v>32</v>
      </c>
      <c r="E485" s="0" t="s">
        <v>114</v>
      </c>
      <c r="F485" s="0" t="s">
        <v>57</v>
      </c>
      <c r="G485" s="0" t="s">
        <v>35</v>
      </c>
      <c r="H485" s="0" t="s">
        <v>42</v>
      </c>
      <c r="I485" s="0" t="n">
        <v>1371.63</v>
      </c>
      <c r="J485" s="0" t="n">
        <v>0.15</v>
      </c>
      <c r="K485" s="0" t="n">
        <v>21</v>
      </c>
    </row>
    <row r="486" customFormat="false" ht="15" hidden="false" customHeight="false" outlineLevel="0" collapsed="false">
      <c r="A486" s="0" t="s">
        <v>937</v>
      </c>
      <c r="B486" s="0" t="s">
        <v>88</v>
      </c>
      <c r="C486" s="0" t="s">
        <v>570</v>
      </c>
      <c r="D486" s="0" t="s">
        <v>40</v>
      </c>
      <c r="E486" s="0" t="s">
        <v>72</v>
      </c>
      <c r="F486" s="0" t="s">
        <v>47</v>
      </c>
      <c r="G486" s="0" t="s">
        <v>58</v>
      </c>
      <c r="H486" s="0" t="s">
        <v>36</v>
      </c>
      <c r="I486" s="0" t="n">
        <v>352.91</v>
      </c>
      <c r="J486" s="0" t="n">
        <v>0.05</v>
      </c>
      <c r="K486" s="0" t="n">
        <v>30</v>
      </c>
    </row>
    <row r="487" customFormat="false" ht="15" hidden="false" customHeight="false" outlineLevel="0" collapsed="false">
      <c r="A487" s="0" t="s">
        <v>938</v>
      </c>
      <c r="B487" s="0" t="s">
        <v>669</v>
      </c>
      <c r="C487" s="0" t="s">
        <v>283</v>
      </c>
      <c r="D487" s="0" t="s">
        <v>95</v>
      </c>
      <c r="E487" s="0" t="s">
        <v>66</v>
      </c>
      <c r="F487" s="0" t="s">
        <v>79</v>
      </c>
      <c r="G487" s="0" t="s">
        <v>74</v>
      </c>
      <c r="H487" s="0" t="s">
        <v>42</v>
      </c>
      <c r="I487" s="0" t="n">
        <v>2028.81</v>
      </c>
      <c r="J487" s="0" t="n">
        <v>0.15</v>
      </c>
      <c r="K487" s="0" t="n">
        <v>15</v>
      </c>
    </row>
    <row r="488" customFormat="false" ht="15" hidden="false" customHeight="false" outlineLevel="0" collapsed="false">
      <c r="A488" s="0" t="s">
        <v>939</v>
      </c>
      <c r="B488" s="0" t="s">
        <v>348</v>
      </c>
      <c r="C488" s="0" t="s">
        <v>407</v>
      </c>
      <c r="D488" s="0" t="s">
        <v>940</v>
      </c>
      <c r="E488" s="0" t="s">
        <v>52</v>
      </c>
      <c r="F488" s="0" t="s">
        <v>34</v>
      </c>
      <c r="G488" s="0" t="s">
        <v>69</v>
      </c>
      <c r="H488" s="0" t="s">
        <v>42</v>
      </c>
      <c r="I488" s="0" t="n">
        <v>519</v>
      </c>
      <c r="J488" s="0" t="n">
        <v>0.15</v>
      </c>
      <c r="K488" s="0" t="n">
        <v>26</v>
      </c>
    </row>
    <row r="489" customFormat="false" ht="15" hidden="false" customHeight="false" outlineLevel="0" collapsed="false">
      <c r="A489" s="0" t="s">
        <v>941</v>
      </c>
      <c r="B489" s="0" t="s">
        <v>149</v>
      </c>
      <c r="C489" s="0" t="s">
        <v>218</v>
      </c>
      <c r="D489" s="0" t="s">
        <v>78</v>
      </c>
      <c r="E489" s="0" t="s">
        <v>66</v>
      </c>
      <c r="F489" s="0" t="s">
        <v>57</v>
      </c>
      <c r="G489" s="0" t="s">
        <v>117</v>
      </c>
      <c r="H489" s="0" t="s">
        <v>42</v>
      </c>
      <c r="I489" s="0" t="n">
        <v>1496.31</v>
      </c>
      <c r="J489" s="0" t="n">
        <v>0</v>
      </c>
      <c r="K489" s="0" t="n">
        <v>8</v>
      </c>
    </row>
    <row r="490" customFormat="false" ht="15" hidden="false" customHeight="false" outlineLevel="0" collapsed="false">
      <c r="A490" s="0" t="s">
        <v>942</v>
      </c>
      <c r="B490" s="0" t="s">
        <v>943</v>
      </c>
      <c r="C490" s="0" t="s">
        <v>434</v>
      </c>
      <c r="D490" s="0" t="s">
        <v>61</v>
      </c>
      <c r="E490" s="0" t="s">
        <v>33</v>
      </c>
      <c r="F490" s="0" t="s">
        <v>34</v>
      </c>
      <c r="G490" s="0" t="s">
        <v>69</v>
      </c>
      <c r="H490" s="0" t="s">
        <v>42</v>
      </c>
      <c r="I490" s="0" t="n">
        <v>775.71</v>
      </c>
      <c r="J490" s="0" t="n">
        <v>0</v>
      </c>
      <c r="K490" s="0" t="n">
        <v>32</v>
      </c>
    </row>
    <row r="491" customFormat="false" ht="15" hidden="false" customHeight="false" outlineLevel="0" collapsed="false">
      <c r="A491" s="0" t="s">
        <v>944</v>
      </c>
      <c r="B491" s="0" t="s">
        <v>678</v>
      </c>
      <c r="D491" s="0" t="s">
        <v>86</v>
      </c>
      <c r="E491" s="0" t="s">
        <v>66</v>
      </c>
      <c r="F491" s="0" t="s">
        <v>47</v>
      </c>
      <c r="G491" s="0" t="s">
        <v>74</v>
      </c>
      <c r="H491" s="0" t="s">
        <v>62</v>
      </c>
      <c r="I491" s="0" t="n">
        <v>2021.89</v>
      </c>
      <c r="J491" s="0" t="n">
        <v>0.05</v>
      </c>
    </row>
    <row r="492" customFormat="false" ht="15" hidden="false" customHeight="false" outlineLevel="0" collapsed="false">
      <c r="A492" s="0" t="s">
        <v>945</v>
      </c>
      <c r="B492" s="0" t="s">
        <v>829</v>
      </c>
      <c r="D492" s="0" t="s">
        <v>95</v>
      </c>
      <c r="E492" s="0" t="s">
        <v>66</v>
      </c>
      <c r="F492" s="0" t="s">
        <v>34</v>
      </c>
      <c r="G492" s="0" t="s">
        <v>140</v>
      </c>
      <c r="H492" s="0" t="s">
        <v>75</v>
      </c>
      <c r="I492" s="0" t="n">
        <v>777.99</v>
      </c>
      <c r="J492" s="0" t="n">
        <v>0.1</v>
      </c>
    </row>
    <row r="493" customFormat="false" ht="15" hidden="false" customHeight="false" outlineLevel="0" collapsed="false">
      <c r="A493" s="0" t="s">
        <v>946</v>
      </c>
      <c r="B493" s="0" t="s">
        <v>263</v>
      </c>
      <c r="C493" s="0" t="s">
        <v>404</v>
      </c>
      <c r="D493" s="0" t="s">
        <v>32</v>
      </c>
      <c r="E493" s="0" t="s">
        <v>114</v>
      </c>
      <c r="F493" s="0" t="s">
        <v>89</v>
      </c>
      <c r="G493" s="0" t="s">
        <v>53</v>
      </c>
      <c r="H493" s="0" t="s">
        <v>42</v>
      </c>
      <c r="I493" s="0" t="n">
        <v>1210.44</v>
      </c>
      <c r="J493" s="0" t="n">
        <v>0.05</v>
      </c>
      <c r="K493" s="0" t="n">
        <v>23</v>
      </c>
    </row>
    <row r="494" customFormat="false" ht="15" hidden="false" customHeight="false" outlineLevel="0" collapsed="false">
      <c r="A494" s="0" t="s">
        <v>947</v>
      </c>
      <c r="B494" s="0" t="s">
        <v>948</v>
      </c>
      <c r="C494" s="0" t="s">
        <v>949</v>
      </c>
      <c r="D494" s="0" t="s">
        <v>61</v>
      </c>
      <c r="E494" s="0" t="s">
        <v>33</v>
      </c>
      <c r="F494" s="0" t="s">
        <v>34</v>
      </c>
      <c r="G494" s="0" t="s">
        <v>140</v>
      </c>
      <c r="H494" s="0" t="s">
        <v>42</v>
      </c>
      <c r="I494" s="0" t="n">
        <v>2664.52</v>
      </c>
      <c r="J494" s="0" t="n">
        <v>0.1</v>
      </c>
      <c r="K494" s="0" t="n">
        <v>29</v>
      </c>
    </row>
    <row r="495" customFormat="false" ht="15" hidden="false" customHeight="false" outlineLevel="0" collapsed="false">
      <c r="A495" s="0" t="s">
        <v>950</v>
      </c>
      <c r="B495" s="0" t="s">
        <v>170</v>
      </c>
      <c r="D495" s="0" t="s">
        <v>95</v>
      </c>
      <c r="E495" s="0" t="s">
        <v>33</v>
      </c>
      <c r="F495" s="0" t="s">
        <v>34</v>
      </c>
      <c r="G495" s="0" t="s">
        <v>69</v>
      </c>
      <c r="H495" s="0" t="s">
        <v>62</v>
      </c>
      <c r="I495" s="0" t="n">
        <v>1848.74</v>
      </c>
      <c r="J495" s="0" t="n">
        <v>0.1</v>
      </c>
    </row>
    <row r="496" customFormat="false" ht="15" hidden="false" customHeight="false" outlineLevel="0" collapsed="false">
      <c r="A496" s="0" t="s">
        <v>951</v>
      </c>
      <c r="B496" s="0" t="s">
        <v>71</v>
      </c>
      <c r="D496" s="0" t="s">
        <v>40</v>
      </c>
      <c r="E496" s="0" t="s">
        <v>72</v>
      </c>
      <c r="F496" s="0" t="s">
        <v>79</v>
      </c>
      <c r="G496" s="0" t="s">
        <v>140</v>
      </c>
      <c r="H496" s="0" t="s">
        <v>62</v>
      </c>
      <c r="I496" s="0" t="n">
        <v>728.35</v>
      </c>
      <c r="J496" s="0" t="n">
        <v>0</v>
      </c>
    </row>
    <row r="497" customFormat="false" ht="15" hidden="false" customHeight="false" outlineLevel="0" collapsed="false">
      <c r="A497" s="0" t="s">
        <v>952</v>
      </c>
      <c r="B497" s="0" t="s">
        <v>773</v>
      </c>
      <c r="C497" s="0" t="s">
        <v>953</v>
      </c>
      <c r="D497" s="0" t="s">
        <v>916</v>
      </c>
      <c r="E497" s="0" t="s">
        <v>46</v>
      </c>
      <c r="F497" s="0" t="s">
        <v>79</v>
      </c>
      <c r="G497" s="0" t="s">
        <v>58</v>
      </c>
      <c r="H497" s="0" t="s">
        <v>36</v>
      </c>
      <c r="I497" s="0" t="n">
        <v>123.81</v>
      </c>
      <c r="J497" s="0" t="n">
        <v>0.2</v>
      </c>
      <c r="K497" s="0" t="n">
        <v>38</v>
      </c>
    </row>
    <row r="498" customFormat="false" ht="15" hidden="false" customHeight="false" outlineLevel="0" collapsed="false">
      <c r="A498" s="0" t="s">
        <v>954</v>
      </c>
      <c r="B498" s="0" t="s">
        <v>591</v>
      </c>
      <c r="C498" s="0" t="s">
        <v>159</v>
      </c>
      <c r="D498" s="0" t="s">
        <v>78</v>
      </c>
      <c r="E498" s="0" t="s">
        <v>72</v>
      </c>
      <c r="F498" s="0" t="s">
        <v>47</v>
      </c>
      <c r="G498" s="0" t="s">
        <v>140</v>
      </c>
      <c r="H498" s="0" t="s">
        <v>36</v>
      </c>
      <c r="I498" s="0" t="n">
        <v>372.53</v>
      </c>
      <c r="J498" s="0" t="n">
        <v>0.1</v>
      </c>
      <c r="K498" s="0" t="n">
        <v>16</v>
      </c>
    </row>
    <row r="499" customFormat="false" ht="15" hidden="false" customHeight="false" outlineLevel="0" collapsed="false">
      <c r="A499" s="0" t="s">
        <v>955</v>
      </c>
      <c r="B499" s="0" t="s">
        <v>956</v>
      </c>
      <c r="C499" s="0" t="s">
        <v>276</v>
      </c>
      <c r="D499" s="0" t="s">
        <v>78</v>
      </c>
      <c r="E499" s="0" t="s">
        <v>66</v>
      </c>
      <c r="F499" s="0" t="s">
        <v>57</v>
      </c>
      <c r="G499" s="0" t="s">
        <v>53</v>
      </c>
      <c r="H499" s="0" t="s">
        <v>36</v>
      </c>
      <c r="I499" s="0" t="n">
        <v>1989.94</v>
      </c>
      <c r="J499" s="0" t="n">
        <v>0</v>
      </c>
      <c r="K499" s="0" t="n">
        <v>5</v>
      </c>
    </row>
    <row r="500" customFormat="false" ht="15" hidden="false" customHeight="false" outlineLevel="0" collapsed="false">
      <c r="A500" s="0" t="s">
        <v>957</v>
      </c>
      <c r="B500" s="0" t="s">
        <v>958</v>
      </c>
      <c r="D500" s="0" t="s">
        <v>51</v>
      </c>
      <c r="E500" s="0" t="s">
        <v>114</v>
      </c>
      <c r="F500" s="0" t="s">
        <v>89</v>
      </c>
      <c r="G500" s="0" t="s">
        <v>53</v>
      </c>
      <c r="H500" s="0" t="s">
        <v>62</v>
      </c>
      <c r="I500" s="0" t="n">
        <v>658.05</v>
      </c>
      <c r="J500" s="0" t="n">
        <v>0.05</v>
      </c>
    </row>
    <row r="501" customFormat="false" ht="15" hidden="false" customHeight="false" outlineLevel="0" collapsed="false">
      <c r="A501" s="0" t="s">
        <v>959</v>
      </c>
      <c r="B501" s="0" t="s">
        <v>224</v>
      </c>
      <c r="C501" s="0" t="s">
        <v>815</v>
      </c>
      <c r="D501" s="0" t="s">
        <v>86</v>
      </c>
      <c r="E501" s="0" t="s">
        <v>114</v>
      </c>
      <c r="F501" s="0" t="s">
        <v>47</v>
      </c>
      <c r="G501" s="0" t="s">
        <v>53</v>
      </c>
      <c r="H501" s="0" t="s">
        <v>36</v>
      </c>
      <c r="I501" s="0" t="n">
        <v>707.57</v>
      </c>
      <c r="J501" s="0" t="n">
        <v>0.2</v>
      </c>
      <c r="K501" s="0" t="n">
        <v>18</v>
      </c>
    </row>
    <row r="502" customFormat="false" ht="15" hidden="false" customHeight="false" outlineLevel="0" collapsed="false">
      <c r="A502" s="0" t="s">
        <v>960</v>
      </c>
      <c r="B502" s="0" t="s">
        <v>553</v>
      </c>
      <c r="D502" s="0" t="s">
        <v>95</v>
      </c>
      <c r="E502" s="0" t="s">
        <v>46</v>
      </c>
      <c r="F502" s="0" t="s">
        <v>34</v>
      </c>
      <c r="G502" s="0" t="s">
        <v>41</v>
      </c>
      <c r="H502" s="0" t="s">
        <v>75</v>
      </c>
      <c r="I502" s="0" t="n">
        <v>137.81</v>
      </c>
      <c r="J502" s="0" t="n">
        <v>0</v>
      </c>
    </row>
    <row r="503" customFormat="false" ht="15" hidden="false" customHeight="false" outlineLevel="0" collapsed="false">
      <c r="A503" s="0" t="s">
        <v>961</v>
      </c>
      <c r="B503" s="0" t="s">
        <v>918</v>
      </c>
      <c r="C503" s="0" t="s">
        <v>518</v>
      </c>
      <c r="D503" s="0" t="s">
        <v>86</v>
      </c>
      <c r="E503" s="0" t="s">
        <v>66</v>
      </c>
      <c r="F503" s="0" t="s">
        <v>73</v>
      </c>
      <c r="G503" s="0" t="s">
        <v>74</v>
      </c>
      <c r="H503" s="0" t="s">
        <v>42</v>
      </c>
      <c r="I503" s="0" t="n">
        <v>746.19</v>
      </c>
      <c r="J503" s="0" t="n">
        <v>0.2</v>
      </c>
      <c r="K503" s="0" t="n">
        <v>28</v>
      </c>
    </row>
    <row r="504" customFormat="false" ht="15" hidden="false" customHeight="false" outlineLevel="0" collapsed="false">
      <c r="A504" s="0" t="s">
        <v>962</v>
      </c>
      <c r="B504" s="0" t="s">
        <v>143</v>
      </c>
      <c r="C504" s="0" t="s">
        <v>639</v>
      </c>
      <c r="D504" s="0" t="s">
        <v>61</v>
      </c>
      <c r="E504" s="0" t="s">
        <v>66</v>
      </c>
      <c r="F504" s="0" t="s">
        <v>79</v>
      </c>
      <c r="G504" s="0" t="s">
        <v>140</v>
      </c>
      <c r="H504" s="0" t="s">
        <v>36</v>
      </c>
      <c r="I504" s="0" t="n">
        <v>1286.31</v>
      </c>
      <c r="J504" s="0" t="n">
        <v>0.05</v>
      </c>
      <c r="K504" s="0" t="n">
        <v>21</v>
      </c>
    </row>
    <row r="505" customFormat="false" ht="15" hidden="false" customHeight="false" outlineLevel="0" collapsed="false">
      <c r="A505" s="0" t="s">
        <v>963</v>
      </c>
      <c r="B505" s="0" t="s">
        <v>383</v>
      </c>
      <c r="D505" s="0" t="s">
        <v>86</v>
      </c>
      <c r="E505" s="0" t="s">
        <v>46</v>
      </c>
      <c r="F505" s="0" t="s">
        <v>47</v>
      </c>
      <c r="G505" s="0" t="s">
        <v>74</v>
      </c>
      <c r="H505" s="0" t="s">
        <v>80</v>
      </c>
      <c r="I505" s="0" t="n">
        <v>122.67</v>
      </c>
      <c r="J505" s="0" t="n">
        <v>0.2</v>
      </c>
    </row>
    <row r="506" customFormat="false" ht="15" hidden="false" customHeight="false" outlineLevel="0" collapsed="false">
      <c r="A506" s="0" t="s">
        <v>964</v>
      </c>
      <c r="B506" s="0" t="s">
        <v>536</v>
      </c>
      <c r="C506" s="0" t="s">
        <v>358</v>
      </c>
      <c r="D506" s="0" t="s">
        <v>32</v>
      </c>
      <c r="E506" s="0" t="s">
        <v>114</v>
      </c>
      <c r="F506" s="0" t="s">
        <v>89</v>
      </c>
      <c r="G506" s="0" t="s">
        <v>74</v>
      </c>
      <c r="H506" s="0" t="s">
        <v>42</v>
      </c>
      <c r="I506" s="0" t="n">
        <v>702.51</v>
      </c>
      <c r="J506" s="0" t="n">
        <v>0</v>
      </c>
      <c r="K506" s="0" t="n">
        <v>24</v>
      </c>
    </row>
    <row r="507" customFormat="false" ht="15" hidden="false" customHeight="false" outlineLevel="0" collapsed="false">
      <c r="A507" s="0" t="s">
        <v>965</v>
      </c>
      <c r="B507" s="0" t="s">
        <v>958</v>
      </c>
      <c r="D507" s="0" t="s">
        <v>32</v>
      </c>
      <c r="E507" s="0" t="s">
        <v>33</v>
      </c>
      <c r="F507" s="0" t="s">
        <v>129</v>
      </c>
      <c r="G507" s="0" t="s">
        <v>58</v>
      </c>
      <c r="H507" s="0" t="s">
        <v>75</v>
      </c>
      <c r="I507" s="0" t="n">
        <v>1674.33</v>
      </c>
      <c r="J507" s="0" t="n">
        <v>0.05</v>
      </c>
    </row>
    <row r="508" customFormat="false" ht="15" hidden="false" customHeight="false" outlineLevel="0" collapsed="false">
      <c r="A508" s="0" t="s">
        <v>966</v>
      </c>
      <c r="B508" s="0" t="s">
        <v>556</v>
      </c>
      <c r="C508" s="0" t="s">
        <v>639</v>
      </c>
      <c r="D508" s="0" t="s">
        <v>86</v>
      </c>
      <c r="E508" s="0" t="s">
        <v>52</v>
      </c>
      <c r="F508" s="0" t="s">
        <v>47</v>
      </c>
      <c r="G508" s="0" t="s">
        <v>58</v>
      </c>
      <c r="H508" s="0" t="s">
        <v>42</v>
      </c>
      <c r="I508" s="0" t="n">
        <v>540.26</v>
      </c>
      <c r="J508" s="0" t="n">
        <v>0.2</v>
      </c>
      <c r="K508" s="0" t="n">
        <v>19</v>
      </c>
    </row>
    <row r="509" customFormat="false" ht="15" hidden="false" customHeight="false" outlineLevel="0" collapsed="false">
      <c r="A509" s="0" t="s">
        <v>967</v>
      </c>
      <c r="B509" s="0" t="s">
        <v>127</v>
      </c>
      <c r="D509" s="0" t="s">
        <v>51</v>
      </c>
      <c r="E509" s="0" t="s">
        <v>52</v>
      </c>
      <c r="F509" s="0" t="s">
        <v>47</v>
      </c>
      <c r="G509" s="0" t="s">
        <v>41</v>
      </c>
      <c r="H509" s="0" t="s">
        <v>62</v>
      </c>
      <c r="I509" s="0" t="n">
        <v>539.24</v>
      </c>
      <c r="J509" s="0" t="n">
        <v>0</v>
      </c>
    </row>
    <row r="510" customFormat="false" ht="15" hidden="false" customHeight="false" outlineLevel="0" collapsed="false">
      <c r="A510" s="0" t="s">
        <v>968</v>
      </c>
      <c r="B510" s="0" t="s">
        <v>430</v>
      </c>
      <c r="C510" s="0" t="s">
        <v>175</v>
      </c>
      <c r="D510" s="0" t="s">
        <v>40</v>
      </c>
      <c r="E510" s="0" t="s">
        <v>114</v>
      </c>
      <c r="F510" s="0" t="s">
        <v>34</v>
      </c>
      <c r="G510" s="0" t="s">
        <v>58</v>
      </c>
      <c r="H510" s="0" t="s">
        <v>36</v>
      </c>
      <c r="I510" s="0" t="n">
        <v>1838.88</v>
      </c>
      <c r="J510" s="0" t="n">
        <v>0</v>
      </c>
      <c r="K510" s="0" t="n">
        <v>9</v>
      </c>
    </row>
    <row r="511" customFormat="false" ht="15" hidden="false" customHeight="false" outlineLevel="0" collapsed="false">
      <c r="A511" s="0" t="s">
        <v>969</v>
      </c>
      <c r="B511" s="0" t="s">
        <v>970</v>
      </c>
      <c r="C511" s="0" t="s">
        <v>106</v>
      </c>
      <c r="D511" s="0" t="s">
        <v>86</v>
      </c>
      <c r="E511" s="0" t="s">
        <v>114</v>
      </c>
      <c r="F511" s="0" t="s">
        <v>89</v>
      </c>
      <c r="G511" s="0" t="s">
        <v>117</v>
      </c>
      <c r="H511" s="0" t="s">
        <v>42</v>
      </c>
      <c r="I511" s="0" t="n">
        <v>1497.38</v>
      </c>
      <c r="J511" s="0" t="n">
        <v>0.15</v>
      </c>
      <c r="K511" s="0" t="n">
        <v>22</v>
      </c>
    </row>
    <row r="512" customFormat="false" ht="15" hidden="false" customHeight="false" outlineLevel="0" collapsed="false">
      <c r="A512" s="0" t="s">
        <v>971</v>
      </c>
      <c r="B512" s="0" t="s">
        <v>739</v>
      </c>
      <c r="C512" s="0" t="s">
        <v>50</v>
      </c>
      <c r="D512" s="0" t="s">
        <v>40</v>
      </c>
      <c r="E512" s="0" t="s">
        <v>114</v>
      </c>
      <c r="F512" s="0" t="s">
        <v>79</v>
      </c>
      <c r="G512" s="0" t="s">
        <v>117</v>
      </c>
      <c r="H512" s="0" t="s">
        <v>36</v>
      </c>
      <c r="I512" s="0" t="n">
        <v>655.67</v>
      </c>
      <c r="J512" s="0" t="n">
        <v>0.15</v>
      </c>
      <c r="K512" s="0" t="n">
        <v>5</v>
      </c>
    </row>
    <row r="513" customFormat="false" ht="15" hidden="false" customHeight="false" outlineLevel="0" collapsed="false">
      <c r="A513" s="0" t="s">
        <v>972</v>
      </c>
      <c r="B513" s="0" t="s">
        <v>973</v>
      </c>
      <c r="C513" s="0" t="s">
        <v>974</v>
      </c>
      <c r="D513" s="0" t="s">
        <v>32</v>
      </c>
      <c r="E513" s="0" t="s">
        <v>52</v>
      </c>
      <c r="F513" s="0" t="s">
        <v>73</v>
      </c>
      <c r="G513" s="0" t="s">
        <v>140</v>
      </c>
      <c r="H513" s="0" t="s">
        <v>42</v>
      </c>
      <c r="I513" s="0" t="n">
        <v>498</v>
      </c>
      <c r="J513" s="0" t="n">
        <v>0.05</v>
      </c>
      <c r="K513" s="0" t="n">
        <v>37</v>
      </c>
    </row>
    <row r="514" customFormat="false" ht="15" hidden="false" customHeight="false" outlineLevel="0" collapsed="false">
      <c r="A514" s="0" t="s">
        <v>975</v>
      </c>
      <c r="B514" s="0" t="s">
        <v>949</v>
      </c>
      <c r="C514" s="0" t="s">
        <v>161</v>
      </c>
      <c r="D514" s="0" t="s">
        <v>32</v>
      </c>
      <c r="E514" s="0" t="s">
        <v>46</v>
      </c>
      <c r="F514" s="0" t="s">
        <v>73</v>
      </c>
      <c r="G514" s="0" t="s">
        <v>58</v>
      </c>
      <c r="H514" s="0" t="s">
        <v>42</v>
      </c>
      <c r="I514" s="0" t="n">
        <v>360.42</v>
      </c>
      <c r="J514" s="0" t="n">
        <v>0</v>
      </c>
      <c r="K514" s="0" t="n">
        <v>22</v>
      </c>
    </row>
    <row r="515" customFormat="false" ht="15" hidden="false" customHeight="false" outlineLevel="0" collapsed="false">
      <c r="A515" s="0" t="s">
        <v>976</v>
      </c>
      <c r="B515" s="0" t="s">
        <v>214</v>
      </c>
      <c r="D515" s="0" t="s">
        <v>61</v>
      </c>
      <c r="E515" s="0" t="s">
        <v>46</v>
      </c>
      <c r="F515" s="0" t="s">
        <v>57</v>
      </c>
      <c r="G515" s="0" t="s">
        <v>41</v>
      </c>
      <c r="H515" s="0" t="s">
        <v>80</v>
      </c>
      <c r="I515" s="0" t="n">
        <v>116.62</v>
      </c>
      <c r="J515" s="0" t="n">
        <v>0.2</v>
      </c>
    </row>
    <row r="516" customFormat="false" ht="15" hidden="false" customHeight="false" outlineLevel="0" collapsed="false">
      <c r="A516" s="0" t="s">
        <v>977</v>
      </c>
      <c r="B516" s="0" t="s">
        <v>736</v>
      </c>
      <c r="C516" s="0" t="s">
        <v>978</v>
      </c>
      <c r="D516" s="0" t="s">
        <v>51</v>
      </c>
      <c r="E516" s="0" t="s">
        <v>52</v>
      </c>
      <c r="F516" s="0" t="s">
        <v>34</v>
      </c>
      <c r="G516" s="0" t="s">
        <v>41</v>
      </c>
      <c r="H516" s="0" t="s">
        <v>36</v>
      </c>
      <c r="I516" s="0" t="n">
        <v>1103.97</v>
      </c>
      <c r="J516" s="0" t="n">
        <v>0.1</v>
      </c>
      <c r="K516" s="0" t="n">
        <v>36</v>
      </c>
    </row>
    <row r="517" customFormat="false" ht="15" hidden="false" customHeight="false" outlineLevel="0" collapsed="false">
      <c r="A517" s="0" t="s">
        <v>979</v>
      </c>
      <c r="B517" s="0" t="s">
        <v>465</v>
      </c>
      <c r="C517" s="0" t="s">
        <v>466</v>
      </c>
      <c r="D517" s="0" t="s">
        <v>78</v>
      </c>
      <c r="E517" s="0" t="s">
        <v>114</v>
      </c>
      <c r="F517" s="0" t="s">
        <v>129</v>
      </c>
      <c r="G517" s="0" t="s">
        <v>117</v>
      </c>
      <c r="H517" s="0" t="s">
        <v>42</v>
      </c>
      <c r="I517" s="0" t="n">
        <v>2019.91</v>
      </c>
      <c r="J517" s="0" t="n">
        <v>0.2</v>
      </c>
      <c r="K517" s="0" t="n">
        <v>33</v>
      </c>
    </row>
    <row r="518" customFormat="false" ht="15" hidden="false" customHeight="false" outlineLevel="0" collapsed="false">
      <c r="A518" s="0" t="s">
        <v>980</v>
      </c>
      <c r="B518" s="0" t="s">
        <v>251</v>
      </c>
      <c r="C518" s="0" t="s">
        <v>551</v>
      </c>
      <c r="D518" s="0" t="s">
        <v>940</v>
      </c>
      <c r="E518" s="0" t="s">
        <v>66</v>
      </c>
      <c r="F518" s="0" t="s">
        <v>34</v>
      </c>
      <c r="G518" s="0" t="s">
        <v>35</v>
      </c>
      <c r="H518" s="0" t="s">
        <v>36</v>
      </c>
      <c r="I518" s="0" t="n">
        <v>1548.68</v>
      </c>
      <c r="J518" s="0" t="n">
        <v>0.1</v>
      </c>
      <c r="K518" s="0" t="n">
        <v>18</v>
      </c>
    </row>
    <row r="519" customFormat="false" ht="15" hidden="false" customHeight="false" outlineLevel="0" collapsed="false">
      <c r="A519" s="0" t="s">
        <v>981</v>
      </c>
      <c r="B519" s="0" t="s">
        <v>503</v>
      </c>
      <c r="D519" s="0" t="s">
        <v>78</v>
      </c>
      <c r="E519" s="0" t="s">
        <v>114</v>
      </c>
      <c r="F519" s="0" t="s">
        <v>89</v>
      </c>
      <c r="G519" s="0" t="s">
        <v>69</v>
      </c>
      <c r="H519" s="0" t="s">
        <v>62</v>
      </c>
      <c r="I519" s="0" t="n">
        <v>1412.81</v>
      </c>
      <c r="J519" s="0" t="n">
        <v>0</v>
      </c>
    </row>
    <row r="520" customFormat="false" ht="15" hidden="false" customHeight="false" outlineLevel="0" collapsed="false">
      <c r="A520" s="0" t="s">
        <v>982</v>
      </c>
      <c r="B520" s="0" t="s">
        <v>983</v>
      </c>
      <c r="C520" s="0" t="s">
        <v>251</v>
      </c>
      <c r="D520" s="0" t="s">
        <v>32</v>
      </c>
      <c r="E520" s="0" t="s">
        <v>33</v>
      </c>
      <c r="F520" s="0" t="s">
        <v>34</v>
      </c>
      <c r="G520" s="0" t="s">
        <v>41</v>
      </c>
      <c r="H520" s="0" t="s">
        <v>42</v>
      </c>
      <c r="I520" s="0" t="n">
        <v>2494.32</v>
      </c>
      <c r="J520" s="0" t="n">
        <v>0.2</v>
      </c>
      <c r="K520" s="0" t="n">
        <v>19</v>
      </c>
    </row>
    <row r="521" customFormat="false" ht="15" hidden="false" customHeight="false" outlineLevel="0" collapsed="false">
      <c r="A521" s="0" t="s">
        <v>984</v>
      </c>
      <c r="B521" s="0" t="s">
        <v>267</v>
      </c>
      <c r="C521" s="0" t="s">
        <v>985</v>
      </c>
      <c r="D521" s="0" t="s">
        <v>51</v>
      </c>
      <c r="E521" s="0" t="s">
        <v>52</v>
      </c>
      <c r="F521" s="0" t="s">
        <v>47</v>
      </c>
      <c r="G521" s="0" t="s">
        <v>41</v>
      </c>
      <c r="H521" s="0" t="s">
        <v>42</v>
      </c>
      <c r="I521" s="0" t="n">
        <v>529.63</v>
      </c>
      <c r="J521" s="0" t="n">
        <v>0.05</v>
      </c>
      <c r="K521" s="0" t="n">
        <v>14</v>
      </c>
    </row>
    <row r="522" customFormat="false" ht="15" hidden="false" customHeight="false" outlineLevel="0" collapsed="false">
      <c r="A522" s="0" t="s">
        <v>986</v>
      </c>
      <c r="B522" s="0" t="s">
        <v>987</v>
      </c>
      <c r="C522" s="0" t="s">
        <v>430</v>
      </c>
      <c r="D522" s="0" t="s">
        <v>32</v>
      </c>
      <c r="E522" s="0" t="s">
        <v>72</v>
      </c>
      <c r="F522" s="0" t="s">
        <v>89</v>
      </c>
      <c r="G522" s="0" t="s">
        <v>140</v>
      </c>
      <c r="H522" s="0" t="s">
        <v>42</v>
      </c>
      <c r="I522" s="0" t="n">
        <v>1115.88</v>
      </c>
      <c r="J522" s="0" t="n">
        <v>0.15</v>
      </c>
      <c r="K522" s="0" t="n">
        <v>15</v>
      </c>
    </row>
    <row r="523" customFormat="false" ht="15" hidden="false" customHeight="false" outlineLevel="0" collapsed="false">
      <c r="A523" s="0" t="s">
        <v>988</v>
      </c>
      <c r="B523" s="0" t="s">
        <v>265</v>
      </c>
      <c r="D523" s="0" t="s">
        <v>61</v>
      </c>
      <c r="E523" s="0" t="s">
        <v>33</v>
      </c>
      <c r="F523" s="0" t="s">
        <v>57</v>
      </c>
      <c r="G523" s="0" t="s">
        <v>41</v>
      </c>
      <c r="H523" s="0" t="s">
        <v>75</v>
      </c>
      <c r="I523" s="0" t="n">
        <v>804.69</v>
      </c>
      <c r="J523" s="0" t="n">
        <v>0.05</v>
      </c>
    </row>
    <row r="524" customFormat="false" ht="15" hidden="false" customHeight="false" outlineLevel="0" collapsed="false">
      <c r="A524" s="0" t="s">
        <v>989</v>
      </c>
      <c r="B524" s="0" t="s">
        <v>943</v>
      </c>
      <c r="D524" s="0" t="s">
        <v>95</v>
      </c>
      <c r="E524" s="0" t="s">
        <v>33</v>
      </c>
      <c r="F524" s="0" t="s">
        <v>34</v>
      </c>
      <c r="G524" s="0" t="s">
        <v>117</v>
      </c>
      <c r="H524" s="0" t="s">
        <v>62</v>
      </c>
      <c r="I524" s="0" t="n">
        <v>2819.34</v>
      </c>
      <c r="J524" s="0" t="n">
        <v>0.1</v>
      </c>
    </row>
    <row r="525" customFormat="false" ht="15" hidden="false" customHeight="false" outlineLevel="0" collapsed="false">
      <c r="A525" s="0" t="s">
        <v>990</v>
      </c>
      <c r="B525" s="0" t="s">
        <v>318</v>
      </c>
      <c r="C525" s="0" t="s">
        <v>428</v>
      </c>
      <c r="D525" s="0" t="s">
        <v>32</v>
      </c>
      <c r="E525" s="0" t="s">
        <v>72</v>
      </c>
      <c r="F525" s="0" t="s">
        <v>73</v>
      </c>
      <c r="G525" s="0" t="s">
        <v>35</v>
      </c>
      <c r="H525" s="0" t="s">
        <v>42</v>
      </c>
      <c r="I525" s="0" t="n">
        <v>382.34</v>
      </c>
      <c r="J525" s="0" t="n">
        <v>0</v>
      </c>
      <c r="K525" s="0" t="n">
        <v>12</v>
      </c>
    </row>
    <row r="526" customFormat="false" ht="15" hidden="false" customHeight="false" outlineLevel="0" collapsed="false">
      <c r="A526" s="0" t="s">
        <v>991</v>
      </c>
      <c r="B526" s="0" t="s">
        <v>992</v>
      </c>
      <c r="D526" s="0" t="s">
        <v>95</v>
      </c>
      <c r="E526" s="0" t="s">
        <v>72</v>
      </c>
      <c r="F526" s="0" t="s">
        <v>47</v>
      </c>
      <c r="G526" s="0" t="s">
        <v>58</v>
      </c>
      <c r="H526" s="0" t="s">
        <v>80</v>
      </c>
      <c r="I526" s="0" t="n">
        <v>344.79</v>
      </c>
      <c r="J526" s="0" t="n">
        <v>0.1</v>
      </c>
    </row>
    <row r="527" customFormat="false" ht="15" hidden="false" customHeight="false" outlineLevel="0" collapsed="false">
      <c r="A527" s="0" t="s">
        <v>993</v>
      </c>
      <c r="B527" s="0" t="s">
        <v>50</v>
      </c>
      <c r="C527" s="0" t="s">
        <v>199</v>
      </c>
      <c r="D527" s="0" t="s">
        <v>86</v>
      </c>
      <c r="E527" s="0" t="s">
        <v>72</v>
      </c>
      <c r="F527" s="0" t="s">
        <v>89</v>
      </c>
      <c r="G527" s="0" t="s">
        <v>140</v>
      </c>
      <c r="H527" s="0" t="s">
        <v>36</v>
      </c>
      <c r="I527" s="0" t="n">
        <v>1144.17</v>
      </c>
      <c r="J527" s="0" t="n">
        <v>0</v>
      </c>
      <c r="K527" s="0" t="n">
        <v>17</v>
      </c>
    </row>
    <row r="528" customFormat="false" ht="15" hidden="false" customHeight="false" outlineLevel="0" collapsed="false">
      <c r="A528" s="0" t="s">
        <v>994</v>
      </c>
      <c r="B528" s="0" t="s">
        <v>197</v>
      </c>
      <c r="C528" s="0" t="s">
        <v>604</v>
      </c>
      <c r="D528" s="0" t="s">
        <v>86</v>
      </c>
      <c r="E528" s="0" t="s">
        <v>114</v>
      </c>
      <c r="F528" s="0" t="s">
        <v>57</v>
      </c>
      <c r="G528" s="0" t="s">
        <v>69</v>
      </c>
      <c r="H528" s="0" t="s">
        <v>36</v>
      </c>
      <c r="I528" s="0" t="n">
        <v>712.56</v>
      </c>
      <c r="J528" s="0" t="n">
        <v>0.05</v>
      </c>
      <c r="K528" s="0" t="n">
        <v>16</v>
      </c>
    </row>
    <row r="529" customFormat="false" ht="15" hidden="false" customHeight="false" outlineLevel="0" collapsed="false">
      <c r="A529" s="0" t="s">
        <v>995</v>
      </c>
      <c r="B529" s="0" t="s">
        <v>923</v>
      </c>
      <c r="D529" s="0" t="s">
        <v>86</v>
      </c>
      <c r="E529" s="0" t="s">
        <v>72</v>
      </c>
      <c r="F529" s="0" t="s">
        <v>47</v>
      </c>
      <c r="G529" s="0" t="s">
        <v>69</v>
      </c>
      <c r="H529" s="0" t="s">
        <v>80</v>
      </c>
      <c r="I529" s="0" t="n">
        <v>806.19</v>
      </c>
      <c r="J529" s="0" t="n">
        <v>0.15</v>
      </c>
    </row>
    <row r="530" customFormat="false" ht="15" hidden="false" customHeight="false" outlineLevel="0" collapsed="false">
      <c r="A530" s="0" t="s">
        <v>996</v>
      </c>
      <c r="B530" s="0" t="s">
        <v>997</v>
      </c>
      <c r="C530" s="0" t="s">
        <v>556</v>
      </c>
      <c r="D530" s="0" t="s">
        <v>86</v>
      </c>
      <c r="E530" s="0" t="s">
        <v>114</v>
      </c>
      <c r="F530" s="0" t="s">
        <v>89</v>
      </c>
      <c r="G530" s="0" t="s">
        <v>58</v>
      </c>
      <c r="H530" s="0" t="s">
        <v>36</v>
      </c>
      <c r="I530" s="0" t="n">
        <v>630.84</v>
      </c>
      <c r="J530" s="0" t="n">
        <v>0.15</v>
      </c>
      <c r="K530" s="0" t="n">
        <v>11</v>
      </c>
    </row>
    <row r="531" customFormat="false" ht="15" hidden="false" customHeight="false" outlineLevel="0" collapsed="false">
      <c r="A531" s="0" t="s">
        <v>998</v>
      </c>
      <c r="B531" s="0" t="s">
        <v>608</v>
      </c>
      <c r="D531" s="0" t="s">
        <v>51</v>
      </c>
      <c r="E531" s="0" t="s">
        <v>46</v>
      </c>
      <c r="F531" s="0" t="s">
        <v>89</v>
      </c>
      <c r="G531" s="0" t="s">
        <v>140</v>
      </c>
      <c r="H531" s="0" t="s">
        <v>62</v>
      </c>
      <c r="I531" s="0" t="n">
        <v>132.82</v>
      </c>
      <c r="J531" s="0" t="n">
        <v>0.15</v>
      </c>
    </row>
    <row r="532" customFormat="false" ht="15" hidden="false" customHeight="false" outlineLevel="0" collapsed="false">
      <c r="A532" s="0" t="s">
        <v>999</v>
      </c>
      <c r="B532" s="0" t="s">
        <v>923</v>
      </c>
      <c r="C532" s="0" t="s">
        <v>759</v>
      </c>
      <c r="D532" s="0" t="s">
        <v>86</v>
      </c>
      <c r="E532" s="0" t="s">
        <v>114</v>
      </c>
      <c r="F532" s="0" t="s">
        <v>129</v>
      </c>
      <c r="G532" s="0" t="s">
        <v>140</v>
      </c>
      <c r="H532" s="0" t="s">
        <v>36</v>
      </c>
      <c r="I532" s="0" t="n">
        <v>700.58</v>
      </c>
      <c r="J532" s="0" t="n">
        <v>0</v>
      </c>
      <c r="K532" s="0" t="n">
        <v>35</v>
      </c>
    </row>
    <row r="533" customFormat="false" ht="15" hidden="false" customHeight="false" outlineLevel="0" collapsed="false">
      <c r="A533" s="0" t="s">
        <v>1000</v>
      </c>
      <c r="B533" s="0" t="s">
        <v>113</v>
      </c>
      <c r="C533" s="0" t="s">
        <v>865</v>
      </c>
      <c r="D533" s="0" t="s">
        <v>61</v>
      </c>
      <c r="E533" s="0" t="s">
        <v>66</v>
      </c>
      <c r="F533" s="0" t="s">
        <v>34</v>
      </c>
      <c r="G533" s="0" t="s">
        <v>58</v>
      </c>
      <c r="H533" s="0" t="s">
        <v>42</v>
      </c>
      <c r="I533" s="0" t="n">
        <v>1282.38</v>
      </c>
      <c r="J533" s="0" t="n">
        <v>0.1</v>
      </c>
      <c r="K533" s="0" t="n">
        <v>23</v>
      </c>
    </row>
    <row r="534" customFormat="false" ht="15" hidden="false" customHeight="false" outlineLevel="0" collapsed="false">
      <c r="A534" s="0" t="s">
        <v>1001</v>
      </c>
      <c r="B534" s="0" t="s">
        <v>653</v>
      </c>
      <c r="D534" s="0" t="s">
        <v>95</v>
      </c>
      <c r="E534" s="0" t="s">
        <v>33</v>
      </c>
      <c r="F534" s="0" t="s">
        <v>34</v>
      </c>
      <c r="H534" s="0" t="s">
        <v>80</v>
      </c>
      <c r="I534" s="0" t="n">
        <v>947.24</v>
      </c>
      <c r="J534" s="0" t="n">
        <v>0</v>
      </c>
    </row>
    <row r="535" customFormat="false" ht="15" hidden="false" customHeight="false" outlineLevel="0" collapsed="false">
      <c r="A535" s="0" t="s">
        <v>1002</v>
      </c>
      <c r="B535" s="0" t="s">
        <v>139</v>
      </c>
      <c r="C535" s="0" t="s">
        <v>922</v>
      </c>
      <c r="D535" s="0" t="s">
        <v>61</v>
      </c>
      <c r="E535" s="0" t="s">
        <v>46</v>
      </c>
      <c r="F535" s="0" t="s">
        <v>89</v>
      </c>
      <c r="G535" s="0" t="s">
        <v>69</v>
      </c>
      <c r="H535" s="0" t="s">
        <v>42</v>
      </c>
      <c r="I535" s="0" t="n">
        <v>120.24</v>
      </c>
      <c r="J535" s="0" t="n">
        <v>0.2</v>
      </c>
      <c r="K535" s="0" t="n">
        <v>22</v>
      </c>
    </row>
    <row r="536" customFormat="false" ht="15" hidden="false" customHeight="false" outlineLevel="0" collapsed="false">
      <c r="A536" s="0" t="s">
        <v>1003</v>
      </c>
      <c r="B536" s="0" t="s">
        <v>1004</v>
      </c>
      <c r="C536" s="0" t="s">
        <v>1005</v>
      </c>
      <c r="D536" s="0" t="s">
        <v>40</v>
      </c>
      <c r="E536" s="0" t="s">
        <v>66</v>
      </c>
      <c r="F536" s="0" t="s">
        <v>129</v>
      </c>
      <c r="G536" s="0" t="s">
        <v>35</v>
      </c>
      <c r="H536" s="0" t="s">
        <v>36</v>
      </c>
      <c r="I536" s="0" t="n">
        <v>2400.14</v>
      </c>
      <c r="J536" s="0" t="n">
        <v>0</v>
      </c>
      <c r="K536" s="0" t="n">
        <v>23</v>
      </c>
    </row>
    <row r="537" customFormat="false" ht="15" hidden="false" customHeight="false" outlineLevel="0" collapsed="false">
      <c r="A537" s="0" t="s">
        <v>1006</v>
      </c>
      <c r="B537" s="0" t="s">
        <v>1007</v>
      </c>
      <c r="D537" s="0" t="s">
        <v>86</v>
      </c>
      <c r="E537" s="0" t="s">
        <v>114</v>
      </c>
      <c r="F537" s="0" t="s">
        <v>47</v>
      </c>
      <c r="G537" s="0" t="s">
        <v>140</v>
      </c>
      <c r="H537" s="0" t="s">
        <v>62</v>
      </c>
      <c r="I537" s="0" t="n">
        <v>671.59</v>
      </c>
      <c r="J537" s="0" t="n">
        <v>0.2</v>
      </c>
    </row>
    <row r="538" customFormat="false" ht="15" hidden="false" customHeight="false" outlineLevel="0" collapsed="false">
      <c r="A538" s="0" t="s">
        <v>1008</v>
      </c>
      <c r="B538" s="0" t="s">
        <v>726</v>
      </c>
      <c r="C538" s="0" t="s">
        <v>1009</v>
      </c>
      <c r="D538" s="0" t="s">
        <v>78</v>
      </c>
      <c r="E538" s="0" t="s">
        <v>66</v>
      </c>
      <c r="F538" s="0" t="s">
        <v>89</v>
      </c>
      <c r="G538" s="0" t="s">
        <v>140</v>
      </c>
      <c r="H538" s="0" t="s">
        <v>36</v>
      </c>
      <c r="I538" s="0" t="n">
        <v>767.28</v>
      </c>
      <c r="J538" s="0" t="n">
        <v>0</v>
      </c>
      <c r="K538" s="0" t="n">
        <v>31</v>
      </c>
    </row>
    <row r="539" customFormat="false" ht="15" hidden="false" customHeight="false" outlineLevel="0" collapsed="false">
      <c r="A539" s="0" t="s">
        <v>1010</v>
      </c>
      <c r="B539" s="0" t="s">
        <v>534</v>
      </c>
      <c r="C539" s="0" t="s">
        <v>307</v>
      </c>
      <c r="D539" s="0" t="s">
        <v>51</v>
      </c>
      <c r="E539" s="0" t="s">
        <v>66</v>
      </c>
      <c r="F539" s="0" t="s">
        <v>47</v>
      </c>
      <c r="G539" s="0" t="s">
        <v>117</v>
      </c>
      <c r="H539" s="0" t="s">
        <v>36</v>
      </c>
      <c r="I539" s="0" t="n">
        <v>768.59</v>
      </c>
      <c r="J539" s="0" t="n">
        <v>0.1</v>
      </c>
      <c r="K539" s="0" t="n">
        <v>21</v>
      </c>
    </row>
    <row r="540" customFormat="false" ht="15" hidden="false" customHeight="false" outlineLevel="0" collapsed="false">
      <c r="A540" s="0" t="s">
        <v>1011</v>
      </c>
      <c r="B540" s="0" t="s">
        <v>305</v>
      </c>
      <c r="D540" s="0" t="s">
        <v>61</v>
      </c>
      <c r="E540" s="0" t="s">
        <v>33</v>
      </c>
      <c r="F540" s="0" t="s">
        <v>47</v>
      </c>
      <c r="G540" s="0" t="s">
        <v>41</v>
      </c>
      <c r="H540" s="0" t="s">
        <v>62</v>
      </c>
      <c r="I540" s="0" t="n">
        <v>854.53</v>
      </c>
      <c r="J540" s="0" t="n">
        <v>0</v>
      </c>
    </row>
    <row r="541" customFormat="false" ht="15" hidden="false" customHeight="false" outlineLevel="0" collapsed="false">
      <c r="A541" s="0" t="s">
        <v>1012</v>
      </c>
      <c r="B541" s="0" t="s">
        <v>1013</v>
      </c>
      <c r="C541" s="0" t="s">
        <v>1014</v>
      </c>
      <c r="D541" s="0" t="s">
        <v>32</v>
      </c>
      <c r="E541" s="0" t="s">
        <v>46</v>
      </c>
      <c r="F541" s="0" t="s">
        <v>57</v>
      </c>
      <c r="G541" s="0" t="s">
        <v>140</v>
      </c>
      <c r="H541" s="0" t="s">
        <v>36</v>
      </c>
      <c r="I541" s="0" t="n">
        <v>397</v>
      </c>
      <c r="J541" s="0" t="n">
        <v>0.2</v>
      </c>
      <c r="K541" s="0" t="n">
        <v>15</v>
      </c>
    </row>
    <row r="542" customFormat="false" ht="15" hidden="false" customHeight="false" outlineLevel="0" collapsed="false">
      <c r="A542" s="0" t="s">
        <v>1015</v>
      </c>
      <c r="B542" s="0" t="s">
        <v>728</v>
      </c>
      <c r="C542" s="0" t="s">
        <v>925</v>
      </c>
      <c r="D542" s="0" t="s">
        <v>32</v>
      </c>
      <c r="E542" s="0" t="s">
        <v>46</v>
      </c>
      <c r="F542" s="0" t="s">
        <v>89</v>
      </c>
      <c r="G542" s="0" t="s">
        <v>35</v>
      </c>
      <c r="H542" s="0" t="s">
        <v>36</v>
      </c>
      <c r="I542" s="0" t="n">
        <v>111.68</v>
      </c>
      <c r="J542" s="0" t="n">
        <v>0</v>
      </c>
      <c r="K542" s="0" t="n">
        <v>24</v>
      </c>
    </row>
    <row r="543" customFormat="false" ht="15" hidden="false" customHeight="false" outlineLevel="0" collapsed="false">
      <c r="A543" s="0" t="s">
        <v>1016</v>
      </c>
      <c r="B543" s="0" t="s">
        <v>1017</v>
      </c>
      <c r="D543" s="0" t="s">
        <v>78</v>
      </c>
      <c r="E543" s="0" t="s">
        <v>46</v>
      </c>
      <c r="F543" s="0" t="s">
        <v>47</v>
      </c>
      <c r="G543" s="0" t="s">
        <v>117</v>
      </c>
      <c r="H543" s="0" t="s">
        <v>80</v>
      </c>
      <c r="I543" s="0" t="n">
        <v>124.25</v>
      </c>
      <c r="J543" s="0" t="n">
        <v>0</v>
      </c>
    </row>
    <row r="544" customFormat="false" ht="15" hidden="false" customHeight="false" outlineLevel="0" collapsed="false">
      <c r="A544" s="0" t="s">
        <v>1018</v>
      </c>
      <c r="B544" s="0" t="s">
        <v>133</v>
      </c>
      <c r="D544" s="0" t="s">
        <v>61</v>
      </c>
      <c r="E544" s="0" t="s">
        <v>33</v>
      </c>
      <c r="F544" s="0" t="s">
        <v>129</v>
      </c>
      <c r="G544" s="0" t="s">
        <v>74</v>
      </c>
      <c r="H544" s="0" t="s">
        <v>62</v>
      </c>
      <c r="I544" s="0" t="n">
        <v>822.48</v>
      </c>
      <c r="J544" s="0" t="n">
        <v>0.15</v>
      </c>
    </row>
    <row r="545" customFormat="false" ht="15" hidden="false" customHeight="false" outlineLevel="0" collapsed="false">
      <c r="A545" s="0" t="s">
        <v>1019</v>
      </c>
      <c r="B545" s="0" t="s">
        <v>743</v>
      </c>
      <c r="C545" s="0" t="s">
        <v>1020</v>
      </c>
      <c r="D545" s="0" t="s">
        <v>40</v>
      </c>
      <c r="E545" s="0" t="s">
        <v>46</v>
      </c>
      <c r="F545" s="0" t="s">
        <v>34</v>
      </c>
      <c r="G545" s="0" t="s">
        <v>58</v>
      </c>
      <c r="H545" s="0" t="s">
        <v>36</v>
      </c>
      <c r="I545" s="0" t="n">
        <v>265.92</v>
      </c>
      <c r="J545" s="0" t="n">
        <v>0</v>
      </c>
      <c r="K545" s="0" t="n">
        <v>22</v>
      </c>
    </row>
    <row r="546" customFormat="false" ht="15" hidden="false" customHeight="false" outlineLevel="0" collapsed="false">
      <c r="A546" s="0" t="s">
        <v>1021</v>
      </c>
      <c r="B546" s="0" t="s">
        <v>189</v>
      </c>
      <c r="D546" s="0" t="s">
        <v>40</v>
      </c>
      <c r="E546" s="0" t="s">
        <v>46</v>
      </c>
      <c r="F546" s="0" t="s">
        <v>73</v>
      </c>
      <c r="G546" s="0" t="s">
        <v>53</v>
      </c>
      <c r="H546" s="0" t="s">
        <v>75</v>
      </c>
      <c r="I546" s="0" t="n">
        <v>137.89</v>
      </c>
      <c r="J546" s="0" t="n">
        <v>0</v>
      </c>
    </row>
    <row r="547" customFormat="false" ht="15" hidden="false" customHeight="false" outlineLevel="0" collapsed="false">
      <c r="A547" s="0" t="s">
        <v>1022</v>
      </c>
      <c r="B547" s="0" t="s">
        <v>270</v>
      </c>
      <c r="C547" s="0" t="s">
        <v>149</v>
      </c>
      <c r="D547" s="0" t="s">
        <v>95</v>
      </c>
      <c r="E547" s="0" t="s">
        <v>66</v>
      </c>
      <c r="F547" s="0" t="s">
        <v>34</v>
      </c>
      <c r="G547" s="0" t="s">
        <v>117</v>
      </c>
      <c r="H547" s="0" t="s">
        <v>36</v>
      </c>
      <c r="I547" s="0" t="n">
        <v>1563.24</v>
      </c>
      <c r="J547" s="0" t="n">
        <v>0.2</v>
      </c>
      <c r="K547" s="0" t="n">
        <v>30</v>
      </c>
    </row>
    <row r="548" customFormat="false" ht="15" hidden="false" customHeight="false" outlineLevel="0" collapsed="false">
      <c r="A548" s="0" t="s">
        <v>1023</v>
      </c>
      <c r="B548" s="0" t="s">
        <v>1024</v>
      </c>
      <c r="D548" s="0" t="s">
        <v>78</v>
      </c>
      <c r="E548" s="0" t="s">
        <v>33</v>
      </c>
      <c r="F548" s="0" t="s">
        <v>129</v>
      </c>
      <c r="G548" s="0" t="s">
        <v>41</v>
      </c>
      <c r="H548" s="0" t="s">
        <v>75</v>
      </c>
      <c r="I548" s="0" t="n">
        <v>855.74</v>
      </c>
      <c r="J548" s="0" t="n">
        <v>0</v>
      </c>
    </row>
    <row r="549" customFormat="false" ht="15" hidden="false" customHeight="false" outlineLevel="0" collapsed="false">
      <c r="A549" s="0" t="s">
        <v>1025</v>
      </c>
      <c r="B549" s="0" t="s">
        <v>113</v>
      </c>
      <c r="C549" s="0" t="s">
        <v>187</v>
      </c>
      <c r="D549" s="0" t="s">
        <v>40</v>
      </c>
      <c r="E549" s="0" t="s">
        <v>46</v>
      </c>
      <c r="F549" s="0" t="s">
        <v>73</v>
      </c>
      <c r="G549" s="0" t="s">
        <v>41</v>
      </c>
      <c r="H549" s="0" t="s">
        <v>42</v>
      </c>
      <c r="I549" s="0" t="n">
        <v>114.36</v>
      </c>
      <c r="J549" s="0" t="n">
        <v>0.15</v>
      </c>
      <c r="K549" s="0" t="n">
        <v>41</v>
      </c>
    </row>
    <row r="550" customFormat="false" ht="15" hidden="false" customHeight="false" outlineLevel="0" collapsed="false">
      <c r="A550" s="0" t="s">
        <v>1026</v>
      </c>
      <c r="B550" s="0" t="s">
        <v>94</v>
      </c>
      <c r="C550" s="0" t="s">
        <v>490</v>
      </c>
      <c r="D550" s="0" t="s">
        <v>86</v>
      </c>
      <c r="E550" s="0" t="s">
        <v>114</v>
      </c>
      <c r="F550" s="0" t="s">
        <v>34</v>
      </c>
      <c r="G550" s="0" t="s">
        <v>117</v>
      </c>
      <c r="H550" s="0" t="s">
        <v>36</v>
      </c>
      <c r="I550" s="0" t="n">
        <v>736.84</v>
      </c>
      <c r="J550" s="0" t="n">
        <v>0</v>
      </c>
      <c r="K550" s="0" t="n">
        <v>15</v>
      </c>
    </row>
    <row r="551" customFormat="false" ht="15" hidden="false" customHeight="false" outlineLevel="0" collapsed="false">
      <c r="A551" s="0" t="s">
        <v>1027</v>
      </c>
      <c r="B551" s="0" t="s">
        <v>923</v>
      </c>
      <c r="D551" s="0" t="s">
        <v>61</v>
      </c>
      <c r="E551" s="0" t="s">
        <v>46</v>
      </c>
      <c r="F551" s="0" t="s">
        <v>89</v>
      </c>
      <c r="G551" s="0" t="s">
        <v>74</v>
      </c>
      <c r="H551" s="0" t="s">
        <v>75</v>
      </c>
      <c r="I551" s="0" t="n">
        <v>254</v>
      </c>
      <c r="J551" s="0" t="n">
        <v>0.2</v>
      </c>
    </row>
    <row r="552" customFormat="false" ht="15" hidden="false" customHeight="false" outlineLevel="0" collapsed="false">
      <c r="A552" s="0" t="s">
        <v>1028</v>
      </c>
      <c r="B552" s="0" t="s">
        <v>200</v>
      </c>
      <c r="C552" s="0" t="s">
        <v>720</v>
      </c>
      <c r="D552" s="0" t="s">
        <v>61</v>
      </c>
      <c r="E552" s="0" t="s">
        <v>33</v>
      </c>
      <c r="F552" s="0" t="s">
        <v>129</v>
      </c>
      <c r="H552" s="0" t="s">
        <v>36</v>
      </c>
      <c r="I552" s="0" t="n">
        <v>2349.15</v>
      </c>
      <c r="J552" s="0" t="n">
        <v>0</v>
      </c>
      <c r="K552" s="0" t="n">
        <v>25</v>
      </c>
    </row>
    <row r="553" customFormat="false" ht="15" hidden="false" customHeight="false" outlineLevel="0" collapsed="false">
      <c r="A553" s="0" t="s">
        <v>1029</v>
      </c>
      <c r="B553" s="0" t="s">
        <v>283</v>
      </c>
      <c r="D553" s="0" t="s">
        <v>95</v>
      </c>
      <c r="E553" s="0" t="s">
        <v>46</v>
      </c>
      <c r="F553" s="0" t="s">
        <v>34</v>
      </c>
      <c r="G553" s="0" t="s">
        <v>53</v>
      </c>
      <c r="H553" s="0" t="s">
        <v>80</v>
      </c>
      <c r="I553" s="0" t="n">
        <v>133.13</v>
      </c>
      <c r="J553" s="0" t="n">
        <v>0.05</v>
      </c>
    </row>
    <row r="554" customFormat="false" ht="15" hidden="false" customHeight="false" outlineLevel="0" collapsed="false">
      <c r="A554" s="0" t="s">
        <v>1030</v>
      </c>
      <c r="B554" s="0" t="s">
        <v>262</v>
      </c>
      <c r="D554" s="0" t="s">
        <v>61</v>
      </c>
      <c r="E554" s="0" t="s">
        <v>72</v>
      </c>
      <c r="F554" s="0" t="s">
        <v>129</v>
      </c>
      <c r="G554" s="0" t="s">
        <v>53</v>
      </c>
      <c r="H554" s="0" t="s">
        <v>80</v>
      </c>
      <c r="I554" s="0" t="n">
        <v>648.02</v>
      </c>
      <c r="J554" s="0" t="n">
        <v>0</v>
      </c>
    </row>
    <row r="555" customFormat="false" ht="15" hidden="false" customHeight="false" outlineLevel="0" collapsed="false">
      <c r="A555" s="0" t="s">
        <v>1031</v>
      </c>
      <c r="B555" s="0" t="s">
        <v>1032</v>
      </c>
      <c r="D555" s="0" t="s">
        <v>32</v>
      </c>
      <c r="E555" s="0" t="s">
        <v>52</v>
      </c>
      <c r="F555" s="0" t="s">
        <v>89</v>
      </c>
      <c r="H555" s="0" t="s">
        <v>80</v>
      </c>
      <c r="I555" s="0" t="n">
        <v>1611.71</v>
      </c>
      <c r="J555" s="0" t="n">
        <v>0.15</v>
      </c>
    </row>
    <row r="556" customFormat="false" ht="15" hidden="false" customHeight="false" outlineLevel="0" collapsed="false">
      <c r="A556" s="0" t="s">
        <v>1033</v>
      </c>
      <c r="B556" s="0" t="s">
        <v>97</v>
      </c>
      <c r="D556" s="0" t="s">
        <v>40</v>
      </c>
      <c r="E556" s="0" t="s">
        <v>52</v>
      </c>
      <c r="F556" s="0" t="s">
        <v>47</v>
      </c>
      <c r="G556" s="0" t="s">
        <v>53</v>
      </c>
      <c r="H556" s="0" t="s">
        <v>80</v>
      </c>
      <c r="I556" s="0" t="n">
        <v>1504.25</v>
      </c>
      <c r="J556" s="0" t="n">
        <v>0.2</v>
      </c>
    </row>
    <row r="557" customFormat="false" ht="15" hidden="false" customHeight="false" outlineLevel="0" collapsed="false">
      <c r="A557" s="0" t="s">
        <v>1034</v>
      </c>
      <c r="B557" s="0" t="s">
        <v>992</v>
      </c>
      <c r="C557" s="0" t="s">
        <v>1035</v>
      </c>
      <c r="D557" s="0" t="s">
        <v>86</v>
      </c>
      <c r="E557" s="0" t="s">
        <v>52</v>
      </c>
      <c r="F557" s="0" t="s">
        <v>34</v>
      </c>
      <c r="G557" s="0" t="s">
        <v>69</v>
      </c>
      <c r="H557" s="0" t="s">
        <v>36</v>
      </c>
      <c r="I557" s="0" t="n">
        <v>499.9</v>
      </c>
      <c r="J557" s="0" t="n">
        <v>0.05</v>
      </c>
      <c r="K557" s="0" t="n">
        <v>23</v>
      </c>
    </row>
    <row r="558" customFormat="false" ht="15" hidden="false" customHeight="false" outlineLevel="0" collapsed="false">
      <c r="A558" s="0" t="s">
        <v>1036</v>
      </c>
      <c r="B558" s="0" t="s">
        <v>840</v>
      </c>
      <c r="C558" s="0" t="s">
        <v>216</v>
      </c>
      <c r="D558" s="0" t="s">
        <v>78</v>
      </c>
      <c r="E558" s="0" t="s">
        <v>46</v>
      </c>
      <c r="F558" s="0" t="s">
        <v>47</v>
      </c>
      <c r="G558" s="0" t="s">
        <v>69</v>
      </c>
      <c r="H558" s="0" t="s">
        <v>42</v>
      </c>
      <c r="I558" s="0" t="n">
        <v>119.16</v>
      </c>
      <c r="J558" s="0" t="n">
        <v>0.15</v>
      </c>
      <c r="K558" s="0" t="n">
        <v>12</v>
      </c>
    </row>
    <row r="559" customFormat="false" ht="15" hidden="false" customHeight="false" outlineLevel="0" collapsed="false">
      <c r="A559" s="0" t="s">
        <v>1037</v>
      </c>
      <c r="B559" s="0" t="s">
        <v>283</v>
      </c>
      <c r="C559" s="0" t="s">
        <v>732</v>
      </c>
      <c r="D559" s="0" t="s">
        <v>86</v>
      </c>
      <c r="E559" s="0" t="s">
        <v>66</v>
      </c>
      <c r="F559" s="0" t="s">
        <v>34</v>
      </c>
      <c r="G559" s="0" t="s">
        <v>117</v>
      </c>
      <c r="H559" s="0" t="s">
        <v>42</v>
      </c>
      <c r="I559" s="0" t="n">
        <v>692.22</v>
      </c>
      <c r="J559" s="0" t="n">
        <v>0</v>
      </c>
      <c r="K559" s="0" t="n">
        <v>30</v>
      </c>
    </row>
    <row r="560" customFormat="false" ht="15" hidden="false" customHeight="false" outlineLevel="0" collapsed="false">
      <c r="A560" s="0" t="s">
        <v>1038</v>
      </c>
      <c r="B560" s="0" t="s">
        <v>891</v>
      </c>
      <c r="C560" s="0" t="s">
        <v>283</v>
      </c>
      <c r="D560" s="0" t="s">
        <v>78</v>
      </c>
      <c r="E560" s="0" t="s">
        <v>114</v>
      </c>
      <c r="F560" s="0" t="s">
        <v>57</v>
      </c>
      <c r="G560" s="0" t="s">
        <v>74</v>
      </c>
      <c r="H560" s="0" t="s">
        <v>36</v>
      </c>
      <c r="I560" s="0" t="n">
        <v>624.96</v>
      </c>
      <c r="J560" s="0" t="n">
        <v>0.1</v>
      </c>
      <c r="K560" s="0" t="n">
        <v>25</v>
      </c>
    </row>
    <row r="561" customFormat="false" ht="15" hidden="false" customHeight="false" outlineLevel="0" collapsed="false">
      <c r="A561" s="0" t="s">
        <v>1039</v>
      </c>
      <c r="B561" s="0" t="s">
        <v>780</v>
      </c>
      <c r="C561" s="0" t="s">
        <v>684</v>
      </c>
      <c r="D561" s="0" t="s">
        <v>32</v>
      </c>
      <c r="E561" s="0" t="s">
        <v>66</v>
      </c>
      <c r="F561" s="0" t="s">
        <v>57</v>
      </c>
      <c r="G561" s="0" t="s">
        <v>35</v>
      </c>
      <c r="H561" s="0" t="s">
        <v>36</v>
      </c>
      <c r="I561" s="0" t="n">
        <v>741.04</v>
      </c>
      <c r="J561" s="0" t="n">
        <v>0</v>
      </c>
      <c r="K561" s="0" t="n">
        <v>21</v>
      </c>
    </row>
    <row r="562" customFormat="false" ht="15" hidden="false" customHeight="false" outlineLevel="0" collapsed="false">
      <c r="A562" s="0" t="s">
        <v>1040</v>
      </c>
      <c r="B562" s="0" t="s">
        <v>1041</v>
      </c>
      <c r="D562" s="0" t="s">
        <v>61</v>
      </c>
      <c r="E562" s="0" t="s">
        <v>46</v>
      </c>
      <c r="F562" s="0" t="s">
        <v>47</v>
      </c>
      <c r="G562" s="0" t="s">
        <v>58</v>
      </c>
      <c r="H562" s="0" t="s">
        <v>75</v>
      </c>
      <c r="I562" s="0" t="n">
        <v>334.35</v>
      </c>
      <c r="J562" s="0" t="n">
        <v>0.15</v>
      </c>
    </row>
    <row r="563" customFormat="false" ht="15" hidden="false" customHeight="false" outlineLevel="0" collapsed="false">
      <c r="A563" s="0" t="s">
        <v>1042</v>
      </c>
      <c r="B563" s="0" t="s">
        <v>260</v>
      </c>
      <c r="C563" s="0" t="s">
        <v>197</v>
      </c>
      <c r="D563" s="0" t="s">
        <v>40</v>
      </c>
      <c r="E563" s="0" t="s">
        <v>72</v>
      </c>
      <c r="F563" s="0" t="s">
        <v>73</v>
      </c>
      <c r="G563" s="0" t="s">
        <v>74</v>
      </c>
      <c r="H563" s="0" t="s">
        <v>42</v>
      </c>
      <c r="I563" s="0" t="n">
        <v>328.94</v>
      </c>
      <c r="J563" s="0" t="n">
        <v>0.1</v>
      </c>
      <c r="K563" s="0" t="n">
        <v>19</v>
      </c>
    </row>
    <row r="564" customFormat="false" ht="15" hidden="false" customHeight="false" outlineLevel="0" collapsed="false">
      <c r="A564" s="0" t="s">
        <v>1043</v>
      </c>
      <c r="B564" s="0" t="s">
        <v>339</v>
      </c>
      <c r="C564" s="0" t="s">
        <v>1044</v>
      </c>
      <c r="D564" s="0" t="s">
        <v>78</v>
      </c>
      <c r="E564" s="0" t="s">
        <v>33</v>
      </c>
      <c r="F564" s="0" t="s">
        <v>57</v>
      </c>
      <c r="G564" s="0" t="s">
        <v>140</v>
      </c>
      <c r="H564" s="0" t="s">
        <v>36</v>
      </c>
      <c r="I564" s="0" t="n">
        <v>2699.92</v>
      </c>
      <c r="J564" s="0" t="n">
        <v>0.15</v>
      </c>
      <c r="K564" s="0" t="n">
        <v>4</v>
      </c>
    </row>
    <row r="565" customFormat="false" ht="15" hidden="false" customHeight="false" outlineLevel="0" collapsed="false">
      <c r="A565" s="0" t="s">
        <v>1045</v>
      </c>
      <c r="B565" s="0" t="s">
        <v>1046</v>
      </c>
      <c r="D565" s="0" t="s">
        <v>61</v>
      </c>
      <c r="E565" s="0" t="s">
        <v>114</v>
      </c>
      <c r="F565" s="0" t="s">
        <v>57</v>
      </c>
      <c r="G565" s="0" t="s">
        <v>140</v>
      </c>
      <c r="H565" s="0" t="s">
        <v>75</v>
      </c>
      <c r="I565" s="0" t="n">
        <v>1373.69</v>
      </c>
      <c r="J565" s="0" t="n">
        <v>0.15</v>
      </c>
    </row>
    <row r="566" customFormat="false" ht="15" hidden="false" customHeight="false" outlineLevel="0" collapsed="false">
      <c r="A566" s="0" t="s">
        <v>1047</v>
      </c>
      <c r="B566" s="0" t="s">
        <v>1048</v>
      </c>
      <c r="C566" s="0" t="s">
        <v>1049</v>
      </c>
      <c r="D566" s="0" t="s">
        <v>32</v>
      </c>
      <c r="E566" s="0" t="s">
        <v>66</v>
      </c>
      <c r="F566" s="0" t="s">
        <v>79</v>
      </c>
      <c r="G566" s="0" t="s">
        <v>69</v>
      </c>
      <c r="H566" s="0" t="s">
        <v>42</v>
      </c>
      <c r="I566" s="0" t="n">
        <v>2185.88</v>
      </c>
      <c r="J566" s="0" t="n">
        <v>0.05</v>
      </c>
      <c r="K566" s="0" t="n">
        <v>7</v>
      </c>
    </row>
    <row r="567" customFormat="false" ht="15" hidden="false" customHeight="false" outlineLevel="0" collapsed="false">
      <c r="A567" s="0" t="s">
        <v>1050</v>
      </c>
      <c r="B567" s="0" t="s">
        <v>465</v>
      </c>
      <c r="C567" s="0" t="s">
        <v>978</v>
      </c>
      <c r="D567" s="0" t="s">
        <v>51</v>
      </c>
      <c r="E567" s="0" t="s">
        <v>72</v>
      </c>
      <c r="F567" s="0" t="s">
        <v>47</v>
      </c>
      <c r="G567" s="0" t="s">
        <v>53</v>
      </c>
      <c r="H567" s="0" t="s">
        <v>42</v>
      </c>
      <c r="I567" s="0" t="n">
        <v>377.35</v>
      </c>
      <c r="J567" s="0" t="n">
        <v>0.1</v>
      </c>
      <c r="K567" s="0" t="n">
        <v>20</v>
      </c>
    </row>
    <row r="568" customFormat="false" ht="15" hidden="false" customHeight="false" outlineLevel="0" collapsed="false">
      <c r="A568" s="0" t="s">
        <v>1051</v>
      </c>
      <c r="B568" s="0" t="s">
        <v>111</v>
      </c>
      <c r="C568" s="0" t="s">
        <v>591</v>
      </c>
      <c r="D568" s="0" t="s">
        <v>61</v>
      </c>
      <c r="E568" s="0" t="s">
        <v>114</v>
      </c>
      <c r="F568" s="0" t="s">
        <v>47</v>
      </c>
      <c r="G568" s="0" t="s">
        <v>140</v>
      </c>
      <c r="H568" s="0" t="s">
        <v>36</v>
      </c>
      <c r="I568" s="0" t="n">
        <v>594.18</v>
      </c>
      <c r="J568" s="0" t="n">
        <v>0</v>
      </c>
      <c r="K568" s="0" t="n">
        <v>3</v>
      </c>
    </row>
    <row r="569" customFormat="false" ht="15" hidden="false" customHeight="false" outlineLevel="0" collapsed="false">
      <c r="A569" s="0" t="s">
        <v>1052</v>
      </c>
      <c r="B569" s="0" t="s">
        <v>1053</v>
      </c>
      <c r="C569" s="0" t="s">
        <v>230</v>
      </c>
      <c r="D569" s="0" t="s">
        <v>86</v>
      </c>
      <c r="E569" s="0" t="s">
        <v>33</v>
      </c>
      <c r="F569" s="0" t="s">
        <v>47</v>
      </c>
      <c r="G569" s="0" t="s">
        <v>35</v>
      </c>
      <c r="H569" s="0" t="s">
        <v>36</v>
      </c>
      <c r="I569" s="0" t="n">
        <v>810.03</v>
      </c>
      <c r="J569" s="0" t="n">
        <v>0</v>
      </c>
      <c r="K569" s="0" t="n">
        <v>27</v>
      </c>
    </row>
    <row r="570" customFormat="false" ht="15" hidden="false" customHeight="false" outlineLevel="0" collapsed="false">
      <c r="A570" s="0" t="s">
        <v>1054</v>
      </c>
      <c r="B570" s="0" t="s">
        <v>488</v>
      </c>
      <c r="C570" s="0" t="s">
        <v>378</v>
      </c>
      <c r="D570" s="0" t="s">
        <v>95</v>
      </c>
      <c r="E570" s="0" t="s">
        <v>46</v>
      </c>
      <c r="F570" s="0" t="s">
        <v>73</v>
      </c>
      <c r="G570" s="0" t="s">
        <v>69</v>
      </c>
      <c r="H570" s="0" t="s">
        <v>36</v>
      </c>
      <c r="I570" s="0" t="n">
        <v>361.62</v>
      </c>
      <c r="J570" s="0" t="n">
        <v>0</v>
      </c>
      <c r="K570" s="0" t="n">
        <v>17</v>
      </c>
    </row>
    <row r="571" customFormat="false" ht="15" hidden="false" customHeight="false" outlineLevel="0" collapsed="false">
      <c r="A571" s="0" t="s">
        <v>1055</v>
      </c>
      <c r="B571" s="0" t="s">
        <v>597</v>
      </c>
      <c r="C571" s="0" t="s">
        <v>418</v>
      </c>
      <c r="D571" s="0" t="s">
        <v>61</v>
      </c>
      <c r="E571" s="0" t="s">
        <v>72</v>
      </c>
      <c r="F571" s="0" t="s">
        <v>73</v>
      </c>
      <c r="G571" s="0" t="s">
        <v>58</v>
      </c>
      <c r="H571" s="0" t="s">
        <v>42</v>
      </c>
      <c r="I571" s="0" t="n">
        <v>341.1</v>
      </c>
      <c r="J571" s="0" t="n">
        <v>0.15</v>
      </c>
      <c r="K571" s="0" t="n">
        <v>24</v>
      </c>
    </row>
    <row r="572" customFormat="false" ht="15" hidden="false" customHeight="false" outlineLevel="0" collapsed="false">
      <c r="A572" s="0" t="s">
        <v>1056</v>
      </c>
      <c r="B572" s="0" t="s">
        <v>604</v>
      </c>
      <c r="C572" s="0" t="s">
        <v>97</v>
      </c>
      <c r="D572" s="0" t="s">
        <v>51</v>
      </c>
      <c r="E572" s="0" t="s">
        <v>66</v>
      </c>
      <c r="F572" s="0" t="s">
        <v>34</v>
      </c>
      <c r="G572" s="0" t="s">
        <v>58</v>
      </c>
      <c r="H572" s="0" t="s">
        <v>36</v>
      </c>
      <c r="I572" s="0" t="n">
        <v>771.04</v>
      </c>
      <c r="J572" s="0" t="n">
        <v>0</v>
      </c>
      <c r="K572" s="0" t="n">
        <v>24</v>
      </c>
    </row>
    <row r="573" customFormat="false" ht="15" hidden="false" customHeight="false" outlineLevel="0" collapsed="false">
      <c r="A573" s="0" t="s">
        <v>1057</v>
      </c>
      <c r="B573" s="0" t="s">
        <v>254</v>
      </c>
      <c r="D573" s="0" t="s">
        <v>95</v>
      </c>
      <c r="E573" s="0" t="s">
        <v>66</v>
      </c>
      <c r="F573" s="0" t="s">
        <v>89</v>
      </c>
      <c r="G573" s="0" t="s">
        <v>58</v>
      </c>
      <c r="H573" s="0" t="s">
        <v>80</v>
      </c>
      <c r="I573" s="0" t="n">
        <v>782.99</v>
      </c>
      <c r="J573" s="0" t="n">
        <v>0.15</v>
      </c>
    </row>
    <row r="574" customFormat="false" ht="15" hidden="false" customHeight="false" outlineLevel="0" collapsed="false">
      <c r="A574" s="0" t="s">
        <v>1058</v>
      </c>
      <c r="B574" s="0" t="s">
        <v>1059</v>
      </c>
      <c r="C574" s="0" t="s">
        <v>450</v>
      </c>
      <c r="D574" s="0" t="s">
        <v>822</v>
      </c>
      <c r="E574" s="0" t="s">
        <v>46</v>
      </c>
      <c r="F574" s="0" t="s">
        <v>89</v>
      </c>
      <c r="G574" s="0" t="s">
        <v>35</v>
      </c>
      <c r="H574" s="0" t="s">
        <v>36</v>
      </c>
      <c r="I574" s="0" t="n">
        <v>126.41</v>
      </c>
      <c r="J574" s="0" t="n">
        <v>0.1</v>
      </c>
      <c r="K574" s="0" t="n">
        <v>12</v>
      </c>
    </row>
    <row r="575" customFormat="false" ht="15" hidden="false" customHeight="false" outlineLevel="0" collapsed="false">
      <c r="A575" s="0" t="s">
        <v>1060</v>
      </c>
      <c r="B575" s="0" t="s">
        <v>520</v>
      </c>
      <c r="D575" s="0" t="s">
        <v>32</v>
      </c>
      <c r="E575" s="0" t="s">
        <v>52</v>
      </c>
      <c r="F575" s="0" t="s">
        <v>34</v>
      </c>
      <c r="G575" s="0" t="s">
        <v>140</v>
      </c>
      <c r="H575" s="0" t="s">
        <v>75</v>
      </c>
      <c r="I575" s="0" t="n">
        <v>539.29</v>
      </c>
      <c r="J575" s="0" t="n">
        <v>0</v>
      </c>
    </row>
    <row r="576" customFormat="false" ht="15" hidden="false" customHeight="false" outlineLevel="0" collapsed="false">
      <c r="A576" s="0" t="s">
        <v>1061</v>
      </c>
      <c r="B576" s="0" t="s">
        <v>687</v>
      </c>
      <c r="C576" s="0" t="s">
        <v>199</v>
      </c>
      <c r="D576" s="0" t="s">
        <v>40</v>
      </c>
      <c r="E576" s="0" t="s">
        <v>72</v>
      </c>
      <c r="F576" s="0" t="s">
        <v>73</v>
      </c>
      <c r="G576" s="0" t="s">
        <v>69</v>
      </c>
      <c r="H576" s="0" t="s">
        <v>36</v>
      </c>
      <c r="I576" s="0" t="n">
        <v>369.93</v>
      </c>
      <c r="J576" s="0" t="n">
        <v>0</v>
      </c>
      <c r="K576" s="0" t="n">
        <v>6</v>
      </c>
    </row>
    <row r="577" customFormat="false" ht="15" hidden="false" customHeight="false" outlineLevel="0" collapsed="false">
      <c r="A577" s="0" t="s">
        <v>1062</v>
      </c>
      <c r="B577" s="0" t="s">
        <v>332</v>
      </c>
      <c r="C577" s="0" t="s">
        <v>1063</v>
      </c>
      <c r="D577" s="0" t="s">
        <v>40</v>
      </c>
      <c r="E577" s="0" t="s">
        <v>114</v>
      </c>
      <c r="F577" s="0" t="s">
        <v>89</v>
      </c>
      <c r="G577" s="0" t="s">
        <v>69</v>
      </c>
      <c r="H577" s="0" t="s">
        <v>42</v>
      </c>
      <c r="I577" s="0" t="n">
        <v>1252</v>
      </c>
      <c r="J577" s="0" t="n">
        <v>0.15</v>
      </c>
      <c r="K577" s="0" t="n">
        <v>23</v>
      </c>
    </row>
    <row r="578" customFormat="false" ht="15" hidden="false" customHeight="false" outlineLevel="0" collapsed="false">
      <c r="A578" s="0" t="s">
        <v>1064</v>
      </c>
      <c r="B578" s="0" t="s">
        <v>356</v>
      </c>
      <c r="C578" s="0" t="s">
        <v>120</v>
      </c>
      <c r="D578" s="0" t="s">
        <v>86</v>
      </c>
      <c r="E578" s="0" t="s">
        <v>52</v>
      </c>
      <c r="F578" s="0" t="s">
        <v>47</v>
      </c>
      <c r="G578" s="0" t="s">
        <v>41</v>
      </c>
      <c r="H578" s="0" t="s">
        <v>36</v>
      </c>
      <c r="I578" s="0" t="n">
        <v>583.34</v>
      </c>
      <c r="J578" s="0" t="n">
        <v>0</v>
      </c>
      <c r="K578" s="0" t="n">
        <v>22</v>
      </c>
    </row>
    <row r="579" customFormat="false" ht="15" hidden="false" customHeight="false" outlineLevel="0" collapsed="false">
      <c r="A579" s="0" t="s">
        <v>1065</v>
      </c>
      <c r="B579" s="0" t="s">
        <v>286</v>
      </c>
      <c r="C579" s="0" t="s">
        <v>278</v>
      </c>
      <c r="D579" s="0" t="s">
        <v>32</v>
      </c>
      <c r="E579" s="0" t="s">
        <v>66</v>
      </c>
      <c r="F579" s="0" t="s">
        <v>89</v>
      </c>
      <c r="G579" s="0" t="s">
        <v>53</v>
      </c>
      <c r="H579" s="0" t="s">
        <v>36</v>
      </c>
      <c r="I579" s="0" t="n">
        <v>738.96</v>
      </c>
      <c r="J579" s="0" t="n">
        <v>0.2</v>
      </c>
      <c r="K579" s="0" t="n">
        <v>13</v>
      </c>
    </row>
    <row r="580" customFormat="false" ht="15" hidden="false" customHeight="false" outlineLevel="0" collapsed="false">
      <c r="A580" s="0" t="s">
        <v>1066</v>
      </c>
      <c r="B580" s="0" t="s">
        <v>433</v>
      </c>
      <c r="C580" s="0" t="s">
        <v>284</v>
      </c>
      <c r="D580" s="0" t="s">
        <v>51</v>
      </c>
      <c r="E580" s="0" t="s">
        <v>52</v>
      </c>
      <c r="F580" s="0" t="s">
        <v>129</v>
      </c>
      <c r="G580" s="0" t="s">
        <v>117</v>
      </c>
      <c r="H580" s="0" t="s">
        <v>42</v>
      </c>
      <c r="I580" s="0" t="n">
        <v>553.19</v>
      </c>
      <c r="J580" s="0" t="n">
        <v>0.2</v>
      </c>
      <c r="K580" s="0" t="n">
        <v>26</v>
      </c>
    </row>
    <row r="581" customFormat="false" ht="15" hidden="false" customHeight="false" outlineLevel="0" collapsed="false">
      <c r="A581" s="0" t="s">
        <v>1067</v>
      </c>
      <c r="B581" s="0" t="s">
        <v>356</v>
      </c>
      <c r="D581" s="0" t="s">
        <v>32</v>
      </c>
      <c r="E581" s="0" t="s">
        <v>33</v>
      </c>
      <c r="F581" s="0" t="s">
        <v>34</v>
      </c>
      <c r="G581" s="0" t="s">
        <v>74</v>
      </c>
      <c r="H581" s="0" t="s">
        <v>62</v>
      </c>
      <c r="I581" s="0" t="n">
        <v>955.77</v>
      </c>
      <c r="J581" s="0" t="n">
        <v>0</v>
      </c>
    </row>
    <row r="582" customFormat="false" ht="15" hidden="false" customHeight="false" outlineLevel="0" collapsed="false">
      <c r="A582" s="0" t="s">
        <v>1068</v>
      </c>
      <c r="B582" s="0" t="s">
        <v>992</v>
      </c>
      <c r="C582" s="0" t="s">
        <v>586</v>
      </c>
      <c r="D582" s="0" t="s">
        <v>51</v>
      </c>
      <c r="E582" s="0" t="s">
        <v>46</v>
      </c>
      <c r="F582" s="0" t="s">
        <v>73</v>
      </c>
      <c r="G582" s="0" t="s">
        <v>35</v>
      </c>
      <c r="H582" s="0" t="s">
        <v>42</v>
      </c>
      <c r="I582" s="0" t="n">
        <v>358.49</v>
      </c>
      <c r="J582" s="0" t="n">
        <v>0</v>
      </c>
      <c r="K582" s="0" t="n">
        <v>17</v>
      </c>
    </row>
    <row r="583" customFormat="false" ht="15" hidden="false" customHeight="false" outlineLevel="0" collapsed="false">
      <c r="A583" s="0" t="s">
        <v>1069</v>
      </c>
      <c r="B583" s="0" t="s">
        <v>643</v>
      </c>
      <c r="C583" s="0" t="s">
        <v>187</v>
      </c>
      <c r="D583" s="0" t="s">
        <v>61</v>
      </c>
      <c r="E583" s="0" t="s">
        <v>114</v>
      </c>
      <c r="F583" s="0" t="s">
        <v>47</v>
      </c>
      <c r="G583" s="0" t="s">
        <v>35</v>
      </c>
      <c r="H583" s="0" t="s">
        <v>42</v>
      </c>
      <c r="I583" s="0" t="n">
        <v>1403.17</v>
      </c>
      <c r="J583" s="0" t="n">
        <v>0.1</v>
      </c>
      <c r="K583" s="0" t="n">
        <v>34</v>
      </c>
    </row>
    <row r="584" customFormat="false" ht="15" hidden="false" customHeight="false" outlineLevel="0" collapsed="false">
      <c r="A584" s="0" t="s">
        <v>1070</v>
      </c>
      <c r="B584" s="0" t="s">
        <v>701</v>
      </c>
      <c r="C584" s="0" t="s">
        <v>997</v>
      </c>
      <c r="D584" s="0" t="s">
        <v>32</v>
      </c>
      <c r="E584" s="0" t="s">
        <v>114</v>
      </c>
      <c r="F584" s="0" t="s">
        <v>34</v>
      </c>
      <c r="G584" s="0" t="s">
        <v>69</v>
      </c>
      <c r="H584" s="0" t="s">
        <v>36</v>
      </c>
      <c r="I584" s="0" t="n">
        <v>2163.08</v>
      </c>
      <c r="J584" s="0" t="n">
        <v>0</v>
      </c>
      <c r="K584" s="0" t="n">
        <v>20</v>
      </c>
    </row>
    <row r="585" customFormat="false" ht="15" hidden="false" customHeight="false" outlineLevel="0" collapsed="false">
      <c r="A585" s="0" t="s">
        <v>1071</v>
      </c>
      <c r="B585" s="0" t="s">
        <v>714</v>
      </c>
      <c r="C585" s="0" t="s">
        <v>653</v>
      </c>
      <c r="D585" s="0" t="s">
        <v>78</v>
      </c>
      <c r="E585" s="0" t="s">
        <v>66</v>
      </c>
      <c r="F585" s="0" t="s">
        <v>57</v>
      </c>
      <c r="G585" s="0" t="s">
        <v>74</v>
      </c>
      <c r="H585" s="0" t="s">
        <v>42</v>
      </c>
      <c r="I585" s="0" t="n">
        <v>750.37</v>
      </c>
      <c r="J585" s="0" t="n">
        <v>0</v>
      </c>
      <c r="K585" s="0" t="n">
        <v>18</v>
      </c>
    </row>
    <row r="586" customFormat="false" ht="15" hidden="false" customHeight="false" outlineLevel="0" collapsed="false">
      <c r="A586" s="0" t="s">
        <v>1072</v>
      </c>
      <c r="B586" s="0" t="s">
        <v>335</v>
      </c>
      <c r="D586" s="0" t="s">
        <v>51</v>
      </c>
      <c r="E586" s="0" t="s">
        <v>46</v>
      </c>
      <c r="F586" s="0" t="s">
        <v>89</v>
      </c>
      <c r="G586" s="0" t="s">
        <v>140</v>
      </c>
      <c r="H586" s="0" t="s">
        <v>62</v>
      </c>
      <c r="I586" s="0" t="n">
        <v>372.09</v>
      </c>
      <c r="J586" s="0" t="n">
        <v>0.1</v>
      </c>
    </row>
    <row r="587" customFormat="false" ht="15" hidden="false" customHeight="false" outlineLevel="0" collapsed="false">
      <c r="A587" s="0" t="s">
        <v>1073</v>
      </c>
      <c r="B587" s="0" t="s">
        <v>558</v>
      </c>
      <c r="C587" s="0" t="s">
        <v>1074</v>
      </c>
      <c r="D587" s="0" t="s">
        <v>78</v>
      </c>
      <c r="E587" s="0" t="s">
        <v>52</v>
      </c>
      <c r="F587" s="0" t="s">
        <v>34</v>
      </c>
      <c r="G587" s="0" t="s">
        <v>117</v>
      </c>
      <c r="H587" s="0" t="s">
        <v>36</v>
      </c>
      <c r="I587" s="0" t="n">
        <v>583.11</v>
      </c>
      <c r="J587" s="0" t="n">
        <v>0</v>
      </c>
      <c r="K587" s="0" t="n">
        <v>38</v>
      </c>
    </row>
    <row r="588" customFormat="false" ht="15" hidden="false" customHeight="false" outlineLevel="0" collapsed="false">
      <c r="A588" s="0" t="s">
        <v>1075</v>
      </c>
      <c r="B588" s="0" t="s">
        <v>98</v>
      </c>
      <c r="D588" s="0" t="s">
        <v>40</v>
      </c>
      <c r="E588" s="0" t="s">
        <v>66</v>
      </c>
      <c r="F588" s="0" t="s">
        <v>57</v>
      </c>
      <c r="G588" s="0" t="s">
        <v>74</v>
      </c>
      <c r="H588" s="0" t="s">
        <v>80</v>
      </c>
      <c r="I588" s="0" t="n">
        <v>697.87</v>
      </c>
      <c r="J588" s="0" t="n">
        <v>0</v>
      </c>
    </row>
    <row r="589" customFormat="false" ht="15" hidden="false" customHeight="false" outlineLevel="0" collapsed="false">
      <c r="A589" s="0" t="s">
        <v>1076</v>
      </c>
      <c r="B589" s="0" t="s">
        <v>407</v>
      </c>
      <c r="D589" s="0" t="s">
        <v>86</v>
      </c>
      <c r="E589" s="0" t="s">
        <v>72</v>
      </c>
      <c r="F589" s="0" t="s">
        <v>73</v>
      </c>
      <c r="G589" s="0" t="s">
        <v>35</v>
      </c>
      <c r="H589" s="0" t="s">
        <v>62</v>
      </c>
      <c r="I589" s="0" t="n">
        <v>393.18</v>
      </c>
      <c r="J589" s="0" t="n">
        <v>0.1</v>
      </c>
    </row>
    <row r="590" customFormat="false" ht="15" hidden="false" customHeight="false" outlineLevel="0" collapsed="false">
      <c r="A590" s="0" t="s">
        <v>1077</v>
      </c>
      <c r="B590" s="0" t="s">
        <v>710</v>
      </c>
      <c r="C590" s="0" t="s">
        <v>333</v>
      </c>
      <c r="D590" s="0" t="s">
        <v>51</v>
      </c>
      <c r="E590" s="0" t="s">
        <v>52</v>
      </c>
      <c r="F590" s="0" t="s">
        <v>34</v>
      </c>
      <c r="G590" s="0" t="s">
        <v>140</v>
      </c>
      <c r="H590" s="0" t="s">
        <v>36</v>
      </c>
      <c r="I590" s="0" t="n">
        <v>543.98</v>
      </c>
      <c r="J590" s="0" t="n">
        <v>0.05</v>
      </c>
      <c r="K590" s="0" t="n">
        <v>4</v>
      </c>
    </row>
    <row r="591" customFormat="false" ht="15" hidden="false" customHeight="false" outlineLevel="0" collapsed="false">
      <c r="A591" s="0" t="s">
        <v>1078</v>
      </c>
      <c r="B591" s="0" t="s">
        <v>410</v>
      </c>
      <c r="C591" s="0" t="s">
        <v>633</v>
      </c>
      <c r="D591" s="0" t="s">
        <v>61</v>
      </c>
      <c r="E591" s="0" t="s">
        <v>114</v>
      </c>
      <c r="F591" s="0" t="s">
        <v>34</v>
      </c>
      <c r="G591" s="0" t="s">
        <v>35</v>
      </c>
      <c r="H591" s="0" t="s">
        <v>42</v>
      </c>
      <c r="I591" s="0" t="n">
        <v>615.34</v>
      </c>
      <c r="J591" s="0" t="n">
        <v>0.1</v>
      </c>
      <c r="K591" s="0" t="n">
        <v>36</v>
      </c>
    </row>
    <row r="592" customFormat="false" ht="15" hidden="false" customHeight="false" outlineLevel="0" collapsed="false">
      <c r="A592" s="0" t="s">
        <v>1079</v>
      </c>
      <c r="B592" s="0" t="s">
        <v>1080</v>
      </c>
      <c r="D592" s="0" t="s">
        <v>86</v>
      </c>
      <c r="E592" s="0" t="s">
        <v>46</v>
      </c>
      <c r="F592" s="0" t="s">
        <v>73</v>
      </c>
      <c r="G592" s="0" t="s">
        <v>69</v>
      </c>
      <c r="H592" s="0" t="s">
        <v>80</v>
      </c>
      <c r="I592" s="0" t="n">
        <v>136.31</v>
      </c>
      <c r="J592" s="0" t="n">
        <v>0.05</v>
      </c>
    </row>
    <row r="593" customFormat="false" ht="15" hidden="false" customHeight="false" outlineLevel="0" collapsed="false">
      <c r="A593" s="0" t="s">
        <v>1081</v>
      </c>
      <c r="B593" s="0" t="s">
        <v>1082</v>
      </c>
      <c r="C593" s="0" t="s">
        <v>97</v>
      </c>
      <c r="D593" s="0" t="s">
        <v>95</v>
      </c>
      <c r="E593" s="0" t="s">
        <v>52</v>
      </c>
      <c r="F593" s="0" t="s">
        <v>57</v>
      </c>
      <c r="G593" s="0" t="s">
        <v>69</v>
      </c>
      <c r="H593" s="0" t="s">
        <v>36</v>
      </c>
      <c r="I593" s="0" t="n">
        <v>489.9</v>
      </c>
      <c r="J593" s="0" t="n">
        <v>0.15</v>
      </c>
      <c r="K593" s="0" t="n">
        <v>6</v>
      </c>
    </row>
    <row r="594" customFormat="false" ht="15" hidden="false" customHeight="false" outlineLevel="0" collapsed="false">
      <c r="A594" s="0" t="s">
        <v>1083</v>
      </c>
      <c r="B594" s="0" t="s">
        <v>305</v>
      </c>
      <c r="C594" s="0" t="s">
        <v>832</v>
      </c>
      <c r="D594" s="0" t="s">
        <v>78</v>
      </c>
      <c r="E594" s="0" t="s">
        <v>72</v>
      </c>
      <c r="F594" s="0" t="s">
        <v>79</v>
      </c>
      <c r="G594" s="0" t="s">
        <v>140</v>
      </c>
      <c r="H594" s="0" t="s">
        <v>36</v>
      </c>
      <c r="I594" s="0" t="n">
        <v>387.14</v>
      </c>
      <c r="J594" s="0" t="n">
        <v>0</v>
      </c>
      <c r="K594" s="0" t="n">
        <v>18</v>
      </c>
    </row>
    <row r="595" customFormat="false" ht="15" hidden="false" customHeight="false" outlineLevel="0" collapsed="false">
      <c r="A595" s="0" t="s">
        <v>1084</v>
      </c>
      <c r="B595" s="0" t="s">
        <v>171</v>
      </c>
      <c r="D595" s="0" t="s">
        <v>95</v>
      </c>
      <c r="E595" s="0" t="s">
        <v>52</v>
      </c>
      <c r="F595" s="0" t="s">
        <v>34</v>
      </c>
      <c r="G595" s="0" t="s">
        <v>69</v>
      </c>
      <c r="H595" s="0" t="s">
        <v>75</v>
      </c>
      <c r="I595" s="0" t="n">
        <v>543.92</v>
      </c>
      <c r="J595" s="0" t="n">
        <v>0.1</v>
      </c>
    </row>
    <row r="596" customFormat="false" ht="15" hidden="false" customHeight="false" outlineLevel="0" collapsed="false">
      <c r="A596" s="0" t="s">
        <v>1085</v>
      </c>
      <c r="B596" s="0" t="s">
        <v>853</v>
      </c>
      <c r="D596" s="0" t="s">
        <v>86</v>
      </c>
      <c r="E596" s="0" t="s">
        <v>114</v>
      </c>
      <c r="F596" s="0" t="s">
        <v>34</v>
      </c>
      <c r="G596" s="0" t="s">
        <v>41</v>
      </c>
      <c r="H596" s="0" t="s">
        <v>80</v>
      </c>
      <c r="I596" s="0" t="n">
        <v>1303.82</v>
      </c>
      <c r="J596" s="0" t="n">
        <v>0</v>
      </c>
    </row>
    <row r="597" customFormat="false" ht="15" hidden="false" customHeight="false" outlineLevel="0" collapsed="false">
      <c r="A597" s="0" t="s">
        <v>1086</v>
      </c>
      <c r="B597" s="0" t="s">
        <v>281</v>
      </c>
      <c r="D597" s="0" t="s">
        <v>86</v>
      </c>
      <c r="E597" s="0" t="s">
        <v>114</v>
      </c>
      <c r="F597" s="0" t="s">
        <v>47</v>
      </c>
      <c r="G597" s="0" t="s">
        <v>53</v>
      </c>
      <c r="H597" s="0" t="s">
        <v>75</v>
      </c>
      <c r="I597" s="0" t="n">
        <v>673.16</v>
      </c>
      <c r="J597" s="0" t="n">
        <v>0</v>
      </c>
    </row>
    <row r="598" customFormat="false" ht="15" hidden="false" customHeight="false" outlineLevel="0" collapsed="false">
      <c r="A598" s="0" t="s">
        <v>1087</v>
      </c>
      <c r="B598" s="0" t="s">
        <v>235</v>
      </c>
      <c r="D598" s="0" t="s">
        <v>61</v>
      </c>
      <c r="E598" s="0" t="s">
        <v>52</v>
      </c>
      <c r="F598" s="0" t="s">
        <v>34</v>
      </c>
      <c r="G598" s="0" t="s">
        <v>74</v>
      </c>
      <c r="H598" s="0" t="s">
        <v>62</v>
      </c>
      <c r="I598" s="0" t="n">
        <v>494.75</v>
      </c>
      <c r="J598" s="0" t="n">
        <v>0.2</v>
      </c>
    </row>
    <row r="599" customFormat="false" ht="15" hidden="false" customHeight="false" outlineLevel="0" collapsed="false">
      <c r="A599" s="0" t="s">
        <v>1088</v>
      </c>
      <c r="B599" s="0" t="s">
        <v>1089</v>
      </c>
      <c r="D599" s="0" t="s">
        <v>61</v>
      </c>
      <c r="E599" s="0" t="s">
        <v>33</v>
      </c>
      <c r="F599" s="0" t="s">
        <v>34</v>
      </c>
      <c r="G599" s="0" t="s">
        <v>117</v>
      </c>
      <c r="H599" s="0" t="s">
        <v>80</v>
      </c>
      <c r="I599" s="0" t="n">
        <v>943.37</v>
      </c>
      <c r="J599" s="0" t="n">
        <v>0.05</v>
      </c>
    </row>
    <row r="600" customFormat="false" ht="15" hidden="false" customHeight="false" outlineLevel="0" collapsed="false">
      <c r="A600" s="0" t="s">
        <v>1090</v>
      </c>
      <c r="B600" s="0" t="s">
        <v>490</v>
      </c>
      <c r="C600" s="0" t="s">
        <v>820</v>
      </c>
      <c r="D600" s="0" t="s">
        <v>40</v>
      </c>
      <c r="E600" s="0" t="s">
        <v>33</v>
      </c>
      <c r="F600" s="0" t="s">
        <v>47</v>
      </c>
      <c r="G600" s="0" t="s">
        <v>140</v>
      </c>
      <c r="H600" s="0" t="s">
        <v>42</v>
      </c>
      <c r="I600" s="0" t="n">
        <v>875.01</v>
      </c>
      <c r="J600" s="0" t="n">
        <v>0.1</v>
      </c>
      <c r="K600" s="0" t="n">
        <v>31</v>
      </c>
    </row>
    <row r="601" customFormat="false" ht="15" hidden="false" customHeight="false" outlineLevel="0" collapsed="false">
      <c r="A601" s="0" t="s">
        <v>1091</v>
      </c>
      <c r="B601" s="0" t="s">
        <v>1092</v>
      </c>
      <c r="C601" s="0" t="s">
        <v>1093</v>
      </c>
      <c r="D601" s="0" t="s">
        <v>78</v>
      </c>
      <c r="E601" s="0" t="s">
        <v>66</v>
      </c>
      <c r="F601" s="0" t="s">
        <v>47</v>
      </c>
      <c r="G601" s="0" t="s">
        <v>74</v>
      </c>
      <c r="H601" s="0" t="s">
        <v>42</v>
      </c>
      <c r="I601" s="0" t="n">
        <v>704.8</v>
      </c>
      <c r="J601" s="0" t="n">
        <v>0.1</v>
      </c>
      <c r="K601" s="0" t="n">
        <v>16</v>
      </c>
    </row>
    <row r="602" customFormat="false" ht="15" hidden="false" customHeight="false" outlineLevel="0" collapsed="false">
      <c r="A602" s="0" t="s">
        <v>1094</v>
      </c>
      <c r="B602" s="0" t="s">
        <v>339</v>
      </c>
      <c r="C602" s="0" t="s">
        <v>278</v>
      </c>
      <c r="D602" s="0" t="s">
        <v>40</v>
      </c>
      <c r="E602" s="0" t="s">
        <v>114</v>
      </c>
      <c r="F602" s="0" t="s">
        <v>73</v>
      </c>
      <c r="G602" s="0" t="s">
        <v>74</v>
      </c>
      <c r="H602" s="0" t="s">
        <v>36</v>
      </c>
      <c r="I602" s="0" t="n">
        <v>1454.41</v>
      </c>
      <c r="J602" s="0" t="n">
        <v>0</v>
      </c>
      <c r="K602" s="0" t="n">
        <v>14</v>
      </c>
    </row>
    <row r="603" customFormat="false" ht="15" hidden="false" customHeight="false" outlineLevel="0" collapsed="false">
      <c r="A603" s="0" t="s">
        <v>1095</v>
      </c>
      <c r="B603" s="0" t="s">
        <v>761</v>
      </c>
      <c r="C603" s="0" t="s">
        <v>657</v>
      </c>
      <c r="D603" s="0" t="s">
        <v>40</v>
      </c>
      <c r="E603" s="0" t="s">
        <v>72</v>
      </c>
      <c r="F603" s="0" t="s">
        <v>47</v>
      </c>
      <c r="G603" s="0" t="s">
        <v>74</v>
      </c>
      <c r="H603" s="0" t="s">
        <v>42</v>
      </c>
      <c r="I603" s="0" t="n">
        <v>378.47</v>
      </c>
      <c r="J603" s="0" t="n">
        <v>0.15</v>
      </c>
      <c r="K603" s="0" t="n">
        <v>25</v>
      </c>
    </row>
    <row r="604" customFormat="false" ht="15" hidden="false" customHeight="false" outlineLevel="0" collapsed="false">
      <c r="A604" s="0" t="s">
        <v>1096</v>
      </c>
      <c r="B604" s="0" t="s">
        <v>294</v>
      </c>
      <c r="C604" s="0" t="s">
        <v>1097</v>
      </c>
      <c r="D604" s="0" t="s">
        <v>86</v>
      </c>
      <c r="E604" s="0" t="s">
        <v>33</v>
      </c>
      <c r="F604" s="0" t="s">
        <v>34</v>
      </c>
      <c r="G604" s="0" t="s">
        <v>69</v>
      </c>
      <c r="H604" s="0" t="s">
        <v>42</v>
      </c>
      <c r="I604" s="0" t="n">
        <v>886.21</v>
      </c>
      <c r="J604" s="0" t="n">
        <v>0.05</v>
      </c>
      <c r="K604" s="0" t="n">
        <v>15</v>
      </c>
    </row>
    <row r="605" customFormat="false" ht="15" hidden="false" customHeight="false" outlineLevel="0" collapsed="false">
      <c r="A605" s="0" t="s">
        <v>1098</v>
      </c>
      <c r="B605" s="0" t="s">
        <v>1099</v>
      </c>
      <c r="C605" s="0" t="s">
        <v>813</v>
      </c>
      <c r="D605" s="0" t="s">
        <v>78</v>
      </c>
      <c r="E605" s="0" t="s">
        <v>72</v>
      </c>
      <c r="F605" s="0" t="s">
        <v>89</v>
      </c>
      <c r="G605" s="0" t="s">
        <v>69</v>
      </c>
      <c r="H605" s="0" t="s">
        <v>36</v>
      </c>
      <c r="I605" s="0" t="n">
        <v>383.71</v>
      </c>
      <c r="J605" s="0" t="n">
        <v>0</v>
      </c>
      <c r="K605" s="0" t="n">
        <v>22</v>
      </c>
    </row>
    <row r="606" customFormat="false" ht="15" hidden="false" customHeight="false" outlineLevel="0" collapsed="false">
      <c r="A606" s="0" t="s">
        <v>1100</v>
      </c>
      <c r="B606" s="0" t="s">
        <v>55</v>
      </c>
      <c r="C606" s="0" t="s">
        <v>466</v>
      </c>
      <c r="D606" s="0" t="s">
        <v>86</v>
      </c>
      <c r="E606" s="0" t="s">
        <v>46</v>
      </c>
      <c r="F606" s="0" t="s">
        <v>89</v>
      </c>
      <c r="G606" s="0" t="s">
        <v>69</v>
      </c>
      <c r="H606" s="0" t="s">
        <v>42</v>
      </c>
      <c r="I606" s="0" t="n">
        <v>119.6</v>
      </c>
      <c r="J606" s="0" t="n">
        <v>0</v>
      </c>
      <c r="K606" s="0" t="n">
        <v>26</v>
      </c>
    </row>
    <row r="607" customFormat="false" ht="15" hidden="false" customHeight="false" outlineLevel="0" collapsed="false">
      <c r="A607" s="0" t="s">
        <v>1101</v>
      </c>
      <c r="B607" s="0" t="s">
        <v>372</v>
      </c>
      <c r="C607" s="0" t="s">
        <v>320</v>
      </c>
      <c r="D607" s="0" t="s">
        <v>95</v>
      </c>
      <c r="E607" s="0" t="s">
        <v>52</v>
      </c>
      <c r="F607" s="0" t="s">
        <v>34</v>
      </c>
      <c r="G607" s="0" t="s">
        <v>74</v>
      </c>
      <c r="H607" s="0" t="s">
        <v>36</v>
      </c>
      <c r="I607" s="0" t="n">
        <v>1117.7</v>
      </c>
      <c r="J607" s="0" t="n">
        <v>0</v>
      </c>
      <c r="K607" s="0" t="n">
        <v>22</v>
      </c>
    </row>
    <row r="608" customFormat="false" ht="15" hidden="false" customHeight="false" outlineLevel="0" collapsed="false">
      <c r="A608" s="0" t="s">
        <v>1102</v>
      </c>
      <c r="B608" s="0" t="s">
        <v>1103</v>
      </c>
      <c r="C608" s="0" t="s">
        <v>867</v>
      </c>
      <c r="D608" s="0" t="s">
        <v>32</v>
      </c>
      <c r="E608" s="0" t="s">
        <v>52</v>
      </c>
      <c r="F608" s="0" t="s">
        <v>34</v>
      </c>
      <c r="G608" s="0" t="s">
        <v>69</v>
      </c>
      <c r="H608" s="0" t="s">
        <v>36</v>
      </c>
      <c r="I608" s="0" t="n">
        <v>1058.97</v>
      </c>
      <c r="J608" s="0" t="n">
        <v>0.1</v>
      </c>
      <c r="K608" s="0" t="n">
        <v>21</v>
      </c>
    </row>
    <row r="609" customFormat="false" ht="15" hidden="false" customHeight="false" outlineLevel="0" collapsed="false">
      <c r="A609" s="0" t="s">
        <v>1104</v>
      </c>
      <c r="B609" s="0" t="s">
        <v>110</v>
      </c>
      <c r="C609" s="0" t="s">
        <v>529</v>
      </c>
      <c r="D609" s="0" t="s">
        <v>95</v>
      </c>
      <c r="E609" s="0" t="s">
        <v>33</v>
      </c>
      <c r="F609" s="0" t="s">
        <v>47</v>
      </c>
      <c r="G609" s="0" t="s">
        <v>117</v>
      </c>
      <c r="H609" s="0" t="s">
        <v>36</v>
      </c>
      <c r="I609" s="0" t="n">
        <v>1801.02</v>
      </c>
      <c r="J609" s="0" t="n">
        <v>0.05</v>
      </c>
      <c r="K609" s="0" t="n">
        <v>19</v>
      </c>
    </row>
    <row r="610" customFormat="false" ht="15" hidden="false" customHeight="false" outlineLevel="0" collapsed="false">
      <c r="A610" s="0" t="s">
        <v>1105</v>
      </c>
      <c r="B610" s="0" t="s">
        <v>30</v>
      </c>
      <c r="D610" s="0" t="s">
        <v>40</v>
      </c>
      <c r="E610" s="0" t="s">
        <v>33</v>
      </c>
      <c r="F610" s="0" t="s">
        <v>47</v>
      </c>
      <c r="G610" s="0" t="s">
        <v>74</v>
      </c>
      <c r="H610" s="0" t="s">
        <v>62</v>
      </c>
      <c r="I610" s="0" t="n">
        <v>2464.97</v>
      </c>
      <c r="J610" s="0" t="n">
        <v>0.2</v>
      </c>
    </row>
    <row r="611" customFormat="false" ht="15" hidden="false" customHeight="false" outlineLevel="0" collapsed="false">
      <c r="A611" s="0" t="s">
        <v>1106</v>
      </c>
      <c r="B611" s="0" t="s">
        <v>381</v>
      </c>
      <c r="D611" s="0" t="s">
        <v>95</v>
      </c>
      <c r="E611" s="0" t="s">
        <v>52</v>
      </c>
      <c r="F611" s="0" t="s">
        <v>34</v>
      </c>
      <c r="G611" s="0" t="s">
        <v>69</v>
      </c>
      <c r="H611" s="0" t="s">
        <v>80</v>
      </c>
      <c r="I611" s="0" t="n">
        <v>471.29</v>
      </c>
      <c r="J611" s="0" t="n">
        <v>0.15</v>
      </c>
    </row>
    <row r="612" customFormat="false" ht="15" hidden="false" customHeight="false" outlineLevel="0" collapsed="false">
      <c r="A612" s="0" t="s">
        <v>1107</v>
      </c>
      <c r="B612" s="0" t="s">
        <v>780</v>
      </c>
      <c r="C612" s="0" t="s">
        <v>297</v>
      </c>
      <c r="D612" s="0" t="s">
        <v>86</v>
      </c>
      <c r="E612" s="0" t="s">
        <v>114</v>
      </c>
      <c r="F612" s="0" t="s">
        <v>89</v>
      </c>
      <c r="G612" s="0" t="s">
        <v>58</v>
      </c>
      <c r="H612" s="0" t="s">
        <v>36</v>
      </c>
      <c r="I612" s="0" t="n">
        <v>1919.61</v>
      </c>
      <c r="J612" s="0" t="n">
        <v>0.1</v>
      </c>
      <c r="K612" s="0" t="n">
        <v>26</v>
      </c>
    </row>
    <row r="613" customFormat="false" ht="15" hidden="false" customHeight="false" outlineLevel="0" collapsed="false">
      <c r="A613" s="0" t="s">
        <v>1108</v>
      </c>
      <c r="B613" s="0" t="s">
        <v>1109</v>
      </c>
      <c r="D613" s="0" t="s">
        <v>95</v>
      </c>
      <c r="E613" s="0" t="s">
        <v>114</v>
      </c>
      <c r="F613" s="0" t="s">
        <v>34</v>
      </c>
      <c r="G613" s="0" t="s">
        <v>117</v>
      </c>
      <c r="H613" s="0" t="s">
        <v>62</v>
      </c>
      <c r="I613" s="0" t="n">
        <v>609.12</v>
      </c>
      <c r="J613" s="0" t="n">
        <v>0</v>
      </c>
    </row>
    <row r="614" customFormat="false" ht="15" hidden="false" customHeight="false" outlineLevel="0" collapsed="false">
      <c r="A614" s="0" t="s">
        <v>1110</v>
      </c>
      <c r="B614" s="0" t="s">
        <v>837</v>
      </c>
      <c r="C614" s="0" t="s">
        <v>653</v>
      </c>
      <c r="D614" s="0" t="s">
        <v>940</v>
      </c>
      <c r="E614" s="0" t="s">
        <v>66</v>
      </c>
      <c r="F614" s="0" t="s">
        <v>73</v>
      </c>
      <c r="G614" s="0" t="s">
        <v>140</v>
      </c>
      <c r="H614" s="0" t="s">
        <v>36</v>
      </c>
      <c r="I614" s="0" t="n">
        <v>659.83</v>
      </c>
      <c r="J614" s="0" t="n">
        <v>0</v>
      </c>
      <c r="K614" s="0" t="n">
        <v>20</v>
      </c>
    </row>
    <row r="615" customFormat="false" ht="15" hidden="false" customHeight="false" outlineLevel="0" collapsed="false">
      <c r="A615" s="0" t="s">
        <v>1111</v>
      </c>
      <c r="B615" s="0" t="s">
        <v>707</v>
      </c>
      <c r="C615" s="0" t="s">
        <v>1112</v>
      </c>
      <c r="D615" s="0" t="s">
        <v>86</v>
      </c>
      <c r="E615" s="0" t="s">
        <v>66</v>
      </c>
      <c r="F615" s="0" t="s">
        <v>47</v>
      </c>
      <c r="G615" s="0" t="s">
        <v>41</v>
      </c>
      <c r="H615" s="0" t="s">
        <v>36</v>
      </c>
      <c r="I615" s="0" t="n">
        <v>1613.43</v>
      </c>
      <c r="J615" s="0" t="n">
        <v>0.15</v>
      </c>
      <c r="K615" s="0" t="n">
        <v>19</v>
      </c>
    </row>
    <row r="616" customFormat="false" ht="15" hidden="false" customHeight="false" outlineLevel="0" collapsed="false">
      <c r="A616" s="0" t="s">
        <v>1113</v>
      </c>
      <c r="B616" s="0" t="s">
        <v>575</v>
      </c>
      <c r="C616" s="0" t="s">
        <v>625</v>
      </c>
      <c r="D616" s="0" t="s">
        <v>32</v>
      </c>
      <c r="E616" s="0" t="s">
        <v>114</v>
      </c>
      <c r="F616" s="0" t="s">
        <v>79</v>
      </c>
      <c r="G616" s="0" t="s">
        <v>35</v>
      </c>
      <c r="H616" s="0" t="s">
        <v>42</v>
      </c>
      <c r="I616" s="0" t="n">
        <v>1935.1</v>
      </c>
      <c r="J616" s="0" t="n">
        <v>0.1</v>
      </c>
      <c r="K616" s="0" t="n">
        <v>8</v>
      </c>
    </row>
    <row r="617" customFormat="false" ht="15" hidden="false" customHeight="false" outlineLevel="0" collapsed="false">
      <c r="A617" s="0" t="s">
        <v>1114</v>
      </c>
      <c r="B617" s="0" t="s">
        <v>307</v>
      </c>
      <c r="C617" s="0" t="s">
        <v>187</v>
      </c>
      <c r="D617" s="0" t="s">
        <v>86</v>
      </c>
      <c r="E617" s="0" t="s">
        <v>72</v>
      </c>
      <c r="F617" s="0" t="s">
        <v>79</v>
      </c>
      <c r="G617" s="0" t="s">
        <v>117</v>
      </c>
      <c r="H617" s="0" t="s">
        <v>42</v>
      </c>
      <c r="I617" s="0" t="n">
        <v>383.92</v>
      </c>
      <c r="J617" s="0" t="n">
        <v>0</v>
      </c>
      <c r="K617" s="0" t="n">
        <v>26</v>
      </c>
    </row>
    <row r="618" customFormat="false" ht="15" hidden="false" customHeight="false" outlineLevel="0" collapsed="false">
      <c r="A618" s="0" t="s">
        <v>1115</v>
      </c>
      <c r="B618" s="0" t="s">
        <v>253</v>
      </c>
      <c r="D618" s="0" t="s">
        <v>78</v>
      </c>
      <c r="E618" s="0" t="s">
        <v>33</v>
      </c>
      <c r="F618" s="0" t="s">
        <v>47</v>
      </c>
      <c r="G618" s="0" t="s">
        <v>58</v>
      </c>
      <c r="H618" s="0" t="s">
        <v>75</v>
      </c>
      <c r="I618" s="0" t="n">
        <v>1941.42</v>
      </c>
      <c r="J618" s="0" t="n">
        <v>0</v>
      </c>
    </row>
    <row r="619" customFormat="false" ht="15" hidden="false" customHeight="false" outlineLevel="0" collapsed="false">
      <c r="A619" s="0" t="s">
        <v>1116</v>
      </c>
      <c r="B619" s="0" t="s">
        <v>914</v>
      </c>
      <c r="D619" s="0" t="s">
        <v>51</v>
      </c>
      <c r="E619" s="0" t="s">
        <v>72</v>
      </c>
      <c r="F619" s="0" t="s">
        <v>47</v>
      </c>
      <c r="G619" s="0" t="s">
        <v>41</v>
      </c>
      <c r="H619" s="0" t="s">
        <v>80</v>
      </c>
      <c r="I619" s="0" t="n">
        <v>382.3</v>
      </c>
      <c r="J619" s="0" t="n">
        <v>0.2</v>
      </c>
    </row>
    <row r="620" customFormat="false" ht="15" hidden="false" customHeight="false" outlineLevel="0" collapsed="false">
      <c r="A620" s="0" t="s">
        <v>1117</v>
      </c>
      <c r="B620" s="0" t="s">
        <v>1053</v>
      </c>
      <c r="C620" s="0" t="s">
        <v>797</v>
      </c>
      <c r="D620" s="0" t="s">
        <v>78</v>
      </c>
      <c r="E620" s="0" t="s">
        <v>72</v>
      </c>
      <c r="F620" s="0" t="s">
        <v>89</v>
      </c>
      <c r="G620" s="0" t="s">
        <v>53</v>
      </c>
      <c r="H620" s="0" t="s">
        <v>36</v>
      </c>
      <c r="I620" s="0" t="n">
        <v>702.4</v>
      </c>
      <c r="J620" s="0" t="n">
        <v>0.15</v>
      </c>
      <c r="K620" s="0" t="n">
        <v>32</v>
      </c>
    </row>
    <row r="621" customFormat="false" ht="15" hidden="false" customHeight="false" outlineLevel="0" collapsed="false">
      <c r="A621" s="0" t="s">
        <v>1118</v>
      </c>
      <c r="B621" s="0" t="s">
        <v>1044</v>
      </c>
      <c r="C621" s="0" t="s">
        <v>202</v>
      </c>
      <c r="D621" s="0" t="s">
        <v>86</v>
      </c>
      <c r="E621" s="0" t="s">
        <v>114</v>
      </c>
      <c r="F621" s="0" t="s">
        <v>129</v>
      </c>
      <c r="G621" s="0" t="s">
        <v>69</v>
      </c>
      <c r="H621" s="0" t="s">
        <v>36</v>
      </c>
      <c r="I621" s="0" t="n">
        <v>741.44</v>
      </c>
      <c r="J621" s="0" t="n">
        <v>0.15</v>
      </c>
      <c r="K621" s="0" t="n">
        <v>13</v>
      </c>
    </row>
    <row r="622" customFormat="false" ht="15" hidden="false" customHeight="false" outlineLevel="0" collapsed="false">
      <c r="A622" s="0" t="s">
        <v>1119</v>
      </c>
      <c r="B622" s="0" t="s">
        <v>539</v>
      </c>
      <c r="C622" s="0" t="s">
        <v>364</v>
      </c>
      <c r="D622" s="0" t="s">
        <v>61</v>
      </c>
      <c r="E622" s="0" t="s">
        <v>66</v>
      </c>
      <c r="F622" s="0" t="s">
        <v>34</v>
      </c>
      <c r="G622" s="0" t="s">
        <v>117</v>
      </c>
      <c r="H622" s="0" t="s">
        <v>42</v>
      </c>
      <c r="I622" s="0" t="n">
        <v>776.91</v>
      </c>
      <c r="J622" s="0" t="n">
        <v>0.2</v>
      </c>
      <c r="K622" s="0" t="n">
        <v>32</v>
      </c>
    </row>
    <row r="623" customFormat="false" ht="15" hidden="false" customHeight="false" outlineLevel="0" collapsed="false">
      <c r="A623" s="0" t="s">
        <v>1120</v>
      </c>
      <c r="B623" s="0" t="s">
        <v>840</v>
      </c>
      <c r="C623" s="0" t="s">
        <v>230</v>
      </c>
      <c r="D623" s="0" t="s">
        <v>86</v>
      </c>
      <c r="E623" s="0" t="s">
        <v>72</v>
      </c>
      <c r="F623" s="0" t="s">
        <v>47</v>
      </c>
      <c r="G623" s="0" t="s">
        <v>53</v>
      </c>
      <c r="H623" s="0" t="s">
        <v>36</v>
      </c>
      <c r="I623" s="0" t="n">
        <v>399.56</v>
      </c>
      <c r="J623" s="0" t="n">
        <v>0</v>
      </c>
      <c r="K623" s="0" t="n">
        <v>14</v>
      </c>
    </row>
    <row r="624" customFormat="false" ht="15" hidden="false" customHeight="false" outlineLevel="0" collapsed="false">
      <c r="A624" s="0" t="s">
        <v>1121</v>
      </c>
      <c r="B624" s="0" t="s">
        <v>205</v>
      </c>
      <c r="C624" s="0" t="s">
        <v>293</v>
      </c>
      <c r="D624" s="0" t="s">
        <v>61</v>
      </c>
      <c r="E624" s="0" t="s">
        <v>72</v>
      </c>
      <c r="F624" s="0" t="s">
        <v>73</v>
      </c>
      <c r="G624" s="0" t="s">
        <v>53</v>
      </c>
      <c r="H624" s="0" t="s">
        <v>42</v>
      </c>
      <c r="I624" s="0" t="n">
        <v>1186.75</v>
      </c>
      <c r="J624" s="0" t="n">
        <v>0.1</v>
      </c>
      <c r="K624" s="0" t="n">
        <v>6</v>
      </c>
    </row>
    <row r="625" customFormat="false" ht="15" hidden="false" customHeight="false" outlineLevel="0" collapsed="false">
      <c r="A625" s="0" t="s">
        <v>1122</v>
      </c>
      <c r="B625" s="0" t="s">
        <v>257</v>
      </c>
      <c r="D625" s="0" t="s">
        <v>40</v>
      </c>
      <c r="E625" s="0" t="s">
        <v>52</v>
      </c>
      <c r="F625" s="0" t="s">
        <v>47</v>
      </c>
      <c r="G625" s="0" t="s">
        <v>35</v>
      </c>
      <c r="H625" s="0" t="s">
        <v>80</v>
      </c>
      <c r="I625" s="0" t="n">
        <v>500.93</v>
      </c>
      <c r="J625" s="0" t="n">
        <v>0.05</v>
      </c>
    </row>
    <row r="626" customFormat="false" ht="15" hidden="false" customHeight="false" outlineLevel="0" collapsed="false">
      <c r="A626" s="0" t="s">
        <v>1123</v>
      </c>
      <c r="B626" s="0" t="s">
        <v>342</v>
      </c>
      <c r="C626" s="0" t="s">
        <v>39</v>
      </c>
      <c r="D626" s="0" t="s">
        <v>61</v>
      </c>
      <c r="E626" s="0" t="s">
        <v>72</v>
      </c>
      <c r="F626" s="0" t="s">
        <v>47</v>
      </c>
      <c r="G626" s="0" t="s">
        <v>35</v>
      </c>
      <c r="H626" s="0" t="s">
        <v>42</v>
      </c>
      <c r="I626" s="0" t="n">
        <v>325.41</v>
      </c>
      <c r="J626" s="0" t="n">
        <v>0</v>
      </c>
      <c r="K626" s="0" t="n">
        <v>24</v>
      </c>
    </row>
    <row r="627" customFormat="false" ht="15" hidden="false" customHeight="false" outlineLevel="0" collapsed="false">
      <c r="A627" s="0" t="s">
        <v>1124</v>
      </c>
      <c r="B627" s="0" t="s">
        <v>283</v>
      </c>
      <c r="C627" s="0" t="s">
        <v>270</v>
      </c>
      <c r="D627" s="0" t="s">
        <v>40</v>
      </c>
      <c r="E627" s="0" t="s">
        <v>114</v>
      </c>
      <c r="F627" s="0" t="s">
        <v>34</v>
      </c>
      <c r="G627" s="0" t="s">
        <v>117</v>
      </c>
      <c r="H627" s="0" t="s">
        <v>36</v>
      </c>
      <c r="I627" s="0" t="n">
        <v>2227.93</v>
      </c>
      <c r="J627" s="0" t="n">
        <v>0</v>
      </c>
      <c r="K627" s="0" t="n">
        <v>28</v>
      </c>
    </row>
    <row r="628" customFormat="false" ht="15" hidden="false" customHeight="false" outlineLevel="0" collapsed="false">
      <c r="A628" s="0" t="s">
        <v>1125</v>
      </c>
      <c r="B628" s="0" t="s">
        <v>687</v>
      </c>
      <c r="C628" s="0" t="s">
        <v>918</v>
      </c>
      <c r="D628" s="0" t="s">
        <v>95</v>
      </c>
      <c r="E628" s="0" t="s">
        <v>72</v>
      </c>
      <c r="F628" s="0" t="s">
        <v>34</v>
      </c>
      <c r="G628" s="0" t="s">
        <v>58</v>
      </c>
      <c r="H628" s="0" t="s">
        <v>36</v>
      </c>
      <c r="I628" s="0" t="n">
        <v>397.54</v>
      </c>
      <c r="J628" s="0" t="n">
        <v>0</v>
      </c>
      <c r="K628" s="0" t="n">
        <v>29</v>
      </c>
    </row>
    <row r="629" customFormat="false" ht="15" hidden="false" customHeight="false" outlineLevel="0" collapsed="false">
      <c r="A629" s="0" t="s">
        <v>1126</v>
      </c>
      <c r="B629" s="0" t="s">
        <v>1127</v>
      </c>
      <c r="C629" s="0" t="s">
        <v>736</v>
      </c>
      <c r="D629" s="0" t="s">
        <v>51</v>
      </c>
      <c r="E629" s="0" t="s">
        <v>33</v>
      </c>
      <c r="F629" s="0" t="s">
        <v>57</v>
      </c>
      <c r="G629" s="0" t="s">
        <v>58</v>
      </c>
      <c r="H629" s="0" t="s">
        <v>42</v>
      </c>
      <c r="I629" s="0" t="n">
        <v>2321.07</v>
      </c>
      <c r="J629" s="0" t="n">
        <v>0.2</v>
      </c>
      <c r="K629" s="0" t="n">
        <v>23</v>
      </c>
    </row>
    <row r="630" customFormat="false" ht="15" hidden="false" customHeight="false" outlineLevel="0" collapsed="false">
      <c r="A630" s="0" t="s">
        <v>1128</v>
      </c>
      <c r="B630" s="0" t="s">
        <v>817</v>
      </c>
      <c r="C630" s="0" t="s">
        <v>536</v>
      </c>
      <c r="D630" s="0" t="s">
        <v>32</v>
      </c>
      <c r="E630" s="0" t="s">
        <v>46</v>
      </c>
      <c r="F630" s="0" t="s">
        <v>89</v>
      </c>
      <c r="G630" s="0" t="s">
        <v>35</v>
      </c>
      <c r="H630" s="0" t="s">
        <v>36</v>
      </c>
      <c r="I630" s="0" t="n">
        <v>238.24</v>
      </c>
      <c r="J630" s="0" t="n">
        <v>0.15</v>
      </c>
      <c r="K630" s="0" t="n">
        <v>23</v>
      </c>
    </row>
    <row r="631" customFormat="false" ht="15" hidden="false" customHeight="false" outlineLevel="0" collapsed="false">
      <c r="A631" s="0" t="s">
        <v>1129</v>
      </c>
      <c r="B631" s="0" t="s">
        <v>734</v>
      </c>
      <c r="C631" s="0" t="s">
        <v>333</v>
      </c>
      <c r="D631" s="0" t="s">
        <v>78</v>
      </c>
      <c r="E631" s="0" t="s">
        <v>72</v>
      </c>
      <c r="F631" s="0" t="s">
        <v>34</v>
      </c>
      <c r="G631" s="0" t="s">
        <v>35</v>
      </c>
      <c r="H631" s="0" t="s">
        <v>36</v>
      </c>
      <c r="I631" s="0" t="n">
        <v>1129.36</v>
      </c>
      <c r="J631" s="0" t="n">
        <v>0</v>
      </c>
      <c r="K631" s="0" t="n">
        <v>27</v>
      </c>
    </row>
    <row r="632" customFormat="false" ht="15" hidden="false" customHeight="false" outlineLevel="0" collapsed="false">
      <c r="A632" s="0" t="s">
        <v>1130</v>
      </c>
      <c r="B632" s="0" t="s">
        <v>608</v>
      </c>
      <c r="C632" s="0" t="s">
        <v>437</v>
      </c>
      <c r="D632" s="0" t="s">
        <v>61</v>
      </c>
      <c r="E632" s="0" t="s">
        <v>114</v>
      </c>
      <c r="F632" s="0" t="s">
        <v>89</v>
      </c>
      <c r="G632" s="0" t="s">
        <v>53</v>
      </c>
      <c r="H632" s="0" t="s">
        <v>36</v>
      </c>
      <c r="I632" s="0" t="n">
        <v>633.51</v>
      </c>
      <c r="J632" s="0" t="n">
        <v>0</v>
      </c>
      <c r="K632" s="0" t="n">
        <v>18</v>
      </c>
    </row>
    <row r="633" customFormat="false" ht="15" hidden="false" customHeight="false" outlineLevel="0" collapsed="false">
      <c r="A633" s="0" t="s">
        <v>1131</v>
      </c>
      <c r="B633" s="0" t="s">
        <v>344</v>
      </c>
      <c r="C633" s="0" t="s">
        <v>829</v>
      </c>
      <c r="D633" s="0" t="s">
        <v>86</v>
      </c>
      <c r="E633" s="0" t="s">
        <v>72</v>
      </c>
      <c r="F633" s="0" t="s">
        <v>47</v>
      </c>
      <c r="G633" s="0" t="s">
        <v>74</v>
      </c>
      <c r="H633" s="0" t="s">
        <v>36</v>
      </c>
      <c r="I633" s="0" t="n">
        <v>400.89</v>
      </c>
      <c r="J633" s="0" t="n">
        <v>0</v>
      </c>
      <c r="K633" s="0" t="n">
        <v>13</v>
      </c>
    </row>
    <row r="634" customFormat="false" ht="15" hidden="false" customHeight="false" outlineLevel="0" collapsed="false">
      <c r="A634" s="0" t="s">
        <v>1132</v>
      </c>
      <c r="B634" s="0" t="s">
        <v>720</v>
      </c>
      <c r="D634" s="0" t="s">
        <v>40</v>
      </c>
      <c r="E634" s="0" t="s">
        <v>33</v>
      </c>
      <c r="F634" s="0" t="s">
        <v>34</v>
      </c>
      <c r="G634" s="0" t="s">
        <v>140</v>
      </c>
      <c r="H634" s="0" t="s">
        <v>80</v>
      </c>
      <c r="I634" s="0" t="n">
        <v>1896.88</v>
      </c>
      <c r="J634" s="0" t="n">
        <v>0.1</v>
      </c>
    </row>
    <row r="635" customFormat="false" ht="15" hidden="false" customHeight="false" outlineLevel="0" collapsed="false">
      <c r="A635" s="0" t="s">
        <v>1133</v>
      </c>
      <c r="B635" s="0" t="s">
        <v>100</v>
      </c>
      <c r="D635" s="0" t="s">
        <v>51</v>
      </c>
      <c r="E635" s="0" t="s">
        <v>72</v>
      </c>
      <c r="F635" s="0" t="s">
        <v>89</v>
      </c>
      <c r="G635" s="0" t="s">
        <v>41</v>
      </c>
      <c r="H635" s="0" t="s">
        <v>62</v>
      </c>
      <c r="I635" s="0" t="n">
        <v>776.06</v>
      </c>
      <c r="J635" s="0" t="n">
        <v>0.1</v>
      </c>
    </row>
    <row r="636" customFormat="false" ht="15" hidden="false" customHeight="false" outlineLevel="0" collapsed="false">
      <c r="A636" s="0" t="s">
        <v>1134</v>
      </c>
      <c r="B636" s="0" t="s">
        <v>498</v>
      </c>
      <c r="C636" s="0" t="s">
        <v>1135</v>
      </c>
      <c r="D636" s="0" t="s">
        <v>61</v>
      </c>
      <c r="E636" s="0" t="s">
        <v>33</v>
      </c>
      <c r="F636" s="0" t="s">
        <v>73</v>
      </c>
      <c r="G636" s="0" t="s">
        <v>117</v>
      </c>
      <c r="H636" s="0" t="s">
        <v>42</v>
      </c>
      <c r="I636" s="0" t="n">
        <v>860.38</v>
      </c>
      <c r="J636" s="0" t="n">
        <v>0</v>
      </c>
      <c r="K636" s="0" t="n">
        <v>15</v>
      </c>
    </row>
    <row r="637" customFormat="false" ht="15" hidden="false" customHeight="false" outlineLevel="0" collapsed="false">
      <c r="A637" s="0" t="s">
        <v>1136</v>
      </c>
      <c r="B637" s="0" t="s">
        <v>496</v>
      </c>
      <c r="C637" s="0" t="s">
        <v>597</v>
      </c>
      <c r="D637" s="0" t="s">
        <v>61</v>
      </c>
      <c r="E637" s="0" t="s">
        <v>114</v>
      </c>
      <c r="F637" s="0" t="s">
        <v>89</v>
      </c>
      <c r="G637" s="0" t="s">
        <v>53</v>
      </c>
      <c r="H637" s="0" t="s">
        <v>36</v>
      </c>
      <c r="I637" s="0" t="n">
        <v>741.62</v>
      </c>
      <c r="J637" s="0" t="n">
        <v>0.2</v>
      </c>
      <c r="K637" s="0" t="n">
        <v>8</v>
      </c>
    </row>
    <row r="638" customFormat="false" ht="15" hidden="false" customHeight="false" outlineLevel="0" collapsed="false">
      <c r="A638" s="0" t="s">
        <v>1137</v>
      </c>
      <c r="B638" s="0" t="s">
        <v>837</v>
      </c>
      <c r="C638" s="0" t="s">
        <v>997</v>
      </c>
      <c r="D638" s="0" t="s">
        <v>95</v>
      </c>
      <c r="E638" s="0" t="s">
        <v>72</v>
      </c>
      <c r="F638" s="0" t="s">
        <v>47</v>
      </c>
      <c r="G638" s="0" t="s">
        <v>74</v>
      </c>
      <c r="H638" s="0" t="s">
        <v>42</v>
      </c>
      <c r="I638" s="0" t="n">
        <v>337.04</v>
      </c>
      <c r="J638" s="0" t="n">
        <v>0.1</v>
      </c>
      <c r="K638" s="0" t="n">
        <v>15</v>
      </c>
    </row>
    <row r="639" customFormat="false" ht="15" hidden="false" customHeight="false" outlineLevel="0" collapsed="false">
      <c r="A639" s="0" t="s">
        <v>1138</v>
      </c>
      <c r="B639" s="0" t="s">
        <v>601</v>
      </c>
      <c r="C639" s="0" t="s">
        <v>332</v>
      </c>
      <c r="D639" s="0" t="s">
        <v>86</v>
      </c>
      <c r="E639" s="0" t="s">
        <v>52</v>
      </c>
      <c r="F639" s="0" t="s">
        <v>47</v>
      </c>
      <c r="G639" s="0" t="s">
        <v>140</v>
      </c>
      <c r="H639" s="0" t="s">
        <v>36</v>
      </c>
      <c r="I639" s="0" t="n">
        <v>548.66</v>
      </c>
      <c r="J639" s="0" t="n">
        <v>0.1</v>
      </c>
      <c r="K639" s="0" t="n">
        <v>29</v>
      </c>
    </row>
    <row r="640" customFormat="false" ht="15" hidden="false" customHeight="false" outlineLevel="0" collapsed="false">
      <c r="A640" s="0" t="s">
        <v>1139</v>
      </c>
      <c r="B640" s="0" t="s">
        <v>1140</v>
      </c>
      <c r="C640" s="0" t="s">
        <v>1017</v>
      </c>
      <c r="D640" s="0" t="s">
        <v>40</v>
      </c>
      <c r="E640" s="0" t="s">
        <v>66</v>
      </c>
      <c r="F640" s="0" t="s">
        <v>47</v>
      </c>
      <c r="G640" s="0" t="s">
        <v>41</v>
      </c>
      <c r="H640" s="0" t="s">
        <v>42</v>
      </c>
      <c r="I640" s="0" t="n">
        <v>2086.03</v>
      </c>
      <c r="J640" s="0" t="n">
        <v>0.05</v>
      </c>
      <c r="K640" s="0" t="n">
        <v>29</v>
      </c>
    </row>
    <row r="641" customFormat="false" ht="15" hidden="false" customHeight="false" outlineLevel="0" collapsed="false">
      <c r="A641" s="0" t="s">
        <v>1141</v>
      </c>
      <c r="B641" s="0" t="s">
        <v>337</v>
      </c>
      <c r="C641" s="0" t="s">
        <v>111</v>
      </c>
      <c r="D641" s="0" t="s">
        <v>95</v>
      </c>
      <c r="E641" s="0" t="s">
        <v>66</v>
      </c>
      <c r="F641" s="0" t="s">
        <v>47</v>
      </c>
      <c r="G641" s="0" t="s">
        <v>53</v>
      </c>
      <c r="H641" s="0" t="s">
        <v>36</v>
      </c>
      <c r="I641" s="0" t="n">
        <v>2256.01</v>
      </c>
      <c r="J641" s="0" t="n">
        <v>0.2</v>
      </c>
      <c r="K641" s="0" t="n">
        <v>19</v>
      </c>
    </row>
    <row r="642" customFormat="false" ht="15" hidden="false" customHeight="false" outlineLevel="0" collapsed="false">
      <c r="A642" s="0" t="s">
        <v>1142</v>
      </c>
      <c r="B642" s="0" t="s">
        <v>1143</v>
      </c>
      <c r="C642" s="0" t="s">
        <v>563</v>
      </c>
      <c r="D642" s="0" t="s">
        <v>40</v>
      </c>
      <c r="E642" s="0" t="s">
        <v>33</v>
      </c>
      <c r="F642" s="0" t="s">
        <v>47</v>
      </c>
      <c r="G642" s="0" t="s">
        <v>117</v>
      </c>
      <c r="H642" s="0" t="s">
        <v>42</v>
      </c>
      <c r="I642" s="0" t="n">
        <v>961.8</v>
      </c>
      <c r="J642" s="0" t="n">
        <v>0.1</v>
      </c>
      <c r="K642" s="0" t="n">
        <v>23</v>
      </c>
    </row>
    <row r="643" customFormat="false" ht="15" hidden="false" customHeight="false" outlineLevel="0" collapsed="false">
      <c r="A643" s="0" t="s">
        <v>1144</v>
      </c>
      <c r="B643" s="0" t="s">
        <v>514</v>
      </c>
      <c r="C643" s="0" t="s">
        <v>770</v>
      </c>
      <c r="D643" s="0" t="s">
        <v>78</v>
      </c>
      <c r="E643" s="0" t="s">
        <v>46</v>
      </c>
      <c r="F643" s="0" t="s">
        <v>73</v>
      </c>
      <c r="G643" s="0" t="s">
        <v>140</v>
      </c>
      <c r="H643" s="0" t="s">
        <v>42</v>
      </c>
      <c r="I643" s="0" t="n">
        <v>129.24</v>
      </c>
      <c r="J643" s="0" t="n">
        <v>0</v>
      </c>
      <c r="K643" s="0" t="n">
        <v>15</v>
      </c>
    </row>
    <row r="644" customFormat="false" ht="15" hidden="false" customHeight="false" outlineLevel="0" collapsed="false">
      <c r="A644" s="0" t="s">
        <v>1145</v>
      </c>
      <c r="B644" s="0" t="s">
        <v>1146</v>
      </c>
      <c r="D644" s="0" t="s">
        <v>95</v>
      </c>
      <c r="E644" s="0" t="s">
        <v>52</v>
      </c>
      <c r="F644" s="0" t="s">
        <v>79</v>
      </c>
      <c r="G644" s="0" t="s">
        <v>74</v>
      </c>
      <c r="H644" s="0" t="s">
        <v>80</v>
      </c>
      <c r="I644" s="0" t="n">
        <v>523.85</v>
      </c>
      <c r="J644" s="0" t="n">
        <v>0.05</v>
      </c>
    </row>
    <row r="645" customFormat="false" ht="15" hidden="false" customHeight="false" outlineLevel="0" collapsed="false">
      <c r="A645" s="0" t="s">
        <v>1147</v>
      </c>
      <c r="B645" s="0" t="s">
        <v>168</v>
      </c>
      <c r="C645" s="0" t="s">
        <v>91</v>
      </c>
      <c r="D645" s="0" t="s">
        <v>86</v>
      </c>
      <c r="E645" s="0" t="s">
        <v>114</v>
      </c>
      <c r="F645" s="0" t="s">
        <v>89</v>
      </c>
      <c r="G645" s="0" t="s">
        <v>41</v>
      </c>
      <c r="H645" s="0" t="s">
        <v>36</v>
      </c>
      <c r="I645" s="0" t="n">
        <v>1483.64</v>
      </c>
      <c r="J645" s="0" t="n">
        <v>0.15</v>
      </c>
      <c r="K645" s="0" t="n">
        <v>24</v>
      </c>
    </row>
    <row r="646" customFormat="false" ht="15" hidden="false" customHeight="false" outlineLevel="0" collapsed="false">
      <c r="A646" s="0" t="s">
        <v>1148</v>
      </c>
      <c r="B646" s="0" t="s">
        <v>1149</v>
      </c>
      <c r="D646" s="0" t="s">
        <v>51</v>
      </c>
      <c r="E646" s="0" t="s">
        <v>33</v>
      </c>
      <c r="F646" s="0" t="s">
        <v>47</v>
      </c>
      <c r="G646" s="0" t="s">
        <v>140</v>
      </c>
      <c r="H646" s="0" t="s">
        <v>75</v>
      </c>
      <c r="I646" s="0" t="n">
        <v>2331.16</v>
      </c>
      <c r="J646" s="0" t="n">
        <v>0</v>
      </c>
    </row>
    <row r="647" customFormat="false" ht="15" hidden="false" customHeight="false" outlineLevel="0" collapsed="false">
      <c r="A647" s="0" t="s">
        <v>1150</v>
      </c>
      <c r="B647" s="0" t="s">
        <v>84</v>
      </c>
      <c r="D647" s="0" t="s">
        <v>78</v>
      </c>
      <c r="E647" s="0" t="s">
        <v>46</v>
      </c>
      <c r="F647" s="0" t="s">
        <v>47</v>
      </c>
      <c r="G647" s="0" t="s">
        <v>53</v>
      </c>
      <c r="H647" s="0" t="s">
        <v>75</v>
      </c>
      <c r="I647" s="0" t="n">
        <v>135.33</v>
      </c>
      <c r="J647" s="0" t="n">
        <v>0.05</v>
      </c>
    </row>
    <row r="648" customFormat="false" ht="15" hidden="false" customHeight="false" outlineLevel="0" collapsed="false">
      <c r="A648" s="0" t="s">
        <v>1151</v>
      </c>
      <c r="B648" s="0" t="s">
        <v>745</v>
      </c>
      <c r="C648" s="0" t="s">
        <v>974</v>
      </c>
      <c r="D648" s="0" t="s">
        <v>32</v>
      </c>
      <c r="E648" s="0" t="s">
        <v>114</v>
      </c>
      <c r="F648" s="0" t="s">
        <v>89</v>
      </c>
      <c r="G648" s="0" t="s">
        <v>53</v>
      </c>
      <c r="H648" s="0" t="s">
        <v>42</v>
      </c>
      <c r="I648" s="0" t="n">
        <v>664.12</v>
      </c>
      <c r="J648" s="0" t="n">
        <v>0.15</v>
      </c>
      <c r="K648" s="0" t="n">
        <v>7</v>
      </c>
    </row>
    <row r="649" customFormat="false" ht="15" hidden="false" customHeight="false" outlineLevel="0" collapsed="false">
      <c r="A649" s="0" t="s">
        <v>1152</v>
      </c>
      <c r="B649" s="0" t="s">
        <v>1109</v>
      </c>
      <c r="D649" s="0" t="s">
        <v>61</v>
      </c>
      <c r="E649" s="0" t="s">
        <v>66</v>
      </c>
      <c r="F649" s="0" t="s">
        <v>34</v>
      </c>
      <c r="G649" s="0" t="s">
        <v>140</v>
      </c>
      <c r="H649" s="0" t="s">
        <v>75</v>
      </c>
      <c r="I649" s="0" t="n">
        <v>663.23</v>
      </c>
      <c r="J649" s="0" t="n">
        <v>0</v>
      </c>
    </row>
    <row r="650" customFormat="false" ht="15" hidden="false" customHeight="false" outlineLevel="0" collapsed="false">
      <c r="A650" s="0" t="s">
        <v>1153</v>
      </c>
      <c r="B650" s="0" t="s">
        <v>898</v>
      </c>
      <c r="D650" s="0" t="s">
        <v>78</v>
      </c>
      <c r="E650" s="0" t="s">
        <v>33</v>
      </c>
      <c r="F650" s="0" t="s">
        <v>57</v>
      </c>
      <c r="G650" s="0" t="s">
        <v>69</v>
      </c>
      <c r="H650" s="0" t="s">
        <v>80</v>
      </c>
      <c r="I650" s="0" t="n">
        <v>965.75</v>
      </c>
      <c r="J650" s="0" t="n">
        <v>0</v>
      </c>
    </row>
    <row r="651" customFormat="false" ht="15" hidden="false" customHeight="false" outlineLevel="0" collapsed="false">
      <c r="A651" s="0" t="s">
        <v>1154</v>
      </c>
      <c r="B651" s="0" t="s">
        <v>773</v>
      </c>
      <c r="C651" s="0" t="s">
        <v>925</v>
      </c>
      <c r="D651" s="0" t="s">
        <v>61</v>
      </c>
      <c r="E651" s="0" t="s">
        <v>46</v>
      </c>
      <c r="F651" s="0" t="s">
        <v>73</v>
      </c>
      <c r="G651" s="0" t="s">
        <v>117</v>
      </c>
      <c r="H651" s="0" t="s">
        <v>42</v>
      </c>
      <c r="I651" s="0" t="n">
        <v>267.96</v>
      </c>
      <c r="J651" s="0" t="n">
        <v>0</v>
      </c>
      <c r="K651" s="0" t="n">
        <v>11</v>
      </c>
    </row>
    <row r="652" customFormat="false" ht="15" hidden="false" customHeight="false" outlineLevel="0" collapsed="false">
      <c r="A652" s="0" t="s">
        <v>1155</v>
      </c>
      <c r="B652" s="0" t="s">
        <v>214</v>
      </c>
      <c r="D652" s="0" t="s">
        <v>61</v>
      </c>
      <c r="E652" s="0" t="s">
        <v>52</v>
      </c>
      <c r="F652" s="0" t="s">
        <v>89</v>
      </c>
      <c r="G652" s="0" t="s">
        <v>74</v>
      </c>
      <c r="H652" s="0" t="s">
        <v>75</v>
      </c>
      <c r="I652" s="0" t="n">
        <v>1489.63</v>
      </c>
      <c r="J652" s="0" t="n">
        <v>0</v>
      </c>
    </row>
    <row r="653" customFormat="false" ht="15" hidden="false" customHeight="false" outlineLevel="0" collapsed="false">
      <c r="A653" s="0" t="s">
        <v>1156</v>
      </c>
      <c r="B653" s="0" t="s">
        <v>797</v>
      </c>
      <c r="C653" s="0" t="s">
        <v>701</v>
      </c>
      <c r="D653" s="0" t="s">
        <v>40</v>
      </c>
      <c r="E653" s="0" t="s">
        <v>114</v>
      </c>
      <c r="F653" s="0" t="s">
        <v>47</v>
      </c>
      <c r="G653" s="0" t="s">
        <v>74</v>
      </c>
      <c r="H653" s="0" t="s">
        <v>42</v>
      </c>
      <c r="I653" s="0" t="n">
        <v>707.47</v>
      </c>
      <c r="J653" s="0" t="n">
        <v>0.1</v>
      </c>
      <c r="K653" s="0" t="n">
        <v>23</v>
      </c>
    </row>
    <row r="654" customFormat="false" ht="15" hidden="false" customHeight="false" outlineLevel="0" collapsed="false">
      <c r="A654" s="0" t="s">
        <v>1157</v>
      </c>
      <c r="B654" s="0" t="s">
        <v>309</v>
      </c>
      <c r="C654" s="0" t="s">
        <v>113</v>
      </c>
      <c r="D654" s="0" t="s">
        <v>40</v>
      </c>
      <c r="E654" s="0" t="s">
        <v>46</v>
      </c>
      <c r="F654" s="0" t="s">
        <v>34</v>
      </c>
      <c r="H654" s="0" t="s">
        <v>42</v>
      </c>
      <c r="I654" s="0" t="n">
        <v>116.93</v>
      </c>
      <c r="J654" s="0" t="n">
        <v>0.15</v>
      </c>
      <c r="K654" s="0" t="n">
        <v>8</v>
      </c>
    </row>
    <row r="655" customFormat="false" ht="15" hidden="false" customHeight="false" outlineLevel="0" collapsed="false">
      <c r="A655" s="0" t="s">
        <v>1158</v>
      </c>
      <c r="B655" s="0" t="s">
        <v>450</v>
      </c>
      <c r="D655" s="0" t="s">
        <v>32</v>
      </c>
      <c r="E655" s="0" t="s">
        <v>114</v>
      </c>
      <c r="F655" s="0" t="s">
        <v>73</v>
      </c>
      <c r="G655" s="0" t="s">
        <v>35</v>
      </c>
      <c r="H655" s="0" t="s">
        <v>62</v>
      </c>
      <c r="I655" s="0" t="n">
        <v>680.17</v>
      </c>
      <c r="J655" s="0" t="n">
        <v>0.05</v>
      </c>
    </row>
    <row r="656" customFormat="false" ht="15" hidden="false" customHeight="false" outlineLevel="0" collapsed="false">
      <c r="A656" s="0" t="s">
        <v>1159</v>
      </c>
      <c r="B656" s="0" t="s">
        <v>1160</v>
      </c>
      <c r="C656" s="0" t="s">
        <v>492</v>
      </c>
      <c r="D656" s="0" t="s">
        <v>40</v>
      </c>
      <c r="E656" s="0" t="s">
        <v>114</v>
      </c>
      <c r="F656" s="0" t="s">
        <v>79</v>
      </c>
      <c r="G656" s="0" t="s">
        <v>53</v>
      </c>
      <c r="H656" s="0" t="s">
        <v>36</v>
      </c>
      <c r="I656" s="0" t="n">
        <v>751.34</v>
      </c>
      <c r="J656" s="0" t="n">
        <v>0</v>
      </c>
      <c r="K656" s="0" t="n">
        <v>19</v>
      </c>
    </row>
    <row r="657" customFormat="false" ht="15" hidden="false" customHeight="false" outlineLevel="0" collapsed="false">
      <c r="A657" s="0" t="s">
        <v>1161</v>
      </c>
      <c r="B657" s="0" t="s">
        <v>726</v>
      </c>
      <c r="C657" s="0" t="s">
        <v>196</v>
      </c>
      <c r="D657" s="0" t="s">
        <v>61</v>
      </c>
      <c r="E657" s="0" t="s">
        <v>33</v>
      </c>
      <c r="F657" s="0" t="s">
        <v>57</v>
      </c>
      <c r="G657" s="0" t="s">
        <v>35</v>
      </c>
      <c r="H657" s="0" t="s">
        <v>36</v>
      </c>
      <c r="I657" s="0" t="n">
        <v>774.82</v>
      </c>
      <c r="J657" s="0" t="n">
        <v>0.2</v>
      </c>
      <c r="K657" s="0" t="n">
        <v>15</v>
      </c>
    </row>
    <row r="658" customFormat="false" ht="15" hidden="false" customHeight="false" outlineLevel="0" collapsed="false">
      <c r="A658" s="0" t="s">
        <v>1162</v>
      </c>
      <c r="B658" s="0" t="s">
        <v>1163</v>
      </c>
      <c r="C658" s="0" t="s">
        <v>242</v>
      </c>
      <c r="D658" s="0" t="s">
        <v>32</v>
      </c>
      <c r="E658" s="0" t="s">
        <v>114</v>
      </c>
      <c r="F658" s="0" t="s">
        <v>34</v>
      </c>
      <c r="G658" s="0" t="s">
        <v>117</v>
      </c>
      <c r="H658" s="0" t="s">
        <v>36</v>
      </c>
      <c r="I658" s="0" t="n">
        <v>606.51</v>
      </c>
      <c r="J658" s="0" t="n">
        <v>0</v>
      </c>
      <c r="K658" s="0" t="n">
        <v>21</v>
      </c>
    </row>
    <row r="659" customFormat="false" ht="15" hidden="false" customHeight="false" outlineLevel="0" collapsed="false">
      <c r="A659" s="0" t="s">
        <v>1164</v>
      </c>
      <c r="B659" s="0" t="s">
        <v>834</v>
      </c>
      <c r="D659" s="0" t="s">
        <v>61</v>
      </c>
      <c r="E659" s="0" t="s">
        <v>114</v>
      </c>
      <c r="F659" s="0" t="s">
        <v>89</v>
      </c>
      <c r="G659" s="0" t="s">
        <v>35</v>
      </c>
      <c r="H659" s="0" t="s">
        <v>80</v>
      </c>
      <c r="I659" s="0" t="n">
        <v>2073.68</v>
      </c>
      <c r="J659" s="0" t="n">
        <v>0.15</v>
      </c>
    </row>
    <row r="660" customFormat="false" ht="15" hidden="false" customHeight="false" outlineLevel="0" collapsed="false">
      <c r="A660" s="0" t="s">
        <v>1165</v>
      </c>
      <c r="B660" s="0" t="s">
        <v>1093</v>
      </c>
      <c r="D660" s="0" t="s">
        <v>61</v>
      </c>
      <c r="E660" s="0" t="s">
        <v>46</v>
      </c>
      <c r="F660" s="0" t="s">
        <v>89</v>
      </c>
      <c r="G660" s="0" t="s">
        <v>69</v>
      </c>
      <c r="H660" s="0" t="s">
        <v>75</v>
      </c>
      <c r="I660" s="0" t="n">
        <v>116.66</v>
      </c>
      <c r="J660" s="0" t="n">
        <v>0.2</v>
      </c>
    </row>
    <row r="661" customFormat="false" ht="15" hidden="false" customHeight="false" outlineLevel="0" collapsed="false">
      <c r="A661" s="0" t="s">
        <v>1166</v>
      </c>
      <c r="B661" s="0" t="s">
        <v>813</v>
      </c>
      <c r="C661" s="0" t="s">
        <v>1020</v>
      </c>
      <c r="D661" s="0" t="s">
        <v>86</v>
      </c>
      <c r="E661" s="0" t="s">
        <v>33</v>
      </c>
      <c r="F661" s="0" t="s">
        <v>89</v>
      </c>
      <c r="G661" s="0" t="s">
        <v>58</v>
      </c>
      <c r="H661" s="0" t="s">
        <v>42</v>
      </c>
      <c r="I661" s="0" t="n">
        <v>1839.6</v>
      </c>
      <c r="J661" s="0" t="n">
        <v>0.2</v>
      </c>
      <c r="K661" s="0" t="n">
        <v>28</v>
      </c>
    </row>
    <row r="662" customFormat="false" ht="15" hidden="false" customHeight="false" outlineLevel="0" collapsed="false">
      <c r="A662" s="0" t="s">
        <v>1167</v>
      </c>
      <c r="B662" s="0" t="s">
        <v>149</v>
      </c>
      <c r="C662" s="0" t="s">
        <v>355</v>
      </c>
      <c r="D662" s="0" t="s">
        <v>40</v>
      </c>
      <c r="E662" s="0" t="s">
        <v>52</v>
      </c>
      <c r="F662" s="0" t="s">
        <v>57</v>
      </c>
      <c r="G662" s="0" t="s">
        <v>69</v>
      </c>
      <c r="H662" s="0" t="s">
        <v>42</v>
      </c>
      <c r="I662" s="0" t="n">
        <v>572.95</v>
      </c>
      <c r="J662" s="0" t="n">
        <v>0.15</v>
      </c>
      <c r="K662" s="0" t="n">
        <v>5</v>
      </c>
    </row>
    <row r="663" customFormat="false" ht="15" hidden="false" customHeight="false" outlineLevel="0" collapsed="false">
      <c r="A663" s="0" t="s">
        <v>1168</v>
      </c>
      <c r="B663" s="0" t="s">
        <v>106</v>
      </c>
      <c r="C663" s="0" t="s">
        <v>674</v>
      </c>
      <c r="D663" s="0" t="s">
        <v>51</v>
      </c>
      <c r="E663" s="0" t="s">
        <v>33</v>
      </c>
      <c r="F663" s="0" t="s">
        <v>34</v>
      </c>
      <c r="G663" s="0" t="s">
        <v>117</v>
      </c>
      <c r="H663" s="0" t="s">
        <v>42</v>
      </c>
      <c r="I663" s="0" t="n">
        <v>954.89</v>
      </c>
      <c r="J663" s="0" t="n">
        <v>0.05</v>
      </c>
      <c r="K663" s="0" t="n">
        <v>3</v>
      </c>
    </row>
    <row r="664" customFormat="false" ht="15" hidden="false" customHeight="false" outlineLevel="0" collapsed="false">
      <c r="A664" s="0" t="s">
        <v>1169</v>
      </c>
      <c r="B664" s="0" t="s">
        <v>813</v>
      </c>
      <c r="C664" s="0" t="s">
        <v>662</v>
      </c>
      <c r="D664" s="0" t="s">
        <v>32</v>
      </c>
      <c r="E664" s="0" t="s">
        <v>46</v>
      </c>
      <c r="F664" s="0" t="s">
        <v>89</v>
      </c>
      <c r="G664" s="0" t="s">
        <v>35</v>
      </c>
      <c r="H664" s="0" t="s">
        <v>42</v>
      </c>
      <c r="I664" s="0" t="n">
        <v>122.55</v>
      </c>
      <c r="J664" s="0" t="n">
        <v>0.2</v>
      </c>
      <c r="K664" s="0" t="n">
        <v>24</v>
      </c>
    </row>
    <row r="665" customFormat="false" ht="15" hidden="false" customHeight="false" outlineLevel="0" collapsed="false">
      <c r="A665" s="0" t="s">
        <v>1170</v>
      </c>
      <c r="B665" s="0" t="s">
        <v>498</v>
      </c>
      <c r="D665" s="0" t="s">
        <v>40</v>
      </c>
      <c r="E665" s="0" t="s">
        <v>66</v>
      </c>
      <c r="F665" s="0" t="s">
        <v>57</v>
      </c>
      <c r="G665" s="0" t="s">
        <v>74</v>
      </c>
      <c r="H665" s="0" t="s">
        <v>62</v>
      </c>
      <c r="I665" s="0" t="n">
        <v>1492.92</v>
      </c>
      <c r="J665" s="0" t="n">
        <v>0.1</v>
      </c>
    </row>
    <row r="666" customFormat="false" ht="15" hidden="false" customHeight="false" outlineLevel="0" collapsed="false">
      <c r="A666" s="0" t="s">
        <v>1171</v>
      </c>
      <c r="B666" s="0" t="s">
        <v>776</v>
      </c>
      <c r="C666" s="0" t="s">
        <v>84</v>
      </c>
      <c r="D666" s="0" t="s">
        <v>32</v>
      </c>
      <c r="E666" s="0" t="s">
        <v>72</v>
      </c>
      <c r="F666" s="0" t="s">
        <v>89</v>
      </c>
      <c r="G666" s="0" t="s">
        <v>35</v>
      </c>
      <c r="H666" s="0" t="s">
        <v>36</v>
      </c>
      <c r="I666" s="0" t="n">
        <v>381.02</v>
      </c>
      <c r="J666" s="0" t="n">
        <v>0.15</v>
      </c>
      <c r="K666" s="0" t="n">
        <v>12</v>
      </c>
    </row>
    <row r="667" customFormat="false" ht="15" hidden="false" customHeight="false" outlineLevel="0" collapsed="false">
      <c r="A667" s="0" t="s">
        <v>1172</v>
      </c>
      <c r="B667" s="0" t="s">
        <v>1048</v>
      </c>
      <c r="C667" s="0" t="s">
        <v>65</v>
      </c>
      <c r="D667" s="0" t="s">
        <v>32</v>
      </c>
      <c r="E667" s="0" t="s">
        <v>114</v>
      </c>
      <c r="F667" s="0" t="s">
        <v>73</v>
      </c>
      <c r="G667" s="0" t="s">
        <v>53</v>
      </c>
      <c r="H667" s="0" t="s">
        <v>36</v>
      </c>
      <c r="I667" s="0" t="n">
        <v>595.85</v>
      </c>
      <c r="J667" s="0" t="n">
        <v>0.2</v>
      </c>
      <c r="K667" s="0" t="n">
        <v>15</v>
      </c>
    </row>
    <row r="668" customFormat="false" ht="15" hidden="false" customHeight="false" outlineLevel="0" collapsed="false">
      <c r="A668" s="0" t="s">
        <v>1173</v>
      </c>
      <c r="B668" s="0" t="s">
        <v>520</v>
      </c>
      <c r="C668" s="0" t="s">
        <v>447</v>
      </c>
      <c r="D668" s="0" t="s">
        <v>78</v>
      </c>
      <c r="E668" s="0" t="s">
        <v>33</v>
      </c>
      <c r="F668" s="0" t="s">
        <v>89</v>
      </c>
      <c r="G668" s="0" t="s">
        <v>58</v>
      </c>
      <c r="H668" s="0" t="s">
        <v>36</v>
      </c>
      <c r="I668" s="0" t="n">
        <v>2313.57</v>
      </c>
      <c r="J668" s="0" t="n">
        <v>0</v>
      </c>
      <c r="K668" s="0" t="n">
        <v>19</v>
      </c>
    </row>
    <row r="669" customFormat="false" ht="15" hidden="false" customHeight="false" outlineLevel="0" collapsed="false">
      <c r="A669" s="0" t="s">
        <v>1174</v>
      </c>
      <c r="B669" s="0" t="s">
        <v>50</v>
      </c>
      <c r="D669" s="0" t="s">
        <v>78</v>
      </c>
      <c r="E669" s="0" t="s">
        <v>114</v>
      </c>
      <c r="F669" s="0" t="s">
        <v>57</v>
      </c>
      <c r="G669" s="0" t="s">
        <v>41</v>
      </c>
      <c r="H669" s="0" t="s">
        <v>80</v>
      </c>
      <c r="I669" s="0" t="n">
        <v>1840.32</v>
      </c>
      <c r="J669" s="0" t="n">
        <v>0</v>
      </c>
    </row>
    <row r="670" customFormat="false" ht="15" hidden="false" customHeight="false" outlineLevel="0" collapsed="false">
      <c r="A670" s="0" t="s">
        <v>1175</v>
      </c>
      <c r="B670" s="0" t="s">
        <v>378</v>
      </c>
      <c r="D670" s="0" t="s">
        <v>40</v>
      </c>
      <c r="E670" s="0" t="s">
        <v>46</v>
      </c>
      <c r="F670" s="0" t="s">
        <v>73</v>
      </c>
      <c r="G670" s="0" t="s">
        <v>69</v>
      </c>
      <c r="H670" s="0" t="s">
        <v>80</v>
      </c>
      <c r="I670" s="0" t="n">
        <v>234.33</v>
      </c>
      <c r="J670" s="0" t="n">
        <v>0.15</v>
      </c>
    </row>
    <row r="671" customFormat="false" ht="15" hidden="false" customHeight="false" outlineLevel="0" collapsed="false">
      <c r="A671" s="0" t="s">
        <v>1176</v>
      </c>
      <c r="B671" s="0" t="s">
        <v>575</v>
      </c>
      <c r="D671" s="0" t="s">
        <v>78</v>
      </c>
      <c r="E671" s="0" t="s">
        <v>46</v>
      </c>
      <c r="F671" s="0" t="s">
        <v>47</v>
      </c>
      <c r="G671" s="0" t="s">
        <v>35</v>
      </c>
      <c r="H671" s="0" t="s">
        <v>80</v>
      </c>
      <c r="I671" s="0" t="n">
        <v>129.46</v>
      </c>
      <c r="J671" s="0" t="n">
        <v>0</v>
      </c>
    </row>
    <row r="672" customFormat="false" ht="15" hidden="false" customHeight="false" outlineLevel="0" collapsed="false">
      <c r="A672" s="0" t="s">
        <v>1177</v>
      </c>
      <c r="B672" s="0" t="s">
        <v>745</v>
      </c>
      <c r="C672" s="0" t="s">
        <v>1178</v>
      </c>
      <c r="D672" s="0" t="s">
        <v>61</v>
      </c>
      <c r="E672" s="0" t="s">
        <v>33</v>
      </c>
      <c r="F672" s="0" t="s">
        <v>89</v>
      </c>
      <c r="G672" s="0" t="s">
        <v>74</v>
      </c>
      <c r="H672" s="0" t="s">
        <v>42</v>
      </c>
      <c r="I672" s="0" t="n">
        <v>970.08</v>
      </c>
      <c r="J672" s="0" t="n">
        <v>0.2</v>
      </c>
      <c r="K672" s="0" t="n">
        <v>14</v>
      </c>
    </row>
    <row r="673" customFormat="false" ht="15" hidden="false" customHeight="false" outlineLevel="0" collapsed="false">
      <c r="A673" s="0" t="s">
        <v>1179</v>
      </c>
      <c r="B673" s="0" t="s">
        <v>322</v>
      </c>
      <c r="C673" s="0" t="s">
        <v>471</v>
      </c>
      <c r="D673" s="0" t="s">
        <v>51</v>
      </c>
      <c r="E673" s="0" t="s">
        <v>52</v>
      </c>
      <c r="F673" s="0" t="s">
        <v>89</v>
      </c>
      <c r="G673" s="0" t="s">
        <v>117</v>
      </c>
      <c r="H673" s="0" t="s">
        <v>42</v>
      </c>
      <c r="I673" s="0" t="n">
        <v>969.63</v>
      </c>
      <c r="J673" s="0" t="n">
        <v>0</v>
      </c>
      <c r="K673" s="0" t="n">
        <v>25</v>
      </c>
    </row>
    <row r="674" customFormat="false" ht="15" hidden="false" customHeight="false" outlineLevel="0" collapsed="false">
      <c r="A674" s="0" t="s">
        <v>1180</v>
      </c>
      <c r="B674" s="0" t="s">
        <v>194</v>
      </c>
      <c r="C674" s="0" t="s">
        <v>437</v>
      </c>
      <c r="D674" s="0" t="s">
        <v>86</v>
      </c>
      <c r="E674" s="0" t="s">
        <v>46</v>
      </c>
      <c r="F674" s="0" t="s">
        <v>34</v>
      </c>
      <c r="G674" s="0" t="s">
        <v>117</v>
      </c>
      <c r="H674" s="0" t="s">
        <v>36</v>
      </c>
      <c r="I674" s="0" t="n">
        <v>335.44</v>
      </c>
      <c r="J674" s="0" t="n">
        <v>0.15</v>
      </c>
      <c r="K674" s="0" t="n">
        <v>30</v>
      </c>
    </row>
    <row r="675" customFormat="false" ht="15" hidden="false" customHeight="false" outlineLevel="0" collapsed="false">
      <c r="A675" s="0" t="s">
        <v>1181</v>
      </c>
      <c r="B675" s="0" t="s">
        <v>289</v>
      </c>
      <c r="D675" s="0" t="s">
        <v>51</v>
      </c>
      <c r="E675" s="0" t="s">
        <v>66</v>
      </c>
      <c r="F675" s="0" t="s">
        <v>34</v>
      </c>
      <c r="H675" s="0" t="s">
        <v>80</v>
      </c>
      <c r="I675" s="0" t="n">
        <v>636.8</v>
      </c>
      <c r="J675" s="0" t="n">
        <v>0.15</v>
      </c>
    </row>
    <row r="676" customFormat="false" ht="15" hidden="false" customHeight="false" outlineLevel="0" collapsed="false">
      <c r="A676" s="0" t="s">
        <v>1182</v>
      </c>
      <c r="B676" s="0" t="s">
        <v>978</v>
      </c>
      <c r="C676" s="0" t="s">
        <v>209</v>
      </c>
      <c r="D676" s="0" t="s">
        <v>40</v>
      </c>
      <c r="E676" s="0" t="s">
        <v>72</v>
      </c>
      <c r="F676" s="0" t="s">
        <v>34</v>
      </c>
      <c r="G676" s="0" t="s">
        <v>53</v>
      </c>
      <c r="H676" s="0" t="s">
        <v>42</v>
      </c>
      <c r="I676" s="0" t="n">
        <v>729.85</v>
      </c>
      <c r="J676" s="0" t="n">
        <v>0.05</v>
      </c>
      <c r="K676" s="0" t="n">
        <v>3</v>
      </c>
    </row>
    <row r="677" customFormat="false" ht="15" hidden="false" customHeight="false" outlineLevel="0" collapsed="false">
      <c r="A677" s="0" t="s">
        <v>1183</v>
      </c>
      <c r="B677" s="0" t="s">
        <v>366</v>
      </c>
      <c r="C677" s="0" t="s">
        <v>1140</v>
      </c>
      <c r="D677" s="0" t="s">
        <v>95</v>
      </c>
      <c r="E677" s="0" t="s">
        <v>46</v>
      </c>
      <c r="F677" s="0" t="s">
        <v>73</v>
      </c>
      <c r="G677" s="0" t="s">
        <v>58</v>
      </c>
      <c r="H677" s="0" t="s">
        <v>36</v>
      </c>
      <c r="I677" s="0" t="n">
        <v>275.92</v>
      </c>
      <c r="J677" s="0" t="n">
        <v>0</v>
      </c>
      <c r="K677" s="0" t="n">
        <v>18</v>
      </c>
    </row>
    <row r="678" customFormat="false" ht="15" hidden="false" customHeight="false" outlineLevel="0" collapsed="false">
      <c r="A678" s="0" t="s">
        <v>1184</v>
      </c>
      <c r="B678" s="0" t="s">
        <v>1127</v>
      </c>
      <c r="D678" s="0" t="s">
        <v>86</v>
      </c>
      <c r="E678" s="0" t="s">
        <v>114</v>
      </c>
      <c r="F678" s="0" t="s">
        <v>79</v>
      </c>
      <c r="G678" s="0" t="s">
        <v>53</v>
      </c>
      <c r="H678" s="0" t="s">
        <v>80</v>
      </c>
      <c r="I678" s="0" t="n">
        <v>658.56</v>
      </c>
      <c r="J678" s="0" t="n">
        <v>0</v>
      </c>
    </row>
    <row r="679" customFormat="false" ht="15" hidden="false" customHeight="false" outlineLevel="0" collapsed="false">
      <c r="A679" s="0" t="s">
        <v>1185</v>
      </c>
      <c r="B679" s="0" t="s">
        <v>60</v>
      </c>
      <c r="D679" s="0" t="s">
        <v>86</v>
      </c>
      <c r="E679" s="0" t="s">
        <v>72</v>
      </c>
      <c r="F679" s="0" t="s">
        <v>34</v>
      </c>
      <c r="G679" s="0" t="s">
        <v>117</v>
      </c>
      <c r="H679" s="0" t="s">
        <v>80</v>
      </c>
      <c r="I679" s="0" t="n">
        <v>337.55</v>
      </c>
      <c r="J679" s="0" t="n">
        <v>0.05</v>
      </c>
    </row>
    <row r="680" customFormat="false" ht="15" hidden="false" customHeight="false" outlineLevel="0" collapsed="false">
      <c r="A680" s="0" t="s">
        <v>1186</v>
      </c>
      <c r="B680" s="0" t="s">
        <v>601</v>
      </c>
      <c r="D680" s="0" t="s">
        <v>32</v>
      </c>
      <c r="E680" s="0" t="s">
        <v>52</v>
      </c>
      <c r="F680" s="0" t="s">
        <v>89</v>
      </c>
      <c r="G680" s="0" t="s">
        <v>140</v>
      </c>
      <c r="H680" s="0" t="s">
        <v>80</v>
      </c>
      <c r="I680" s="0" t="n">
        <v>512.01</v>
      </c>
      <c r="J680" s="0" t="n">
        <v>0.15</v>
      </c>
    </row>
    <row r="681" customFormat="false" ht="15" hidden="false" customHeight="false" outlineLevel="0" collapsed="false">
      <c r="A681" s="0" t="s">
        <v>1187</v>
      </c>
      <c r="B681" s="0" t="s">
        <v>134</v>
      </c>
      <c r="C681" s="0" t="s">
        <v>934</v>
      </c>
      <c r="D681" s="0" t="s">
        <v>40</v>
      </c>
      <c r="E681" s="0" t="s">
        <v>46</v>
      </c>
      <c r="F681" s="0" t="s">
        <v>34</v>
      </c>
      <c r="G681" s="0" t="s">
        <v>74</v>
      </c>
      <c r="H681" s="0" t="s">
        <v>36</v>
      </c>
      <c r="I681" s="0" t="n">
        <v>363.55</v>
      </c>
      <c r="J681" s="0" t="n">
        <v>0.15</v>
      </c>
      <c r="K681" s="0" t="n">
        <v>27</v>
      </c>
    </row>
    <row r="682" customFormat="false" ht="15" hidden="false" customHeight="false" outlineLevel="0" collapsed="false">
      <c r="A682" s="0" t="s">
        <v>1188</v>
      </c>
      <c r="B682" s="0" t="s">
        <v>610</v>
      </c>
      <c r="C682" s="0" t="s">
        <v>154</v>
      </c>
      <c r="D682" s="0" t="s">
        <v>51</v>
      </c>
      <c r="E682" s="0" t="s">
        <v>66</v>
      </c>
      <c r="F682" s="0" t="s">
        <v>47</v>
      </c>
      <c r="G682" s="0" t="s">
        <v>117</v>
      </c>
      <c r="H682" s="0" t="s">
        <v>36</v>
      </c>
      <c r="I682" s="0" t="n">
        <v>646.31</v>
      </c>
      <c r="J682" s="0" t="n">
        <v>0.05</v>
      </c>
      <c r="K682" s="0" t="n">
        <v>20</v>
      </c>
    </row>
    <row r="683" customFormat="false" ht="15" hidden="false" customHeight="false" outlineLevel="0" collapsed="false">
      <c r="A683" s="0" t="s">
        <v>1189</v>
      </c>
      <c r="B683" s="0" t="s">
        <v>289</v>
      </c>
      <c r="D683" s="0" t="s">
        <v>78</v>
      </c>
      <c r="E683" s="0" t="s">
        <v>52</v>
      </c>
      <c r="F683" s="0" t="s">
        <v>73</v>
      </c>
      <c r="G683" s="0" t="s">
        <v>117</v>
      </c>
      <c r="H683" s="0" t="s">
        <v>80</v>
      </c>
      <c r="I683" s="0" t="n">
        <v>496.07</v>
      </c>
      <c r="J683" s="0" t="n">
        <v>0</v>
      </c>
    </row>
    <row r="684" customFormat="false" ht="15" hidden="false" customHeight="false" outlineLevel="0" collapsed="false">
      <c r="A684" s="0" t="s">
        <v>1190</v>
      </c>
      <c r="B684" s="0" t="s">
        <v>699</v>
      </c>
      <c r="D684" s="0" t="s">
        <v>32</v>
      </c>
      <c r="E684" s="0" t="s">
        <v>52</v>
      </c>
      <c r="F684" s="0" t="s">
        <v>47</v>
      </c>
      <c r="H684" s="0" t="s">
        <v>62</v>
      </c>
      <c r="I684" s="0" t="n">
        <v>544.73</v>
      </c>
      <c r="J684" s="0" t="n">
        <v>0.15</v>
      </c>
    </row>
    <row r="685" customFormat="false" ht="15" hidden="false" customHeight="false" outlineLevel="0" collapsed="false">
      <c r="A685" s="0" t="s">
        <v>1191</v>
      </c>
      <c r="B685" s="0" t="s">
        <v>524</v>
      </c>
      <c r="D685" s="0" t="s">
        <v>32</v>
      </c>
      <c r="E685" s="0" t="s">
        <v>52</v>
      </c>
      <c r="F685" s="0" t="s">
        <v>34</v>
      </c>
      <c r="G685" s="0" t="s">
        <v>74</v>
      </c>
      <c r="H685" s="0" t="s">
        <v>75</v>
      </c>
      <c r="I685" s="0" t="n">
        <v>1436.81</v>
      </c>
      <c r="J685" s="0" t="n">
        <v>0</v>
      </c>
    </row>
    <row r="686" customFormat="false" ht="15" hidden="false" customHeight="false" outlineLevel="0" collapsed="false">
      <c r="A686" s="0" t="s">
        <v>1192</v>
      </c>
      <c r="B686" s="0" t="s">
        <v>900</v>
      </c>
      <c r="C686" s="0" t="s">
        <v>332</v>
      </c>
      <c r="D686" s="0" t="s">
        <v>95</v>
      </c>
      <c r="E686" s="0" t="s">
        <v>114</v>
      </c>
      <c r="F686" s="0" t="s">
        <v>34</v>
      </c>
      <c r="G686" s="0" t="s">
        <v>58</v>
      </c>
      <c r="H686" s="0" t="s">
        <v>42</v>
      </c>
      <c r="I686" s="0" t="n">
        <v>1446.96</v>
      </c>
      <c r="J686" s="0" t="n">
        <v>0</v>
      </c>
      <c r="K686" s="0" t="n">
        <v>22</v>
      </c>
    </row>
    <row r="687" customFormat="false" ht="15" hidden="false" customHeight="false" outlineLevel="0" collapsed="false">
      <c r="A687" s="0" t="s">
        <v>1193</v>
      </c>
      <c r="B687" s="0" t="s">
        <v>544</v>
      </c>
      <c r="D687" s="0" t="s">
        <v>95</v>
      </c>
      <c r="E687" s="0" t="s">
        <v>46</v>
      </c>
      <c r="F687" s="0" t="s">
        <v>57</v>
      </c>
      <c r="G687" s="0" t="s">
        <v>53</v>
      </c>
      <c r="H687" s="0" t="s">
        <v>62</v>
      </c>
      <c r="I687" s="0" t="n">
        <v>126.74</v>
      </c>
      <c r="J687" s="0" t="n">
        <v>0</v>
      </c>
    </row>
    <row r="688" customFormat="false" ht="15" hidden="false" customHeight="false" outlineLevel="0" collapsed="false">
      <c r="A688" s="0" t="s">
        <v>1194</v>
      </c>
      <c r="B688" s="0" t="s">
        <v>539</v>
      </c>
      <c r="C688" s="0" t="s">
        <v>393</v>
      </c>
      <c r="D688" s="0" t="s">
        <v>95</v>
      </c>
      <c r="E688" s="0" t="s">
        <v>52</v>
      </c>
      <c r="F688" s="0" t="s">
        <v>73</v>
      </c>
      <c r="G688" s="0" t="s">
        <v>69</v>
      </c>
      <c r="H688" s="0" t="s">
        <v>36</v>
      </c>
      <c r="I688" s="0" t="n">
        <v>1002.47</v>
      </c>
      <c r="J688" s="0" t="n">
        <v>0</v>
      </c>
      <c r="K688" s="0" t="n">
        <v>14</v>
      </c>
    </row>
    <row r="689" customFormat="false" ht="15" hidden="false" customHeight="false" outlineLevel="0" collapsed="false">
      <c r="A689" s="0" t="s">
        <v>1195</v>
      </c>
      <c r="B689" s="0" t="s">
        <v>1140</v>
      </c>
      <c r="D689" s="0" t="s">
        <v>32</v>
      </c>
      <c r="E689" s="0" t="s">
        <v>72</v>
      </c>
      <c r="F689" s="0" t="s">
        <v>47</v>
      </c>
      <c r="G689" s="0" t="s">
        <v>117</v>
      </c>
      <c r="H689" s="0" t="s">
        <v>62</v>
      </c>
      <c r="I689" s="0" t="n">
        <v>325.7</v>
      </c>
      <c r="J689" s="0" t="n">
        <v>0.2</v>
      </c>
    </row>
    <row r="690" customFormat="false" ht="15" hidden="false" customHeight="false" outlineLevel="0" collapsed="false">
      <c r="A690" s="0" t="s">
        <v>1196</v>
      </c>
      <c r="B690" s="0" t="s">
        <v>610</v>
      </c>
      <c r="D690" s="0" t="s">
        <v>95</v>
      </c>
      <c r="E690" s="0" t="s">
        <v>46</v>
      </c>
      <c r="F690" s="0" t="s">
        <v>47</v>
      </c>
      <c r="G690" s="0" t="s">
        <v>69</v>
      </c>
      <c r="H690" s="0" t="s">
        <v>75</v>
      </c>
      <c r="I690" s="0" t="n">
        <v>112.05</v>
      </c>
      <c r="J690" s="0" t="n">
        <v>0</v>
      </c>
    </row>
    <row r="691" customFormat="false" ht="15" hidden="false" customHeight="false" outlineLevel="0" collapsed="false">
      <c r="A691" s="0" t="s">
        <v>1197</v>
      </c>
      <c r="B691" s="0" t="s">
        <v>441</v>
      </c>
      <c r="D691" s="0" t="s">
        <v>78</v>
      </c>
      <c r="E691" s="0" t="s">
        <v>46</v>
      </c>
      <c r="F691" s="0" t="s">
        <v>57</v>
      </c>
      <c r="G691" s="0" t="s">
        <v>35</v>
      </c>
      <c r="H691" s="0" t="s">
        <v>80</v>
      </c>
      <c r="I691" s="0" t="n">
        <v>266.31</v>
      </c>
      <c r="J691" s="0" t="n">
        <v>0.15</v>
      </c>
    </row>
    <row r="692" customFormat="false" ht="15" hidden="false" customHeight="false" outlineLevel="0" collapsed="false">
      <c r="A692" s="0" t="s">
        <v>1198</v>
      </c>
      <c r="B692" s="0" t="s">
        <v>419</v>
      </c>
      <c r="C692" s="0" t="s">
        <v>587</v>
      </c>
      <c r="D692" s="0" t="s">
        <v>61</v>
      </c>
      <c r="E692" s="0" t="s">
        <v>52</v>
      </c>
      <c r="F692" s="0" t="s">
        <v>34</v>
      </c>
      <c r="G692" s="0" t="s">
        <v>35</v>
      </c>
      <c r="H692" s="0" t="s">
        <v>42</v>
      </c>
      <c r="I692" s="0" t="n">
        <v>471.4</v>
      </c>
      <c r="J692" s="0" t="n">
        <v>0.15</v>
      </c>
      <c r="K692" s="0" t="n">
        <v>32</v>
      </c>
    </row>
    <row r="693" customFormat="false" ht="15" hidden="false" customHeight="false" outlineLevel="0" collapsed="false">
      <c r="A693" s="0" t="s">
        <v>1199</v>
      </c>
      <c r="B693" s="0" t="s">
        <v>563</v>
      </c>
      <c r="C693" s="0" t="s">
        <v>414</v>
      </c>
      <c r="D693" s="0" t="s">
        <v>40</v>
      </c>
      <c r="E693" s="0" t="s">
        <v>114</v>
      </c>
      <c r="F693" s="0" t="s">
        <v>129</v>
      </c>
      <c r="G693" s="0" t="s">
        <v>35</v>
      </c>
      <c r="H693" s="0" t="s">
        <v>42</v>
      </c>
      <c r="I693" s="0" t="n">
        <v>683.81</v>
      </c>
      <c r="J693" s="0" t="n">
        <v>0</v>
      </c>
      <c r="K693" s="0" t="n">
        <v>16</v>
      </c>
    </row>
    <row r="694" customFormat="false" ht="15" hidden="false" customHeight="false" outlineLevel="0" collapsed="false">
      <c r="A694" s="0" t="s">
        <v>1200</v>
      </c>
      <c r="B694" s="0" t="s">
        <v>447</v>
      </c>
      <c r="D694" s="0" t="s">
        <v>86</v>
      </c>
      <c r="E694" s="0" t="s">
        <v>33</v>
      </c>
      <c r="F694" s="0" t="s">
        <v>47</v>
      </c>
      <c r="G694" s="0" t="s">
        <v>41</v>
      </c>
      <c r="H694" s="0" t="s">
        <v>75</v>
      </c>
      <c r="I694" s="0" t="n">
        <v>900.48</v>
      </c>
      <c r="J694" s="0" t="n">
        <v>0</v>
      </c>
    </row>
    <row r="695" customFormat="false" ht="15" hidden="false" customHeight="false" outlineLevel="0" collapsed="false">
      <c r="A695" s="0" t="s">
        <v>1201</v>
      </c>
      <c r="B695" s="0" t="s">
        <v>307</v>
      </c>
      <c r="C695" s="0" t="s">
        <v>187</v>
      </c>
      <c r="D695" s="0" t="s">
        <v>61</v>
      </c>
      <c r="E695" s="0" t="s">
        <v>33</v>
      </c>
      <c r="F695" s="0" t="s">
        <v>73</v>
      </c>
      <c r="G695" s="0" t="s">
        <v>117</v>
      </c>
      <c r="H695" s="0" t="s">
        <v>36</v>
      </c>
      <c r="I695" s="0" t="n">
        <v>897.49</v>
      </c>
      <c r="J695" s="0" t="n">
        <v>0</v>
      </c>
      <c r="K695" s="0" t="n">
        <v>19</v>
      </c>
    </row>
    <row r="696" customFormat="false" ht="15" hidden="false" customHeight="false" outlineLevel="0" collapsed="false">
      <c r="A696" s="0" t="s">
        <v>1202</v>
      </c>
      <c r="B696" s="0" t="s">
        <v>1203</v>
      </c>
      <c r="C696" s="0" t="s">
        <v>131</v>
      </c>
      <c r="D696" s="0" t="s">
        <v>40</v>
      </c>
      <c r="E696" s="0" t="s">
        <v>72</v>
      </c>
      <c r="F696" s="0" t="s">
        <v>89</v>
      </c>
      <c r="G696" s="0" t="s">
        <v>117</v>
      </c>
      <c r="H696" s="0" t="s">
        <v>36</v>
      </c>
      <c r="I696" s="0" t="n">
        <v>980.17</v>
      </c>
      <c r="J696" s="0" t="n">
        <v>0</v>
      </c>
      <c r="K696" s="0" t="n">
        <v>18</v>
      </c>
    </row>
    <row r="697" customFormat="false" ht="15" hidden="false" customHeight="false" outlineLevel="0" collapsed="false">
      <c r="A697" s="0" t="s">
        <v>1204</v>
      </c>
      <c r="B697" s="0" t="s">
        <v>1205</v>
      </c>
      <c r="D697" s="0" t="s">
        <v>61</v>
      </c>
      <c r="E697" s="0" t="s">
        <v>33</v>
      </c>
      <c r="F697" s="0" t="s">
        <v>47</v>
      </c>
      <c r="G697" s="0" t="s">
        <v>58</v>
      </c>
      <c r="H697" s="0" t="s">
        <v>62</v>
      </c>
      <c r="I697" s="0" t="n">
        <v>2739.94</v>
      </c>
      <c r="J697" s="0" t="n">
        <v>0.1</v>
      </c>
    </row>
    <row r="698" customFormat="false" ht="15" hidden="false" customHeight="false" outlineLevel="0" collapsed="false">
      <c r="A698" s="0" t="s">
        <v>1206</v>
      </c>
      <c r="B698" s="0" t="s">
        <v>1207</v>
      </c>
      <c r="D698" s="0" t="s">
        <v>51</v>
      </c>
      <c r="E698" s="0" t="s">
        <v>66</v>
      </c>
      <c r="F698" s="0" t="s">
        <v>34</v>
      </c>
      <c r="G698" s="0" t="s">
        <v>53</v>
      </c>
      <c r="H698" s="0" t="s">
        <v>75</v>
      </c>
      <c r="I698" s="0" t="n">
        <v>692.83</v>
      </c>
      <c r="J698" s="0" t="n">
        <v>0</v>
      </c>
    </row>
    <row r="699" customFormat="false" ht="15" hidden="false" customHeight="false" outlineLevel="0" collapsed="false">
      <c r="A699" s="0" t="s">
        <v>1208</v>
      </c>
      <c r="B699" s="0" t="s">
        <v>1013</v>
      </c>
      <c r="C699" s="0" t="s">
        <v>110</v>
      </c>
      <c r="D699" s="0" t="s">
        <v>32</v>
      </c>
      <c r="E699" s="0" t="s">
        <v>66</v>
      </c>
      <c r="F699" s="0" t="s">
        <v>79</v>
      </c>
      <c r="G699" s="0" t="s">
        <v>140</v>
      </c>
      <c r="H699" s="0" t="s">
        <v>36</v>
      </c>
      <c r="I699" s="0" t="n">
        <v>711.74</v>
      </c>
      <c r="J699" s="0" t="n">
        <v>0.1</v>
      </c>
      <c r="K699" s="0" t="n">
        <v>18</v>
      </c>
    </row>
    <row r="700" customFormat="false" ht="15" hidden="false" customHeight="false" outlineLevel="0" collapsed="false">
      <c r="A700" s="0" t="s">
        <v>1209</v>
      </c>
      <c r="B700" s="0" t="s">
        <v>503</v>
      </c>
      <c r="D700" s="0" t="s">
        <v>40</v>
      </c>
      <c r="E700" s="0" t="s">
        <v>52</v>
      </c>
      <c r="F700" s="0" t="s">
        <v>89</v>
      </c>
      <c r="H700" s="0" t="s">
        <v>80</v>
      </c>
      <c r="I700" s="0" t="n">
        <v>546.46</v>
      </c>
      <c r="J700" s="0" t="n">
        <v>0</v>
      </c>
    </row>
    <row r="701" customFormat="false" ht="15" hidden="false" customHeight="false" outlineLevel="0" collapsed="false">
      <c r="A701" s="0" t="s">
        <v>1210</v>
      </c>
      <c r="B701" s="0" t="s">
        <v>570</v>
      </c>
      <c r="C701" s="0" t="s">
        <v>513</v>
      </c>
      <c r="D701" s="0" t="s">
        <v>51</v>
      </c>
      <c r="E701" s="0" t="s">
        <v>52</v>
      </c>
      <c r="F701" s="0" t="s">
        <v>34</v>
      </c>
      <c r="G701" s="0" t="s">
        <v>74</v>
      </c>
      <c r="H701" s="0" t="s">
        <v>36</v>
      </c>
      <c r="I701" s="0" t="n">
        <v>1148.38</v>
      </c>
      <c r="J701" s="0" t="n">
        <v>0.05</v>
      </c>
      <c r="K701" s="0" t="n">
        <v>19</v>
      </c>
    </row>
    <row r="702" customFormat="false" ht="15" hidden="false" customHeight="false" outlineLevel="0" collapsed="false">
      <c r="A702" s="0" t="s">
        <v>1211</v>
      </c>
      <c r="B702" s="0" t="s">
        <v>630</v>
      </c>
      <c r="D702" s="0" t="s">
        <v>61</v>
      </c>
      <c r="E702" s="0" t="s">
        <v>72</v>
      </c>
      <c r="F702" s="0" t="s">
        <v>34</v>
      </c>
      <c r="G702" s="0" t="s">
        <v>35</v>
      </c>
      <c r="H702" s="0" t="s">
        <v>75</v>
      </c>
      <c r="I702" s="0" t="n">
        <v>1133.29</v>
      </c>
      <c r="J702" s="0" t="n">
        <v>0</v>
      </c>
    </row>
    <row r="703" customFormat="false" ht="15" hidden="false" customHeight="false" outlineLevel="0" collapsed="false">
      <c r="A703" s="0" t="s">
        <v>1212</v>
      </c>
      <c r="B703" s="0" t="s">
        <v>305</v>
      </c>
      <c r="D703" s="0" t="s">
        <v>86</v>
      </c>
      <c r="E703" s="0" t="s">
        <v>114</v>
      </c>
      <c r="F703" s="0" t="s">
        <v>79</v>
      </c>
      <c r="G703" s="0" t="s">
        <v>58</v>
      </c>
      <c r="H703" s="0" t="s">
        <v>75</v>
      </c>
      <c r="I703" s="0" t="n">
        <v>672.8</v>
      </c>
      <c r="J703" s="0" t="n">
        <v>0.1</v>
      </c>
    </row>
    <row r="704" customFormat="false" ht="15" hidden="false" customHeight="false" outlineLevel="0" collapsed="false">
      <c r="A704" s="0" t="s">
        <v>1213</v>
      </c>
      <c r="B704" s="0" t="s">
        <v>1214</v>
      </c>
      <c r="C704" s="0" t="s">
        <v>1093</v>
      </c>
      <c r="D704" s="0" t="s">
        <v>40</v>
      </c>
      <c r="E704" s="0" t="s">
        <v>66</v>
      </c>
      <c r="F704" s="0" t="s">
        <v>89</v>
      </c>
      <c r="G704" s="0" t="s">
        <v>140</v>
      </c>
      <c r="H704" s="0" t="s">
        <v>36</v>
      </c>
      <c r="I704" s="0" t="n">
        <v>796.43</v>
      </c>
      <c r="J704" s="0" t="n">
        <v>0.1</v>
      </c>
      <c r="K704" s="0" t="n">
        <v>15</v>
      </c>
    </row>
    <row r="705" customFormat="false" ht="15" hidden="false" customHeight="false" outlineLevel="0" collapsed="false">
      <c r="A705" s="0" t="s">
        <v>1215</v>
      </c>
      <c r="B705" s="0" t="s">
        <v>128</v>
      </c>
      <c r="D705" s="0" t="s">
        <v>78</v>
      </c>
      <c r="E705" s="0" t="s">
        <v>66</v>
      </c>
      <c r="F705" s="0" t="s">
        <v>129</v>
      </c>
      <c r="G705" s="0" t="s">
        <v>74</v>
      </c>
      <c r="H705" s="0" t="s">
        <v>80</v>
      </c>
      <c r="I705" s="0" t="n">
        <v>1447.02</v>
      </c>
      <c r="J705" s="0" t="n">
        <v>0.1</v>
      </c>
    </row>
    <row r="706" customFormat="false" ht="15" hidden="false" customHeight="false" outlineLevel="0" collapsed="false">
      <c r="A706" s="0" t="s">
        <v>1216</v>
      </c>
      <c r="B706" s="0" t="s">
        <v>1217</v>
      </c>
      <c r="C706" s="0" t="s">
        <v>800</v>
      </c>
      <c r="D706" s="0" t="s">
        <v>40</v>
      </c>
      <c r="E706" s="0" t="s">
        <v>66</v>
      </c>
      <c r="F706" s="0" t="s">
        <v>73</v>
      </c>
      <c r="G706" s="0" t="s">
        <v>58</v>
      </c>
      <c r="H706" s="0" t="s">
        <v>42</v>
      </c>
      <c r="I706" s="0" t="n">
        <v>650.96</v>
      </c>
      <c r="J706" s="0" t="n">
        <v>0.15</v>
      </c>
      <c r="K706" s="0" t="n">
        <v>23</v>
      </c>
    </row>
    <row r="707" customFormat="false" ht="15" hidden="false" customHeight="false" outlineLevel="0" collapsed="false">
      <c r="A707" s="0" t="s">
        <v>1218</v>
      </c>
      <c r="B707" s="0" t="s">
        <v>313</v>
      </c>
      <c r="C707" s="0" t="s">
        <v>416</v>
      </c>
      <c r="D707" s="0" t="s">
        <v>32</v>
      </c>
      <c r="E707" s="0" t="s">
        <v>66</v>
      </c>
      <c r="F707" s="0" t="s">
        <v>79</v>
      </c>
      <c r="G707" s="0" t="s">
        <v>69</v>
      </c>
      <c r="H707" s="0" t="s">
        <v>36</v>
      </c>
      <c r="I707" s="0" t="n">
        <v>719.3</v>
      </c>
      <c r="J707" s="0" t="n">
        <v>0</v>
      </c>
      <c r="K707" s="0" t="n">
        <v>18</v>
      </c>
    </row>
    <row r="708" customFormat="false" ht="15" hidden="false" customHeight="false" outlineLevel="0" collapsed="false">
      <c r="A708" s="0" t="s">
        <v>1219</v>
      </c>
      <c r="B708" s="0" t="s">
        <v>127</v>
      </c>
      <c r="C708" s="0" t="s">
        <v>699</v>
      </c>
      <c r="D708" s="0" t="s">
        <v>32</v>
      </c>
      <c r="E708" s="0" t="s">
        <v>66</v>
      </c>
      <c r="F708" s="0" t="s">
        <v>79</v>
      </c>
      <c r="G708" s="0" t="s">
        <v>74</v>
      </c>
      <c r="H708" s="0" t="s">
        <v>42</v>
      </c>
      <c r="I708" s="0" t="n">
        <v>1321.06</v>
      </c>
      <c r="J708" s="0" t="n">
        <v>0</v>
      </c>
      <c r="K708" s="0" t="n">
        <v>17</v>
      </c>
    </row>
    <row r="709" customFormat="false" ht="15" hidden="false" customHeight="false" outlineLevel="0" collapsed="false">
      <c r="A709" s="0" t="s">
        <v>1220</v>
      </c>
      <c r="B709" s="0" t="s">
        <v>1205</v>
      </c>
      <c r="C709" s="0" t="s">
        <v>692</v>
      </c>
      <c r="D709" s="0" t="s">
        <v>95</v>
      </c>
      <c r="E709" s="0" t="s">
        <v>72</v>
      </c>
      <c r="F709" s="0" t="s">
        <v>47</v>
      </c>
      <c r="G709" s="0" t="s">
        <v>74</v>
      </c>
      <c r="H709" s="0" t="s">
        <v>42</v>
      </c>
      <c r="I709" s="0" t="n">
        <v>348</v>
      </c>
      <c r="J709" s="0" t="n">
        <v>0.15</v>
      </c>
      <c r="K709" s="0" t="n">
        <v>16</v>
      </c>
    </row>
    <row r="710" customFormat="false" ht="15" hidden="false" customHeight="false" outlineLevel="0" collapsed="false">
      <c r="A710" s="0" t="s">
        <v>1221</v>
      </c>
      <c r="B710" s="0" t="s">
        <v>189</v>
      </c>
      <c r="C710" s="0" t="s">
        <v>556</v>
      </c>
      <c r="D710" s="0" t="s">
        <v>86</v>
      </c>
      <c r="E710" s="0" t="s">
        <v>114</v>
      </c>
      <c r="F710" s="0" t="s">
        <v>47</v>
      </c>
      <c r="G710" s="0" t="s">
        <v>41</v>
      </c>
      <c r="H710" s="0" t="s">
        <v>42</v>
      </c>
      <c r="I710" s="0" t="n">
        <v>648.12</v>
      </c>
      <c r="J710" s="0" t="n">
        <v>0.1</v>
      </c>
      <c r="K710" s="0" t="n">
        <v>10</v>
      </c>
    </row>
    <row r="711" customFormat="false" ht="15" hidden="false" customHeight="false" outlineLevel="0" collapsed="false">
      <c r="A711" s="0" t="s">
        <v>1222</v>
      </c>
      <c r="B711" s="0" t="s">
        <v>737</v>
      </c>
      <c r="C711" s="0" t="s">
        <v>325</v>
      </c>
      <c r="D711" s="0" t="s">
        <v>32</v>
      </c>
      <c r="E711" s="0" t="s">
        <v>72</v>
      </c>
      <c r="F711" s="0" t="s">
        <v>79</v>
      </c>
      <c r="G711" s="0" t="s">
        <v>58</v>
      </c>
      <c r="H711" s="0" t="s">
        <v>36</v>
      </c>
      <c r="I711" s="0" t="n">
        <v>1012.28</v>
      </c>
      <c r="J711" s="0" t="n">
        <v>0.15</v>
      </c>
      <c r="K711" s="0" t="n">
        <v>14</v>
      </c>
    </row>
    <row r="712" customFormat="false" ht="15" hidden="false" customHeight="false" outlineLevel="0" collapsed="false">
      <c r="A712" s="0" t="s">
        <v>1223</v>
      </c>
      <c r="B712" s="0" t="s">
        <v>199</v>
      </c>
      <c r="D712" s="0" t="s">
        <v>78</v>
      </c>
      <c r="E712" s="0" t="s">
        <v>114</v>
      </c>
      <c r="F712" s="0" t="s">
        <v>57</v>
      </c>
      <c r="G712" s="0" t="s">
        <v>41</v>
      </c>
      <c r="H712" s="0" t="s">
        <v>62</v>
      </c>
      <c r="I712" s="0" t="n">
        <v>632.51</v>
      </c>
      <c r="J712" s="0" t="n">
        <v>0.15</v>
      </c>
    </row>
    <row r="713" customFormat="false" ht="15" hidden="false" customHeight="false" outlineLevel="0" collapsed="false">
      <c r="A713" s="0" t="s">
        <v>1224</v>
      </c>
      <c r="B713" s="0" t="s">
        <v>471</v>
      </c>
      <c r="C713" s="0" t="s">
        <v>39</v>
      </c>
      <c r="D713" s="0" t="s">
        <v>40</v>
      </c>
      <c r="E713" s="0" t="s">
        <v>46</v>
      </c>
      <c r="F713" s="0" t="s">
        <v>79</v>
      </c>
      <c r="G713" s="0" t="s">
        <v>41</v>
      </c>
      <c r="H713" s="0" t="s">
        <v>36</v>
      </c>
      <c r="I713" s="0" t="n">
        <v>408.88</v>
      </c>
      <c r="J713" s="0" t="n">
        <v>0.15</v>
      </c>
      <c r="K713" s="0" t="n">
        <v>15</v>
      </c>
    </row>
    <row r="714" customFormat="false" ht="15" hidden="false" customHeight="false" outlineLevel="0" collapsed="false">
      <c r="A714" s="0" t="s">
        <v>1225</v>
      </c>
      <c r="B714" s="0" t="s">
        <v>444</v>
      </c>
      <c r="C714" s="0" t="s">
        <v>393</v>
      </c>
      <c r="D714" s="0" t="s">
        <v>40</v>
      </c>
      <c r="E714" s="0" t="s">
        <v>72</v>
      </c>
      <c r="F714" s="0" t="s">
        <v>34</v>
      </c>
      <c r="G714" s="0" t="s">
        <v>53</v>
      </c>
      <c r="H714" s="0" t="s">
        <v>42</v>
      </c>
      <c r="I714" s="0" t="n">
        <v>1089.4</v>
      </c>
      <c r="J714" s="0" t="n">
        <v>0.15</v>
      </c>
      <c r="K714" s="0" t="n">
        <v>4</v>
      </c>
    </row>
    <row r="715" customFormat="false" ht="15" hidden="false" customHeight="false" outlineLevel="0" collapsed="false">
      <c r="A715" s="0" t="s">
        <v>1226</v>
      </c>
      <c r="B715" s="0" t="s">
        <v>549</v>
      </c>
      <c r="D715" s="0" t="s">
        <v>95</v>
      </c>
      <c r="E715" s="0" t="s">
        <v>114</v>
      </c>
      <c r="F715" s="0" t="s">
        <v>79</v>
      </c>
      <c r="G715" s="0" t="s">
        <v>117</v>
      </c>
      <c r="H715" s="0" t="s">
        <v>75</v>
      </c>
      <c r="I715" s="0" t="n">
        <v>746.14</v>
      </c>
      <c r="J715" s="0" t="n">
        <v>0</v>
      </c>
    </row>
    <row r="716" customFormat="false" ht="15" hidden="false" customHeight="false" outlineLevel="0" collapsed="false">
      <c r="A716" s="0" t="s">
        <v>1227</v>
      </c>
      <c r="B716" s="0" t="s">
        <v>437</v>
      </c>
      <c r="D716" s="0" t="s">
        <v>40</v>
      </c>
      <c r="E716" s="0" t="s">
        <v>33</v>
      </c>
      <c r="F716" s="0" t="s">
        <v>34</v>
      </c>
      <c r="G716" s="0" t="s">
        <v>69</v>
      </c>
      <c r="H716" s="0" t="s">
        <v>62</v>
      </c>
      <c r="I716" s="0" t="n">
        <v>780.06</v>
      </c>
      <c r="J716" s="0" t="n">
        <v>0</v>
      </c>
    </row>
    <row r="717" customFormat="false" ht="15" hidden="false" customHeight="false" outlineLevel="0" collapsed="false">
      <c r="A717" s="0" t="s">
        <v>1228</v>
      </c>
      <c r="B717" s="0" t="s">
        <v>1229</v>
      </c>
      <c r="C717" s="0" t="s">
        <v>718</v>
      </c>
      <c r="D717" s="0" t="s">
        <v>78</v>
      </c>
      <c r="E717" s="0" t="s">
        <v>46</v>
      </c>
      <c r="F717" s="0" t="s">
        <v>34</v>
      </c>
      <c r="G717" s="0" t="s">
        <v>69</v>
      </c>
      <c r="H717" s="0" t="s">
        <v>42</v>
      </c>
      <c r="I717" s="0" t="n">
        <v>128.26</v>
      </c>
      <c r="J717" s="0" t="n">
        <v>0.05</v>
      </c>
      <c r="K717" s="0" t="n">
        <v>20</v>
      </c>
    </row>
    <row r="718" customFormat="false" ht="15" hidden="false" customHeight="false" outlineLevel="0" collapsed="false">
      <c r="A718" s="0" t="s">
        <v>1230</v>
      </c>
      <c r="B718" s="0" t="s">
        <v>98</v>
      </c>
      <c r="C718" s="0" t="s">
        <v>364</v>
      </c>
      <c r="D718" s="0" t="s">
        <v>32</v>
      </c>
      <c r="E718" s="0" t="s">
        <v>114</v>
      </c>
      <c r="F718" s="0" t="s">
        <v>79</v>
      </c>
      <c r="G718" s="0" t="s">
        <v>117</v>
      </c>
      <c r="H718" s="0" t="s">
        <v>42</v>
      </c>
      <c r="I718" s="0" t="n">
        <v>624.55</v>
      </c>
      <c r="J718" s="0" t="n">
        <v>0.2</v>
      </c>
      <c r="K718" s="0" t="n">
        <v>20</v>
      </c>
    </row>
    <row r="719" customFormat="false" ht="15" hidden="false" customHeight="false" outlineLevel="0" collapsed="false">
      <c r="A719" s="0" t="s">
        <v>1231</v>
      </c>
      <c r="B719" s="0" t="s">
        <v>305</v>
      </c>
      <c r="C719" s="0" t="s">
        <v>1232</v>
      </c>
      <c r="D719" s="0" t="s">
        <v>95</v>
      </c>
      <c r="E719" s="0" t="s">
        <v>52</v>
      </c>
      <c r="F719" s="0" t="s">
        <v>73</v>
      </c>
      <c r="G719" s="0" t="s">
        <v>53</v>
      </c>
      <c r="H719" s="0" t="s">
        <v>42</v>
      </c>
      <c r="I719" s="0" t="n">
        <v>549.45</v>
      </c>
      <c r="J719" s="0" t="n">
        <v>0.05</v>
      </c>
      <c r="K719" s="0" t="n">
        <v>19</v>
      </c>
    </row>
    <row r="720" customFormat="false" ht="15" hidden="false" customHeight="false" outlineLevel="0" collapsed="false">
      <c r="A720" s="0" t="s">
        <v>1233</v>
      </c>
      <c r="B720" s="0" t="s">
        <v>503</v>
      </c>
      <c r="C720" s="0" t="s">
        <v>207</v>
      </c>
      <c r="D720" s="0" t="s">
        <v>86</v>
      </c>
      <c r="E720" s="0" t="s">
        <v>46</v>
      </c>
      <c r="F720" s="0" t="s">
        <v>57</v>
      </c>
      <c r="G720" s="0" t="s">
        <v>117</v>
      </c>
      <c r="H720" s="0" t="s">
        <v>36</v>
      </c>
      <c r="I720" s="0" t="n">
        <v>114.75</v>
      </c>
      <c r="J720" s="0" t="n">
        <v>0</v>
      </c>
      <c r="K720" s="0" t="n">
        <v>31</v>
      </c>
    </row>
    <row r="721" customFormat="false" ht="15" hidden="false" customHeight="false" outlineLevel="0" collapsed="false">
      <c r="A721" s="0" t="s">
        <v>1234</v>
      </c>
      <c r="B721" s="0" t="s">
        <v>85</v>
      </c>
      <c r="C721" s="0" t="s">
        <v>720</v>
      </c>
      <c r="D721" s="0" t="s">
        <v>40</v>
      </c>
      <c r="E721" s="0" t="s">
        <v>72</v>
      </c>
      <c r="F721" s="0" t="s">
        <v>129</v>
      </c>
      <c r="G721" s="0" t="s">
        <v>74</v>
      </c>
      <c r="H721" s="0" t="s">
        <v>36</v>
      </c>
      <c r="I721" s="0" t="n">
        <v>361.89</v>
      </c>
      <c r="J721" s="0" t="n">
        <v>0.1</v>
      </c>
      <c r="K721" s="0" t="n">
        <v>32</v>
      </c>
    </row>
    <row r="722" customFormat="false" ht="15" hidden="false" customHeight="false" outlineLevel="0" collapsed="false">
      <c r="A722" s="0" t="s">
        <v>1235</v>
      </c>
      <c r="B722" s="0" t="s">
        <v>383</v>
      </c>
      <c r="D722" s="0" t="s">
        <v>61</v>
      </c>
      <c r="E722" s="0" t="s">
        <v>46</v>
      </c>
      <c r="F722" s="0" t="s">
        <v>47</v>
      </c>
      <c r="G722" s="0" t="s">
        <v>69</v>
      </c>
      <c r="H722" s="0" t="s">
        <v>75</v>
      </c>
      <c r="I722" s="0" t="n">
        <v>130.21</v>
      </c>
      <c r="J722" s="0" t="n">
        <v>0</v>
      </c>
    </row>
    <row r="723" customFormat="false" ht="15" hidden="false" customHeight="false" outlineLevel="0" collapsed="false">
      <c r="A723" s="0" t="s">
        <v>1236</v>
      </c>
      <c r="B723" s="0" t="s">
        <v>901</v>
      </c>
      <c r="C723" s="0" t="s">
        <v>761</v>
      </c>
      <c r="D723" s="0" t="s">
        <v>61</v>
      </c>
      <c r="E723" s="0" t="s">
        <v>33</v>
      </c>
      <c r="F723" s="0" t="s">
        <v>34</v>
      </c>
      <c r="G723" s="0" t="s">
        <v>53</v>
      </c>
      <c r="H723" s="0" t="s">
        <v>42</v>
      </c>
      <c r="I723" s="0" t="n">
        <v>910.36</v>
      </c>
      <c r="J723" s="0" t="n">
        <v>0</v>
      </c>
      <c r="K723" s="0" t="n">
        <v>16</v>
      </c>
    </row>
    <row r="724" customFormat="false" ht="15" hidden="false" customHeight="false" outlineLevel="0" collapsed="false">
      <c r="A724" s="0" t="s">
        <v>1237</v>
      </c>
      <c r="B724" s="0" t="s">
        <v>827</v>
      </c>
      <c r="C724" s="0" t="s">
        <v>1143</v>
      </c>
      <c r="D724" s="0" t="s">
        <v>61</v>
      </c>
      <c r="E724" s="0" t="s">
        <v>72</v>
      </c>
      <c r="F724" s="0" t="s">
        <v>89</v>
      </c>
      <c r="G724" s="0" t="s">
        <v>69</v>
      </c>
      <c r="H724" s="0" t="s">
        <v>36</v>
      </c>
      <c r="I724" s="0" t="n">
        <v>648.65</v>
      </c>
      <c r="J724" s="0" t="n">
        <v>0.2</v>
      </c>
      <c r="K724" s="0" t="n">
        <v>25</v>
      </c>
    </row>
    <row r="725" customFormat="false" ht="15" hidden="false" customHeight="false" outlineLevel="0" collapsed="false">
      <c r="A725" s="0" t="s">
        <v>1238</v>
      </c>
      <c r="B725" s="0" t="s">
        <v>1239</v>
      </c>
      <c r="D725" s="0" t="s">
        <v>61</v>
      </c>
      <c r="E725" s="0" t="s">
        <v>66</v>
      </c>
      <c r="F725" s="0" t="s">
        <v>79</v>
      </c>
      <c r="H725" s="0" t="s">
        <v>62</v>
      </c>
      <c r="I725" s="0" t="n">
        <v>2192.2</v>
      </c>
      <c r="J725" s="0" t="n">
        <v>0</v>
      </c>
    </row>
    <row r="726" customFormat="false" ht="15" hidden="false" customHeight="false" outlineLevel="0" collapsed="false">
      <c r="A726" s="0" t="s">
        <v>1240</v>
      </c>
      <c r="B726" s="0" t="s">
        <v>1146</v>
      </c>
      <c r="D726" s="0" t="s">
        <v>32</v>
      </c>
      <c r="E726" s="0" t="s">
        <v>46</v>
      </c>
      <c r="F726" s="0" t="s">
        <v>89</v>
      </c>
      <c r="G726" s="0" t="s">
        <v>35</v>
      </c>
      <c r="H726" s="0" t="s">
        <v>75</v>
      </c>
      <c r="I726" s="0" t="n">
        <v>262.53</v>
      </c>
      <c r="J726" s="0" t="n">
        <v>0</v>
      </c>
    </row>
    <row r="727" customFormat="false" ht="15" hidden="false" customHeight="false" outlineLevel="0" collapsed="false">
      <c r="A727" s="0" t="s">
        <v>1241</v>
      </c>
      <c r="B727" s="0" t="s">
        <v>669</v>
      </c>
      <c r="D727" s="0" t="s">
        <v>32</v>
      </c>
      <c r="E727" s="0" t="s">
        <v>33</v>
      </c>
      <c r="F727" s="0" t="s">
        <v>57</v>
      </c>
      <c r="G727" s="0" t="s">
        <v>74</v>
      </c>
      <c r="H727" s="0" t="s">
        <v>80</v>
      </c>
      <c r="I727" s="0" t="n">
        <v>788.32</v>
      </c>
      <c r="J727" s="0" t="n">
        <v>0.05</v>
      </c>
    </row>
    <row r="728" customFormat="false" ht="15" hidden="false" customHeight="false" outlineLevel="0" collapsed="false">
      <c r="A728" s="0" t="s">
        <v>1242</v>
      </c>
      <c r="B728" s="0" t="s">
        <v>705</v>
      </c>
      <c r="C728" s="0" t="s">
        <v>391</v>
      </c>
      <c r="D728" s="0" t="s">
        <v>86</v>
      </c>
      <c r="E728" s="0" t="s">
        <v>52</v>
      </c>
      <c r="F728" s="0" t="s">
        <v>89</v>
      </c>
      <c r="G728" s="0" t="s">
        <v>58</v>
      </c>
      <c r="H728" s="0" t="s">
        <v>36</v>
      </c>
      <c r="I728" s="0" t="n">
        <v>494.7</v>
      </c>
      <c r="J728" s="0" t="n">
        <v>0</v>
      </c>
      <c r="K728" s="0" t="n">
        <v>13</v>
      </c>
    </row>
    <row r="729" customFormat="false" ht="15" hidden="false" customHeight="false" outlineLevel="0" collapsed="false">
      <c r="A729" s="0" t="s">
        <v>1243</v>
      </c>
      <c r="B729" s="0" t="s">
        <v>793</v>
      </c>
      <c r="D729" s="0" t="s">
        <v>78</v>
      </c>
      <c r="E729" s="0" t="s">
        <v>33</v>
      </c>
      <c r="F729" s="0" t="s">
        <v>47</v>
      </c>
      <c r="G729" s="0" t="s">
        <v>117</v>
      </c>
      <c r="H729" s="0" t="s">
        <v>62</v>
      </c>
      <c r="I729" s="0" t="n">
        <v>1691.41</v>
      </c>
      <c r="J729" s="0" t="n">
        <v>0</v>
      </c>
    </row>
    <row r="730" customFormat="false" ht="15" hidden="false" customHeight="false" outlineLevel="0" collapsed="false">
      <c r="A730" s="0" t="s">
        <v>1244</v>
      </c>
      <c r="B730" s="0" t="s">
        <v>476</v>
      </c>
      <c r="C730" s="0" t="s">
        <v>465</v>
      </c>
      <c r="D730" s="0" t="s">
        <v>86</v>
      </c>
      <c r="E730" s="0" t="s">
        <v>114</v>
      </c>
      <c r="F730" s="0" t="s">
        <v>47</v>
      </c>
      <c r="G730" s="0" t="s">
        <v>74</v>
      </c>
      <c r="H730" s="0" t="s">
        <v>42</v>
      </c>
      <c r="I730" s="0" t="n">
        <v>1418.51</v>
      </c>
      <c r="J730" s="0" t="n">
        <v>0</v>
      </c>
      <c r="K730" s="0" t="n">
        <v>11</v>
      </c>
    </row>
    <row r="731" customFormat="false" ht="15" hidden="false" customHeight="false" outlineLevel="0" collapsed="false">
      <c r="A731" s="0" t="s">
        <v>1245</v>
      </c>
      <c r="B731" s="0" t="s">
        <v>92</v>
      </c>
      <c r="C731" s="0" t="s">
        <v>476</v>
      </c>
      <c r="D731" s="0" t="s">
        <v>40</v>
      </c>
      <c r="E731" s="0" t="s">
        <v>72</v>
      </c>
      <c r="F731" s="0" t="s">
        <v>34</v>
      </c>
      <c r="G731" s="0" t="s">
        <v>53</v>
      </c>
      <c r="H731" s="0" t="s">
        <v>36</v>
      </c>
      <c r="I731" s="0" t="n">
        <v>681.9</v>
      </c>
      <c r="J731" s="0" t="n">
        <v>0.15</v>
      </c>
      <c r="K731" s="0" t="n">
        <v>10</v>
      </c>
    </row>
    <row r="732" customFormat="false" ht="15" hidden="false" customHeight="false" outlineLevel="0" collapsed="false">
      <c r="A732" s="0" t="s">
        <v>1246</v>
      </c>
      <c r="B732" s="0" t="s">
        <v>210</v>
      </c>
      <c r="C732" s="0" t="s">
        <v>145</v>
      </c>
      <c r="D732" s="0" t="s">
        <v>40</v>
      </c>
      <c r="E732" s="0" t="s">
        <v>66</v>
      </c>
      <c r="F732" s="0" t="s">
        <v>89</v>
      </c>
      <c r="H732" s="0" t="s">
        <v>36</v>
      </c>
      <c r="I732" s="0" t="n">
        <v>737.8</v>
      </c>
      <c r="J732" s="0" t="n">
        <v>0</v>
      </c>
      <c r="K732" s="0" t="n">
        <v>24</v>
      </c>
    </row>
    <row r="733" customFormat="false" ht="15" hidden="false" customHeight="false" outlineLevel="0" collapsed="false">
      <c r="A733" s="0" t="s">
        <v>1247</v>
      </c>
      <c r="B733" s="0" t="s">
        <v>212</v>
      </c>
      <c r="D733" s="0" t="s">
        <v>61</v>
      </c>
      <c r="E733" s="0" t="s">
        <v>72</v>
      </c>
      <c r="F733" s="0" t="s">
        <v>47</v>
      </c>
      <c r="G733" s="0" t="s">
        <v>53</v>
      </c>
      <c r="H733" s="0" t="s">
        <v>62</v>
      </c>
      <c r="I733" s="0" t="n">
        <v>747.28</v>
      </c>
      <c r="J733" s="0" t="n">
        <v>0</v>
      </c>
    </row>
    <row r="734" customFormat="false" ht="15" hidden="false" customHeight="false" outlineLevel="0" collapsed="false">
      <c r="A734" s="0" t="s">
        <v>1248</v>
      </c>
      <c r="B734" s="0" t="s">
        <v>210</v>
      </c>
      <c r="C734" s="0" t="s">
        <v>418</v>
      </c>
      <c r="D734" s="0" t="s">
        <v>78</v>
      </c>
      <c r="E734" s="0" t="s">
        <v>66</v>
      </c>
      <c r="F734" s="0" t="s">
        <v>57</v>
      </c>
      <c r="G734" s="0" t="s">
        <v>35</v>
      </c>
      <c r="H734" s="0" t="s">
        <v>36</v>
      </c>
      <c r="I734" s="0" t="n">
        <v>794.26</v>
      </c>
      <c r="J734" s="0" t="n">
        <v>0</v>
      </c>
      <c r="K734" s="0" t="n">
        <v>9</v>
      </c>
    </row>
    <row r="735" customFormat="false" ht="15" hidden="false" customHeight="false" outlineLevel="0" collapsed="false">
      <c r="A735" s="0" t="s">
        <v>1249</v>
      </c>
      <c r="B735" s="0" t="s">
        <v>1250</v>
      </c>
      <c r="D735" s="0" t="s">
        <v>95</v>
      </c>
      <c r="E735" s="0" t="s">
        <v>66</v>
      </c>
      <c r="F735" s="0" t="s">
        <v>89</v>
      </c>
      <c r="G735" s="0" t="s">
        <v>117</v>
      </c>
      <c r="H735" s="0" t="s">
        <v>75</v>
      </c>
      <c r="I735" s="0" t="n">
        <v>2066.02</v>
      </c>
      <c r="J735" s="0" t="n">
        <v>0</v>
      </c>
    </row>
    <row r="736" customFormat="false" ht="15" hidden="false" customHeight="false" outlineLevel="0" collapsed="false">
      <c r="A736" s="0" t="s">
        <v>1251</v>
      </c>
      <c r="B736" s="0" t="s">
        <v>695</v>
      </c>
      <c r="D736" s="0" t="s">
        <v>40</v>
      </c>
      <c r="E736" s="0" t="s">
        <v>114</v>
      </c>
      <c r="F736" s="0" t="s">
        <v>57</v>
      </c>
      <c r="G736" s="0" t="s">
        <v>41</v>
      </c>
      <c r="H736" s="0" t="s">
        <v>75</v>
      </c>
      <c r="I736" s="0" t="n">
        <v>618.91</v>
      </c>
      <c r="J736" s="0" t="n">
        <v>0.15</v>
      </c>
    </row>
    <row r="737" customFormat="false" ht="15" hidden="false" customHeight="false" outlineLevel="0" collapsed="false">
      <c r="A737" s="0" t="s">
        <v>1252</v>
      </c>
      <c r="B737" s="0" t="s">
        <v>386</v>
      </c>
      <c r="C737" s="0" t="s">
        <v>492</v>
      </c>
      <c r="D737" s="0" t="s">
        <v>95</v>
      </c>
      <c r="E737" s="0" t="s">
        <v>46</v>
      </c>
      <c r="F737" s="0" t="s">
        <v>47</v>
      </c>
      <c r="G737" s="0" t="s">
        <v>35</v>
      </c>
      <c r="H737" s="0" t="s">
        <v>36</v>
      </c>
      <c r="I737" s="0" t="n">
        <v>136.55</v>
      </c>
      <c r="J737" s="0" t="n">
        <v>0</v>
      </c>
      <c r="K737" s="0" t="n">
        <v>23</v>
      </c>
    </row>
    <row r="738" customFormat="false" ht="15" hidden="false" customHeight="false" outlineLevel="0" collapsed="false">
      <c r="A738" s="0" t="s">
        <v>1253</v>
      </c>
      <c r="B738" s="0" t="s">
        <v>348</v>
      </c>
      <c r="C738" s="0" t="s">
        <v>1254</v>
      </c>
      <c r="D738" s="0" t="s">
        <v>78</v>
      </c>
      <c r="E738" s="0" t="s">
        <v>72</v>
      </c>
      <c r="F738" s="0" t="s">
        <v>47</v>
      </c>
      <c r="G738" s="0" t="s">
        <v>58</v>
      </c>
      <c r="H738" s="0" t="s">
        <v>42</v>
      </c>
      <c r="I738" s="0" t="n">
        <v>753.78</v>
      </c>
      <c r="J738" s="0" t="n">
        <v>0.15</v>
      </c>
      <c r="K738" s="0" t="n">
        <v>4</v>
      </c>
    </row>
    <row r="739" customFormat="false" ht="15" hidden="false" customHeight="false" outlineLevel="0" collapsed="false">
      <c r="A739" s="0" t="s">
        <v>1255</v>
      </c>
      <c r="B739" s="0" t="s">
        <v>194</v>
      </c>
      <c r="C739" s="0" t="s">
        <v>1017</v>
      </c>
      <c r="D739" s="0" t="s">
        <v>95</v>
      </c>
      <c r="E739" s="0" t="s">
        <v>33</v>
      </c>
      <c r="F739" s="0" t="s">
        <v>89</v>
      </c>
      <c r="G739" s="0" t="s">
        <v>74</v>
      </c>
      <c r="H739" s="0" t="s">
        <v>36</v>
      </c>
      <c r="I739" s="0" t="n">
        <v>776.25</v>
      </c>
      <c r="J739" s="0" t="n">
        <v>0.05</v>
      </c>
      <c r="K739" s="0" t="n">
        <v>13</v>
      </c>
    </row>
    <row r="740" customFormat="false" ht="15" hidden="false" customHeight="false" outlineLevel="0" collapsed="false">
      <c r="A740" s="0" t="s">
        <v>1256</v>
      </c>
      <c r="B740" s="0" t="s">
        <v>159</v>
      </c>
      <c r="C740" s="0" t="s">
        <v>226</v>
      </c>
      <c r="D740" s="0" t="s">
        <v>32</v>
      </c>
      <c r="E740" s="0" t="s">
        <v>52</v>
      </c>
      <c r="F740" s="0" t="s">
        <v>89</v>
      </c>
      <c r="G740" s="0" t="s">
        <v>74</v>
      </c>
      <c r="H740" s="0" t="s">
        <v>36</v>
      </c>
      <c r="I740" s="0" t="n">
        <v>472.8</v>
      </c>
      <c r="J740" s="0" t="n">
        <v>0.1</v>
      </c>
      <c r="K740" s="0" t="n">
        <v>6</v>
      </c>
    </row>
    <row r="741" customFormat="false" ht="15" hidden="false" customHeight="false" outlineLevel="0" collapsed="false">
      <c r="A741" s="0" t="s">
        <v>1257</v>
      </c>
      <c r="B741" s="0" t="s">
        <v>488</v>
      </c>
      <c r="C741" s="0" t="s">
        <v>776</v>
      </c>
      <c r="D741" s="0" t="s">
        <v>32</v>
      </c>
      <c r="E741" s="0" t="s">
        <v>33</v>
      </c>
      <c r="F741" s="0" t="s">
        <v>47</v>
      </c>
      <c r="G741" s="0" t="s">
        <v>69</v>
      </c>
      <c r="H741" s="0" t="s">
        <v>42</v>
      </c>
      <c r="I741" s="0" t="n">
        <v>798.71</v>
      </c>
      <c r="J741" s="0" t="n">
        <v>0.2</v>
      </c>
      <c r="K741" s="0" t="n">
        <v>4</v>
      </c>
    </row>
    <row r="742" customFormat="false" ht="15" hidden="false" customHeight="false" outlineLevel="0" collapsed="false">
      <c r="A742" s="0" t="s">
        <v>1258</v>
      </c>
      <c r="B742" s="0" t="s">
        <v>445</v>
      </c>
      <c r="C742" s="0" t="s">
        <v>459</v>
      </c>
      <c r="D742" s="0" t="s">
        <v>51</v>
      </c>
      <c r="E742" s="0" t="s">
        <v>46</v>
      </c>
      <c r="F742" s="0" t="s">
        <v>73</v>
      </c>
      <c r="G742" s="0" t="s">
        <v>35</v>
      </c>
      <c r="H742" s="0" t="s">
        <v>36</v>
      </c>
      <c r="I742" s="0" t="n">
        <v>330.1</v>
      </c>
      <c r="J742" s="0" t="n">
        <v>0</v>
      </c>
      <c r="K742" s="0" t="n">
        <v>6</v>
      </c>
    </row>
    <row r="743" customFormat="false" ht="15" hidden="false" customHeight="false" outlineLevel="0" collapsed="false">
      <c r="A743" s="0" t="s">
        <v>1259</v>
      </c>
      <c r="B743" s="0" t="s">
        <v>49</v>
      </c>
      <c r="C743" s="0" t="s">
        <v>900</v>
      </c>
      <c r="D743" s="0" t="s">
        <v>51</v>
      </c>
      <c r="E743" s="0" t="s">
        <v>66</v>
      </c>
      <c r="F743" s="0" t="s">
        <v>89</v>
      </c>
      <c r="G743" s="0" t="s">
        <v>69</v>
      </c>
      <c r="H743" s="0" t="s">
        <v>36</v>
      </c>
      <c r="I743" s="0" t="n">
        <v>723.37</v>
      </c>
      <c r="J743" s="0" t="n">
        <v>0.2</v>
      </c>
      <c r="K743" s="0" t="n">
        <v>12</v>
      </c>
    </row>
    <row r="744" customFormat="false" ht="15" hidden="false" customHeight="false" outlineLevel="0" collapsed="false">
      <c r="A744" s="0" t="s">
        <v>1260</v>
      </c>
      <c r="B744" s="0" t="s">
        <v>386</v>
      </c>
      <c r="C744" s="0" t="s">
        <v>493</v>
      </c>
      <c r="D744" s="0" t="s">
        <v>86</v>
      </c>
      <c r="E744" s="0" t="s">
        <v>114</v>
      </c>
      <c r="F744" s="0" t="s">
        <v>57</v>
      </c>
      <c r="G744" s="0" t="s">
        <v>58</v>
      </c>
      <c r="H744" s="0" t="s">
        <v>42</v>
      </c>
      <c r="I744" s="0" t="n">
        <v>1485.21</v>
      </c>
      <c r="J744" s="0" t="n">
        <v>0</v>
      </c>
      <c r="K744" s="0" t="n">
        <v>35</v>
      </c>
    </row>
    <row r="745" customFormat="false" ht="15" hidden="false" customHeight="false" outlineLevel="0" collapsed="false">
      <c r="A745" s="0" t="s">
        <v>1261</v>
      </c>
      <c r="B745" s="0" t="s">
        <v>770</v>
      </c>
      <c r="C745" s="0" t="s">
        <v>374</v>
      </c>
      <c r="D745" s="0" t="s">
        <v>51</v>
      </c>
      <c r="E745" s="0" t="s">
        <v>46</v>
      </c>
      <c r="F745" s="0" t="s">
        <v>89</v>
      </c>
      <c r="G745" s="0" t="s">
        <v>117</v>
      </c>
      <c r="H745" s="0" t="s">
        <v>36</v>
      </c>
      <c r="I745" s="0" t="n">
        <v>118.69</v>
      </c>
      <c r="J745" s="0" t="n">
        <v>0</v>
      </c>
      <c r="K745" s="0" t="n">
        <v>28</v>
      </c>
    </row>
    <row r="746" customFormat="false" ht="15" hidden="false" customHeight="false" outlineLevel="0" collapsed="false">
      <c r="A746" s="0" t="s">
        <v>1262</v>
      </c>
      <c r="B746" s="0" t="s">
        <v>524</v>
      </c>
      <c r="C746" s="0" t="s">
        <v>410</v>
      </c>
      <c r="D746" s="0" t="s">
        <v>1263</v>
      </c>
      <c r="E746" s="0" t="s">
        <v>46</v>
      </c>
      <c r="F746" s="0" t="s">
        <v>34</v>
      </c>
      <c r="G746" s="0" t="s">
        <v>41</v>
      </c>
      <c r="H746" s="0" t="s">
        <v>36</v>
      </c>
      <c r="I746" s="0" t="n">
        <v>130.15</v>
      </c>
      <c r="J746" s="0" t="n">
        <v>0</v>
      </c>
      <c r="K746" s="0" t="n">
        <v>23</v>
      </c>
    </row>
    <row r="747" customFormat="false" ht="15" hidden="false" customHeight="false" outlineLevel="0" collapsed="false">
      <c r="A747" s="0" t="s">
        <v>1264</v>
      </c>
      <c r="B747" s="0" t="s">
        <v>889</v>
      </c>
      <c r="C747" s="0" t="s">
        <v>934</v>
      </c>
      <c r="D747" s="0" t="s">
        <v>78</v>
      </c>
      <c r="E747" s="0" t="s">
        <v>66</v>
      </c>
      <c r="F747" s="0" t="s">
        <v>73</v>
      </c>
      <c r="G747" s="0" t="s">
        <v>74</v>
      </c>
      <c r="H747" s="0" t="s">
        <v>36</v>
      </c>
      <c r="I747" s="0" t="n">
        <v>2319.81</v>
      </c>
      <c r="J747" s="0" t="n">
        <v>0.1</v>
      </c>
      <c r="K747" s="0" t="n">
        <v>23</v>
      </c>
    </row>
    <row r="748" customFormat="false" ht="15" hidden="false" customHeight="false" outlineLevel="0" collapsed="false">
      <c r="A748" s="0" t="s">
        <v>1265</v>
      </c>
      <c r="B748" s="0" t="s">
        <v>1203</v>
      </c>
      <c r="C748" s="0" t="s">
        <v>463</v>
      </c>
      <c r="D748" s="0" t="s">
        <v>78</v>
      </c>
      <c r="E748" s="0" t="s">
        <v>66</v>
      </c>
      <c r="F748" s="0" t="s">
        <v>34</v>
      </c>
      <c r="G748" s="0" t="s">
        <v>35</v>
      </c>
      <c r="H748" s="0" t="s">
        <v>36</v>
      </c>
      <c r="I748" s="0" t="n">
        <v>2314.29</v>
      </c>
      <c r="J748" s="0" t="n">
        <v>0</v>
      </c>
      <c r="K748" s="0" t="n">
        <v>13</v>
      </c>
    </row>
    <row r="749" customFormat="false" ht="15" hidden="false" customHeight="false" outlineLevel="0" collapsed="false">
      <c r="A749" s="0" t="s">
        <v>1266</v>
      </c>
      <c r="B749" s="0" t="s">
        <v>368</v>
      </c>
      <c r="C749" s="0" t="s">
        <v>154</v>
      </c>
      <c r="D749" s="0" t="s">
        <v>86</v>
      </c>
      <c r="E749" s="0" t="s">
        <v>52</v>
      </c>
      <c r="F749" s="0" t="s">
        <v>34</v>
      </c>
      <c r="G749" s="0" t="s">
        <v>53</v>
      </c>
      <c r="H749" s="0" t="s">
        <v>36</v>
      </c>
      <c r="I749" s="0" t="n">
        <v>573.46</v>
      </c>
      <c r="J749" s="0" t="n">
        <v>0.1</v>
      </c>
      <c r="K749" s="0" t="n">
        <v>7</v>
      </c>
    </row>
    <row r="750" customFormat="false" ht="15" hidden="false" customHeight="false" outlineLevel="0" collapsed="false">
      <c r="A750" s="0" t="s">
        <v>1267</v>
      </c>
      <c r="B750" s="0" t="s">
        <v>895</v>
      </c>
      <c r="C750" s="0" t="s">
        <v>692</v>
      </c>
      <c r="D750" s="0" t="s">
        <v>51</v>
      </c>
      <c r="E750" s="0" t="s">
        <v>72</v>
      </c>
      <c r="F750" s="0" t="s">
        <v>34</v>
      </c>
      <c r="G750" s="0" t="s">
        <v>41</v>
      </c>
      <c r="H750" s="0" t="s">
        <v>36</v>
      </c>
      <c r="I750" s="0" t="n">
        <v>341.07</v>
      </c>
      <c r="J750" s="0" t="n">
        <v>0</v>
      </c>
      <c r="K750" s="0" t="n">
        <v>19</v>
      </c>
    </row>
    <row r="751" customFormat="false" ht="15" hidden="false" customHeight="false" outlineLevel="0" collapsed="false">
      <c r="A751" s="0" t="s">
        <v>1268</v>
      </c>
      <c r="B751" s="0" t="s">
        <v>1269</v>
      </c>
      <c r="D751" s="0" t="s">
        <v>61</v>
      </c>
      <c r="E751" s="0" t="s">
        <v>114</v>
      </c>
      <c r="F751" s="0" t="s">
        <v>34</v>
      </c>
      <c r="G751" s="0" t="s">
        <v>58</v>
      </c>
      <c r="H751" s="0" t="s">
        <v>62</v>
      </c>
      <c r="I751" s="0" t="n">
        <v>1462.03</v>
      </c>
      <c r="J751" s="0" t="n">
        <v>0</v>
      </c>
    </row>
    <row r="752" customFormat="false" ht="15" hidden="false" customHeight="false" outlineLevel="0" collapsed="false">
      <c r="A752" s="0" t="s">
        <v>1270</v>
      </c>
      <c r="B752" s="0" t="s">
        <v>270</v>
      </c>
      <c r="D752" s="0" t="s">
        <v>32</v>
      </c>
      <c r="E752" s="0" t="s">
        <v>114</v>
      </c>
      <c r="F752" s="0" t="s">
        <v>34</v>
      </c>
      <c r="G752" s="0" t="s">
        <v>58</v>
      </c>
      <c r="H752" s="0" t="s">
        <v>75</v>
      </c>
      <c r="I752" s="0" t="n">
        <v>1503.83</v>
      </c>
      <c r="J752" s="0" t="n">
        <v>0</v>
      </c>
    </row>
    <row r="753" customFormat="false" ht="15" hidden="false" customHeight="false" outlineLevel="0" collapsed="false">
      <c r="A753" s="0" t="s">
        <v>1271</v>
      </c>
      <c r="B753" s="0" t="s">
        <v>1099</v>
      </c>
      <c r="C753" s="0" t="s">
        <v>829</v>
      </c>
      <c r="D753" s="0" t="s">
        <v>86</v>
      </c>
      <c r="E753" s="0" t="s">
        <v>52</v>
      </c>
      <c r="F753" s="0" t="s">
        <v>89</v>
      </c>
      <c r="G753" s="0" t="s">
        <v>53</v>
      </c>
      <c r="H753" s="0" t="s">
        <v>42</v>
      </c>
      <c r="I753" s="0" t="n">
        <v>1064.55</v>
      </c>
      <c r="J753" s="0" t="n">
        <v>0.2</v>
      </c>
      <c r="K753" s="0" t="n">
        <v>20</v>
      </c>
    </row>
    <row r="754" customFormat="false" ht="15" hidden="false" customHeight="false" outlineLevel="0" collapsed="false">
      <c r="A754" s="0" t="s">
        <v>1272</v>
      </c>
      <c r="B754" s="0" t="s">
        <v>1163</v>
      </c>
      <c r="C754" s="0" t="s">
        <v>1273</v>
      </c>
      <c r="D754" s="0" t="s">
        <v>51</v>
      </c>
      <c r="E754" s="0" t="s">
        <v>46</v>
      </c>
      <c r="F754" s="0" t="s">
        <v>89</v>
      </c>
      <c r="G754" s="0" t="s">
        <v>74</v>
      </c>
      <c r="H754" s="0" t="s">
        <v>36</v>
      </c>
      <c r="I754" s="0" t="n">
        <v>127.46</v>
      </c>
      <c r="J754" s="0" t="n">
        <v>0.15</v>
      </c>
      <c r="K754" s="0" t="n">
        <v>26</v>
      </c>
    </row>
    <row r="755" customFormat="false" ht="15" hidden="false" customHeight="false" outlineLevel="0" collapsed="false">
      <c r="A755" s="0" t="s">
        <v>1274</v>
      </c>
      <c r="B755" s="0" t="s">
        <v>1009</v>
      </c>
      <c r="D755" s="0" t="s">
        <v>95</v>
      </c>
      <c r="E755" s="0" t="s">
        <v>66</v>
      </c>
      <c r="F755" s="0" t="s">
        <v>34</v>
      </c>
      <c r="G755" s="0" t="s">
        <v>140</v>
      </c>
      <c r="H755" s="0" t="s">
        <v>62</v>
      </c>
      <c r="I755" s="0" t="n">
        <v>710.37</v>
      </c>
      <c r="J755" s="0" t="n">
        <v>0.2</v>
      </c>
    </row>
    <row r="756" customFormat="false" ht="15" hidden="false" customHeight="false" outlineLevel="0" collapsed="false">
      <c r="A756" s="0" t="s">
        <v>1275</v>
      </c>
      <c r="B756" s="0" t="s">
        <v>720</v>
      </c>
      <c r="C756" s="0" t="s">
        <v>278</v>
      </c>
      <c r="D756" s="0" t="s">
        <v>95</v>
      </c>
      <c r="E756" s="0" t="s">
        <v>66</v>
      </c>
      <c r="F756" s="0" t="s">
        <v>79</v>
      </c>
      <c r="G756" s="0" t="s">
        <v>53</v>
      </c>
      <c r="H756" s="0" t="s">
        <v>36</v>
      </c>
      <c r="I756" s="0" t="n">
        <v>752.79</v>
      </c>
      <c r="J756" s="0" t="n">
        <v>0.05</v>
      </c>
      <c r="K756" s="0" t="n">
        <v>25</v>
      </c>
    </row>
    <row r="757" customFormat="false" ht="15" hidden="false" customHeight="false" outlineLevel="0" collapsed="false">
      <c r="A757" s="0" t="s">
        <v>1276</v>
      </c>
      <c r="B757" s="0" t="s">
        <v>709</v>
      </c>
      <c r="C757" s="0" t="s">
        <v>344</v>
      </c>
      <c r="D757" s="0" t="s">
        <v>40</v>
      </c>
      <c r="E757" s="0" t="s">
        <v>114</v>
      </c>
      <c r="F757" s="0" t="s">
        <v>57</v>
      </c>
      <c r="G757" s="0" t="s">
        <v>58</v>
      </c>
      <c r="H757" s="0" t="s">
        <v>36</v>
      </c>
      <c r="I757" s="0" t="n">
        <v>610.5</v>
      </c>
      <c r="J757" s="0" t="n">
        <v>0</v>
      </c>
      <c r="K757" s="0" t="n">
        <v>11</v>
      </c>
    </row>
    <row r="758" customFormat="false" ht="15" hidden="false" customHeight="false" outlineLevel="0" collapsed="false">
      <c r="A758" s="0" t="s">
        <v>1277</v>
      </c>
      <c r="B758" s="0" t="s">
        <v>379</v>
      </c>
      <c r="C758" s="0" t="s">
        <v>948</v>
      </c>
      <c r="D758" s="0" t="s">
        <v>51</v>
      </c>
      <c r="E758" s="0" t="s">
        <v>52</v>
      </c>
      <c r="F758" s="0" t="s">
        <v>89</v>
      </c>
      <c r="G758" s="0" t="s">
        <v>140</v>
      </c>
      <c r="H758" s="0" t="s">
        <v>36</v>
      </c>
      <c r="I758" s="0" t="n">
        <v>1040.55</v>
      </c>
      <c r="J758" s="0" t="n">
        <v>0</v>
      </c>
      <c r="K758" s="0" t="n">
        <v>28</v>
      </c>
    </row>
    <row r="759" customFormat="false" ht="15" hidden="false" customHeight="false" outlineLevel="0" collapsed="false">
      <c r="A759" s="0" t="s">
        <v>1278</v>
      </c>
      <c r="B759" s="0" t="s">
        <v>597</v>
      </c>
      <c r="C759" s="0" t="s">
        <v>956</v>
      </c>
      <c r="D759" s="0" t="s">
        <v>95</v>
      </c>
      <c r="E759" s="0" t="s">
        <v>46</v>
      </c>
      <c r="F759" s="0" t="s">
        <v>73</v>
      </c>
      <c r="G759" s="0" t="s">
        <v>35</v>
      </c>
      <c r="H759" s="0" t="s">
        <v>36</v>
      </c>
      <c r="I759" s="0" t="n">
        <v>416.85</v>
      </c>
      <c r="J759" s="0" t="n">
        <v>0</v>
      </c>
      <c r="K759" s="0" t="n">
        <v>9</v>
      </c>
    </row>
    <row r="760" customFormat="false" ht="15" hidden="false" customHeight="false" outlineLevel="0" collapsed="false">
      <c r="A760" s="0" t="s">
        <v>1279</v>
      </c>
      <c r="B760" s="0" t="s">
        <v>1089</v>
      </c>
      <c r="C760" s="0" t="s">
        <v>789</v>
      </c>
      <c r="D760" s="0" t="s">
        <v>61</v>
      </c>
      <c r="E760" s="0" t="s">
        <v>66</v>
      </c>
      <c r="F760" s="0" t="s">
        <v>34</v>
      </c>
      <c r="G760" s="0" t="s">
        <v>35</v>
      </c>
      <c r="H760" s="0" t="s">
        <v>42</v>
      </c>
      <c r="I760" s="0" t="n">
        <v>744.9</v>
      </c>
      <c r="J760" s="0" t="n">
        <v>0</v>
      </c>
      <c r="K760" s="0" t="n">
        <v>3</v>
      </c>
    </row>
    <row r="761" customFormat="false" ht="15" hidden="false" customHeight="false" outlineLevel="0" collapsed="false">
      <c r="A761" s="0" t="s">
        <v>1280</v>
      </c>
      <c r="B761" s="0" t="s">
        <v>214</v>
      </c>
      <c r="D761" s="0" t="s">
        <v>78</v>
      </c>
      <c r="E761" s="0" t="s">
        <v>46</v>
      </c>
      <c r="F761" s="0" t="s">
        <v>34</v>
      </c>
      <c r="G761" s="0" t="s">
        <v>58</v>
      </c>
      <c r="H761" s="0" t="s">
        <v>80</v>
      </c>
      <c r="I761" s="0" t="n">
        <v>276.98</v>
      </c>
      <c r="J761" s="0" t="n">
        <v>0.1</v>
      </c>
    </row>
    <row r="762" customFormat="false" ht="15" hidden="false" customHeight="false" outlineLevel="0" collapsed="false">
      <c r="A762" s="0" t="s">
        <v>1281</v>
      </c>
      <c r="B762" s="0" t="s">
        <v>1112</v>
      </c>
      <c r="D762" s="0" t="s">
        <v>32</v>
      </c>
      <c r="E762" s="0" t="s">
        <v>72</v>
      </c>
      <c r="F762" s="0" t="s">
        <v>34</v>
      </c>
      <c r="G762" s="0" t="s">
        <v>58</v>
      </c>
      <c r="H762" s="0" t="s">
        <v>80</v>
      </c>
      <c r="I762" s="0" t="n">
        <v>734.95</v>
      </c>
      <c r="J762" s="0" t="n">
        <v>0.2</v>
      </c>
    </row>
    <row r="763" customFormat="false" ht="15" hidden="false" customHeight="false" outlineLevel="0" collapsed="false">
      <c r="A763" s="0" t="s">
        <v>1282</v>
      </c>
      <c r="B763" s="0" t="s">
        <v>757</v>
      </c>
      <c r="C763" s="0" t="s">
        <v>865</v>
      </c>
      <c r="D763" s="0" t="s">
        <v>40</v>
      </c>
      <c r="E763" s="0" t="s">
        <v>52</v>
      </c>
      <c r="F763" s="0" t="s">
        <v>89</v>
      </c>
      <c r="G763" s="0" t="s">
        <v>117</v>
      </c>
      <c r="H763" s="0" t="s">
        <v>42</v>
      </c>
      <c r="I763" s="0" t="n">
        <v>534.9</v>
      </c>
      <c r="J763" s="0" t="n">
        <v>0.2</v>
      </c>
      <c r="K763" s="0" t="n">
        <v>5</v>
      </c>
    </row>
    <row r="764" customFormat="false" ht="15" hidden="false" customHeight="false" outlineLevel="0" collapsed="false">
      <c r="A764" s="0" t="s">
        <v>1283</v>
      </c>
      <c r="B764" s="0" t="s">
        <v>737</v>
      </c>
      <c r="C764" s="0" t="s">
        <v>106</v>
      </c>
      <c r="D764" s="0" t="s">
        <v>78</v>
      </c>
      <c r="E764" s="0" t="s">
        <v>66</v>
      </c>
      <c r="F764" s="0" t="s">
        <v>79</v>
      </c>
      <c r="G764" s="0" t="s">
        <v>58</v>
      </c>
      <c r="H764" s="0" t="s">
        <v>42</v>
      </c>
      <c r="I764" s="0" t="n">
        <v>1567.15</v>
      </c>
      <c r="J764" s="0" t="n">
        <v>0.05</v>
      </c>
      <c r="K764" s="0" t="n">
        <v>16</v>
      </c>
    </row>
    <row r="765" customFormat="false" ht="15" hidden="false" customHeight="false" outlineLevel="0" collapsed="false">
      <c r="A765" s="0" t="s">
        <v>1284</v>
      </c>
      <c r="B765" s="0" t="s">
        <v>247</v>
      </c>
      <c r="C765" s="0" t="s">
        <v>1044</v>
      </c>
      <c r="D765" s="0" t="s">
        <v>78</v>
      </c>
      <c r="E765" s="0" t="s">
        <v>33</v>
      </c>
      <c r="F765" s="0" t="s">
        <v>34</v>
      </c>
      <c r="G765" s="0" t="s">
        <v>35</v>
      </c>
      <c r="H765" s="0" t="s">
        <v>42</v>
      </c>
      <c r="I765" s="0" t="n">
        <v>864.94</v>
      </c>
      <c r="J765" s="0" t="n">
        <v>0.1</v>
      </c>
      <c r="K765" s="0" t="n">
        <v>30</v>
      </c>
    </row>
    <row r="766" customFormat="false" ht="15" hidden="false" customHeight="false" outlineLevel="0" collapsed="false">
      <c r="A766" s="0" t="s">
        <v>1285</v>
      </c>
      <c r="B766" s="0" t="s">
        <v>404</v>
      </c>
      <c r="C766" s="0" t="s">
        <v>187</v>
      </c>
      <c r="D766" s="0" t="s">
        <v>32</v>
      </c>
      <c r="E766" s="0" t="s">
        <v>66</v>
      </c>
      <c r="F766" s="0" t="s">
        <v>57</v>
      </c>
      <c r="G766" s="0" t="s">
        <v>117</v>
      </c>
      <c r="H766" s="0" t="s">
        <v>42</v>
      </c>
      <c r="I766" s="0" t="n">
        <v>663.58</v>
      </c>
      <c r="J766" s="0" t="n">
        <v>0.05</v>
      </c>
      <c r="K766" s="0" t="n">
        <v>31</v>
      </c>
    </row>
    <row r="767" customFormat="false" ht="15" hidden="false" customHeight="false" outlineLevel="0" collapsed="false">
      <c r="A767" s="0" t="s">
        <v>1286</v>
      </c>
      <c r="B767" s="0" t="s">
        <v>973</v>
      </c>
      <c r="D767" s="0" t="s">
        <v>51</v>
      </c>
      <c r="E767" s="0" t="s">
        <v>66</v>
      </c>
      <c r="F767" s="0" t="s">
        <v>47</v>
      </c>
      <c r="G767" s="0" t="s">
        <v>140</v>
      </c>
      <c r="H767" s="0" t="s">
        <v>75</v>
      </c>
      <c r="I767" s="0" t="n">
        <v>685.65</v>
      </c>
      <c r="J767" s="0" t="n">
        <v>0</v>
      </c>
    </row>
    <row r="768" customFormat="false" ht="15" hidden="false" customHeight="false" outlineLevel="0" collapsed="false">
      <c r="A768" s="0" t="s">
        <v>1287</v>
      </c>
      <c r="B768" s="0" t="s">
        <v>393</v>
      </c>
      <c r="D768" s="0" t="s">
        <v>86</v>
      </c>
      <c r="E768" s="0" t="s">
        <v>33</v>
      </c>
      <c r="F768" s="0" t="s">
        <v>34</v>
      </c>
      <c r="G768" s="0" t="s">
        <v>53</v>
      </c>
      <c r="H768" s="0" t="s">
        <v>75</v>
      </c>
      <c r="I768" s="0" t="n">
        <v>884.9</v>
      </c>
      <c r="J768" s="0" t="n">
        <v>0.05</v>
      </c>
    </row>
    <row r="769" customFormat="false" ht="15" hidden="false" customHeight="false" outlineLevel="0" collapsed="false">
      <c r="A769" s="0" t="s">
        <v>1288</v>
      </c>
      <c r="B769" s="0" t="s">
        <v>305</v>
      </c>
      <c r="C769" s="0" t="s">
        <v>82</v>
      </c>
      <c r="D769" s="0" t="s">
        <v>78</v>
      </c>
      <c r="E769" s="0" t="s">
        <v>66</v>
      </c>
      <c r="F769" s="0" t="s">
        <v>89</v>
      </c>
      <c r="G769" s="0" t="s">
        <v>53</v>
      </c>
      <c r="H769" s="0" t="s">
        <v>36</v>
      </c>
      <c r="I769" s="0" t="n">
        <v>2244.89</v>
      </c>
      <c r="J769" s="0" t="n">
        <v>0</v>
      </c>
      <c r="K769" s="0" t="n">
        <v>17</v>
      </c>
    </row>
    <row r="770" customFormat="false" ht="15" hidden="false" customHeight="false" outlineLevel="0" collapsed="false">
      <c r="A770" s="0" t="s">
        <v>1289</v>
      </c>
      <c r="B770" s="0" t="s">
        <v>1290</v>
      </c>
      <c r="C770" s="0" t="s">
        <v>204</v>
      </c>
      <c r="D770" s="0" t="s">
        <v>32</v>
      </c>
      <c r="E770" s="0" t="s">
        <v>33</v>
      </c>
      <c r="F770" s="0" t="s">
        <v>79</v>
      </c>
      <c r="G770" s="0" t="s">
        <v>58</v>
      </c>
      <c r="H770" s="0" t="s">
        <v>36</v>
      </c>
      <c r="I770" s="0" t="n">
        <v>875.48</v>
      </c>
      <c r="J770" s="0" t="n">
        <v>0.05</v>
      </c>
      <c r="K770" s="0" t="n">
        <v>15</v>
      </c>
    </row>
    <row r="771" customFormat="false" ht="15" hidden="false" customHeight="false" outlineLevel="0" collapsed="false">
      <c r="A771" s="0" t="s">
        <v>1291</v>
      </c>
      <c r="B771" s="0" t="s">
        <v>455</v>
      </c>
      <c r="C771" s="0" t="s">
        <v>104</v>
      </c>
      <c r="D771" s="0" t="s">
        <v>32</v>
      </c>
      <c r="E771" s="0" t="s">
        <v>66</v>
      </c>
      <c r="F771" s="0" t="s">
        <v>47</v>
      </c>
      <c r="G771" s="0" t="s">
        <v>140</v>
      </c>
      <c r="H771" s="0" t="s">
        <v>36</v>
      </c>
      <c r="I771" s="0" t="n">
        <v>2073.53</v>
      </c>
      <c r="J771" s="0" t="n">
        <v>0.05</v>
      </c>
      <c r="K771" s="0" t="n">
        <v>19</v>
      </c>
    </row>
    <row r="772" customFormat="false" ht="15" hidden="false" customHeight="false" outlineLevel="0" collapsed="false">
      <c r="A772" s="0" t="s">
        <v>1292</v>
      </c>
      <c r="B772" s="0" t="s">
        <v>237</v>
      </c>
      <c r="D772" s="0" t="s">
        <v>51</v>
      </c>
      <c r="E772" s="0" t="s">
        <v>114</v>
      </c>
      <c r="F772" s="0" t="s">
        <v>34</v>
      </c>
      <c r="G772" s="0" t="s">
        <v>117</v>
      </c>
      <c r="H772" s="0" t="s">
        <v>80</v>
      </c>
      <c r="I772" s="0" t="n">
        <v>1254.51</v>
      </c>
      <c r="J772" s="0" t="n">
        <v>0.1</v>
      </c>
    </row>
    <row r="773" customFormat="false" ht="15" hidden="false" customHeight="false" outlineLevel="0" collapsed="false">
      <c r="A773" s="0" t="s">
        <v>1293</v>
      </c>
      <c r="B773" s="0" t="s">
        <v>414</v>
      </c>
      <c r="D773" s="0" t="s">
        <v>95</v>
      </c>
      <c r="E773" s="0" t="s">
        <v>46</v>
      </c>
      <c r="F773" s="0" t="s">
        <v>89</v>
      </c>
      <c r="G773" s="0" t="s">
        <v>35</v>
      </c>
      <c r="H773" s="0" t="s">
        <v>62</v>
      </c>
      <c r="I773" s="0" t="n">
        <v>115.64</v>
      </c>
      <c r="J773" s="0" t="n">
        <v>0.2</v>
      </c>
    </row>
    <row r="774" customFormat="false" ht="15" hidden="false" customHeight="false" outlineLevel="0" collapsed="false">
      <c r="A774" s="0" t="s">
        <v>1294</v>
      </c>
      <c r="B774" s="0" t="s">
        <v>798</v>
      </c>
      <c r="C774" s="0" t="s">
        <v>895</v>
      </c>
      <c r="D774" s="0" t="s">
        <v>95</v>
      </c>
      <c r="E774" s="0" t="s">
        <v>114</v>
      </c>
      <c r="F774" s="0" t="s">
        <v>34</v>
      </c>
      <c r="G774" s="0" t="s">
        <v>35</v>
      </c>
      <c r="H774" s="0" t="s">
        <v>36</v>
      </c>
      <c r="I774" s="0" t="n">
        <v>686.35</v>
      </c>
      <c r="J774" s="0" t="n">
        <v>0.1</v>
      </c>
      <c r="K774" s="0" t="n">
        <v>21</v>
      </c>
    </row>
    <row r="775" customFormat="false" ht="15" hidden="false" customHeight="false" outlineLevel="0" collapsed="false">
      <c r="A775" s="0" t="s">
        <v>1295</v>
      </c>
      <c r="B775" s="0" t="s">
        <v>422</v>
      </c>
      <c r="C775" s="0" t="s">
        <v>411</v>
      </c>
      <c r="D775" s="0" t="s">
        <v>32</v>
      </c>
      <c r="E775" s="0" t="s">
        <v>33</v>
      </c>
      <c r="F775" s="0" t="s">
        <v>57</v>
      </c>
      <c r="G775" s="0" t="s">
        <v>58</v>
      </c>
      <c r="H775" s="0" t="s">
        <v>36</v>
      </c>
      <c r="I775" s="0" t="n">
        <v>852.46</v>
      </c>
      <c r="J775" s="0" t="n">
        <v>0.2</v>
      </c>
      <c r="K775" s="0" t="n">
        <v>10</v>
      </c>
    </row>
    <row r="776" customFormat="false" ht="15" hidden="false" customHeight="false" outlineLevel="0" collapsed="false">
      <c r="A776" s="0" t="s">
        <v>1296</v>
      </c>
      <c r="B776" s="0" t="s">
        <v>178</v>
      </c>
      <c r="D776" s="0" t="s">
        <v>78</v>
      </c>
      <c r="E776" s="0" t="s">
        <v>46</v>
      </c>
      <c r="F776" s="0" t="s">
        <v>73</v>
      </c>
      <c r="G776" s="0" t="s">
        <v>35</v>
      </c>
      <c r="H776" s="0" t="s">
        <v>80</v>
      </c>
      <c r="I776" s="0" t="n">
        <v>237.89</v>
      </c>
      <c r="J776" s="0" t="n">
        <v>0.05</v>
      </c>
    </row>
    <row r="777" customFormat="false" ht="15" hidden="false" customHeight="false" outlineLevel="0" collapsed="false">
      <c r="A777" s="0" t="s">
        <v>1297</v>
      </c>
      <c r="B777" s="0" t="s">
        <v>840</v>
      </c>
      <c r="C777" s="0" t="s">
        <v>462</v>
      </c>
      <c r="D777" s="0" t="s">
        <v>51</v>
      </c>
      <c r="E777" s="0" t="s">
        <v>114</v>
      </c>
      <c r="F777" s="0" t="s">
        <v>47</v>
      </c>
      <c r="G777" s="0" t="s">
        <v>69</v>
      </c>
      <c r="H777" s="0" t="s">
        <v>42</v>
      </c>
      <c r="I777" s="0" t="n">
        <v>677.14</v>
      </c>
      <c r="J777" s="0" t="n">
        <v>0.1</v>
      </c>
      <c r="K777" s="0" t="n">
        <v>16</v>
      </c>
    </row>
    <row r="778" customFormat="false" ht="15" hidden="false" customHeight="false" outlineLevel="0" collapsed="false">
      <c r="A778" s="0" t="s">
        <v>1298</v>
      </c>
      <c r="B778" s="0" t="s">
        <v>1299</v>
      </c>
      <c r="D778" s="0" t="s">
        <v>40</v>
      </c>
      <c r="E778" s="0" t="s">
        <v>52</v>
      </c>
      <c r="F778" s="0" t="s">
        <v>57</v>
      </c>
      <c r="G778" s="0" t="s">
        <v>117</v>
      </c>
      <c r="H778" s="0" t="s">
        <v>62</v>
      </c>
      <c r="I778" s="0" t="n">
        <v>1601.75</v>
      </c>
      <c r="J778" s="0" t="n">
        <v>0.2</v>
      </c>
    </row>
    <row r="779" customFormat="false" ht="15" hidden="false" customHeight="false" outlineLevel="0" collapsed="false">
      <c r="A779" s="0" t="s">
        <v>1300</v>
      </c>
      <c r="B779" s="0" t="s">
        <v>322</v>
      </c>
      <c r="C779" s="0" t="s">
        <v>718</v>
      </c>
      <c r="D779" s="0" t="s">
        <v>95</v>
      </c>
      <c r="E779" s="0" t="s">
        <v>66</v>
      </c>
      <c r="F779" s="0" t="s">
        <v>79</v>
      </c>
      <c r="G779" s="0" t="s">
        <v>74</v>
      </c>
      <c r="H779" s="0" t="s">
        <v>36</v>
      </c>
      <c r="I779" s="0" t="n">
        <v>754.71</v>
      </c>
      <c r="J779" s="0" t="n">
        <v>0.2</v>
      </c>
      <c r="K779" s="0" t="n">
        <v>24</v>
      </c>
    </row>
    <row r="780" customFormat="false" ht="15" hidden="false" customHeight="false" outlineLevel="0" collapsed="false">
      <c r="A780" s="0" t="s">
        <v>1301</v>
      </c>
      <c r="B780" s="0" t="s">
        <v>278</v>
      </c>
      <c r="D780" s="0" t="s">
        <v>40</v>
      </c>
      <c r="E780" s="0" t="s">
        <v>66</v>
      </c>
      <c r="F780" s="0" t="s">
        <v>89</v>
      </c>
      <c r="G780" s="0" t="s">
        <v>58</v>
      </c>
      <c r="H780" s="0" t="s">
        <v>75</v>
      </c>
      <c r="I780" s="0" t="n">
        <v>682.63</v>
      </c>
      <c r="J780" s="0" t="n">
        <v>0.15</v>
      </c>
    </row>
    <row r="781" customFormat="false" ht="15" hidden="false" customHeight="false" outlineLevel="0" collapsed="false">
      <c r="A781" s="0" t="s">
        <v>1302</v>
      </c>
      <c r="B781" s="0" t="s">
        <v>177</v>
      </c>
      <c r="C781" s="0" t="s">
        <v>1232</v>
      </c>
      <c r="D781" s="0" t="s">
        <v>61</v>
      </c>
      <c r="E781" s="0" t="s">
        <v>72</v>
      </c>
      <c r="F781" s="0" t="s">
        <v>57</v>
      </c>
      <c r="G781" s="0" t="s">
        <v>41</v>
      </c>
      <c r="H781" s="0" t="s">
        <v>36</v>
      </c>
      <c r="I781" s="0" t="n">
        <v>335.22</v>
      </c>
      <c r="J781" s="0" t="n">
        <v>0</v>
      </c>
      <c r="K781" s="0" t="n">
        <v>25</v>
      </c>
    </row>
    <row r="782" customFormat="false" ht="15" hidden="false" customHeight="false" outlineLevel="0" collapsed="false">
      <c r="A782" s="0" t="s">
        <v>1303</v>
      </c>
      <c r="B782" s="0" t="s">
        <v>1304</v>
      </c>
      <c r="D782" s="0" t="s">
        <v>95</v>
      </c>
      <c r="E782" s="0" t="s">
        <v>72</v>
      </c>
      <c r="F782" s="0" t="s">
        <v>47</v>
      </c>
      <c r="G782" s="0" t="s">
        <v>140</v>
      </c>
      <c r="H782" s="0" t="s">
        <v>80</v>
      </c>
      <c r="I782" s="0" t="n">
        <v>325.38</v>
      </c>
      <c r="J782" s="0" t="n">
        <v>0</v>
      </c>
    </row>
    <row r="783" customFormat="false" ht="15" hidden="false" customHeight="false" outlineLevel="0" collapsed="false">
      <c r="A783" s="0" t="s">
        <v>1305</v>
      </c>
      <c r="B783" s="0" t="s">
        <v>805</v>
      </c>
      <c r="D783" s="0" t="s">
        <v>61</v>
      </c>
      <c r="E783" s="0" t="s">
        <v>33</v>
      </c>
      <c r="F783" s="0" t="s">
        <v>89</v>
      </c>
      <c r="G783" s="0" t="s">
        <v>35</v>
      </c>
      <c r="H783" s="0" t="s">
        <v>80</v>
      </c>
      <c r="I783" s="0" t="n">
        <v>1545.76</v>
      </c>
      <c r="J783" s="0" t="n">
        <v>0.2</v>
      </c>
    </row>
    <row r="784" customFormat="false" ht="15" hidden="false" customHeight="false" outlineLevel="0" collapsed="false">
      <c r="A784" s="0" t="s">
        <v>1306</v>
      </c>
      <c r="B784" s="0" t="s">
        <v>167</v>
      </c>
      <c r="C784" s="0" t="s">
        <v>411</v>
      </c>
      <c r="D784" s="0" t="s">
        <v>78</v>
      </c>
      <c r="E784" s="0" t="s">
        <v>33</v>
      </c>
      <c r="F784" s="0" t="s">
        <v>79</v>
      </c>
      <c r="G784" s="0" t="s">
        <v>58</v>
      </c>
      <c r="H784" s="0" t="s">
        <v>42</v>
      </c>
      <c r="I784" s="0" t="n">
        <v>848.31</v>
      </c>
      <c r="J784" s="0" t="n">
        <v>0.15</v>
      </c>
      <c r="K784" s="0" t="n">
        <v>33</v>
      </c>
    </row>
    <row r="785" customFormat="false" ht="15" hidden="false" customHeight="false" outlineLevel="0" collapsed="false">
      <c r="A785" s="0" t="s">
        <v>1307</v>
      </c>
      <c r="B785" s="0" t="s">
        <v>337</v>
      </c>
      <c r="C785" s="0" t="s">
        <v>667</v>
      </c>
      <c r="D785" s="0" t="s">
        <v>32</v>
      </c>
      <c r="E785" s="0" t="s">
        <v>33</v>
      </c>
      <c r="F785" s="0" t="s">
        <v>89</v>
      </c>
      <c r="G785" s="0" t="s">
        <v>69</v>
      </c>
      <c r="H785" s="0" t="s">
        <v>36</v>
      </c>
      <c r="I785" s="0" t="n">
        <v>916.02</v>
      </c>
      <c r="J785" s="0" t="n">
        <v>0.1</v>
      </c>
      <c r="K785" s="0" t="n">
        <v>6</v>
      </c>
    </row>
    <row r="786" customFormat="false" ht="15" hidden="false" customHeight="false" outlineLevel="0" collapsed="false">
      <c r="A786" s="0" t="s">
        <v>1308</v>
      </c>
      <c r="B786" s="0" t="s">
        <v>316</v>
      </c>
      <c r="D786" s="0" t="s">
        <v>32</v>
      </c>
      <c r="E786" s="0" t="s">
        <v>114</v>
      </c>
      <c r="F786" s="0" t="s">
        <v>79</v>
      </c>
      <c r="G786" s="0" t="s">
        <v>35</v>
      </c>
      <c r="H786" s="0" t="s">
        <v>62</v>
      </c>
      <c r="I786" s="0" t="n">
        <v>632.43</v>
      </c>
      <c r="J786" s="0" t="n">
        <v>0.2</v>
      </c>
    </row>
    <row r="787" customFormat="false" ht="15" hidden="false" customHeight="false" outlineLevel="0" collapsed="false">
      <c r="A787" s="0" t="s">
        <v>1309</v>
      </c>
      <c r="B787" s="0" t="s">
        <v>337</v>
      </c>
      <c r="D787" s="0" t="s">
        <v>95</v>
      </c>
      <c r="E787" s="0" t="s">
        <v>72</v>
      </c>
      <c r="F787" s="0" t="s">
        <v>89</v>
      </c>
      <c r="G787" s="0" t="s">
        <v>140</v>
      </c>
      <c r="H787" s="0" t="s">
        <v>62</v>
      </c>
      <c r="I787" s="0" t="n">
        <v>341.15</v>
      </c>
      <c r="J787" s="0" t="n">
        <v>0</v>
      </c>
    </row>
    <row r="788" customFormat="false" ht="15" hidden="false" customHeight="false" outlineLevel="0" collapsed="false">
      <c r="A788" s="0" t="s">
        <v>1310</v>
      </c>
      <c r="B788" s="0" t="s">
        <v>463</v>
      </c>
      <c r="C788" s="0" t="s">
        <v>131</v>
      </c>
      <c r="D788" s="0" t="s">
        <v>61</v>
      </c>
      <c r="E788" s="0" t="s">
        <v>72</v>
      </c>
      <c r="F788" s="0" t="s">
        <v>89</v>
      </c>
      <c r="G788" s="0" t="s">
        <v>35</v>
      </c>
      <c r="H788" s="0" t="s">
        <v>42</v>
      </c>
      <c r="I788" s="0" t="n">
        <v>699.48</v>
      </c>
      <c r="J788" s="0" t="n">
        <v>0.05</v>
      </c>
      <c r="K788" s="0" t="n">
        <v>5</v>
      </c>
    </row>
    <row r="789" customFormat="false" ht="15" hidden="false" customHeight="false" outlineLevel="0" collapsed="false">
      <c r="A789" s="0" t="s">
        <v>1311</v>
      </c>
      <c r="B789" s="0" t="s">
        <v>445</v>
      </c>
      <c r="C789" s="0" t="s">
        <v>251</v>
      </c>
      <c r="D789" s="0" t="s">
        <v>32</v>
      </c>
      <c r="E789" s="0" t="s">
        <v>52</v>
      </c>
      <c r="F789" s="0" t="s">
        <v>129</v>
      </c>
      <c r="G789" s="0" t="s">
        <v>69</v>
      </c>
      <c r="H789" s="0" t="s">
        <v>42</v>
      </c>
      <c r="I789" s="0" t="n">
        <v>513.08</v>
      </c>
      <c r="J789" s="0" t="n">
        <v>0</v>
      </c>
      <c r="K789" s="0" t="n">
        <v>36</v>
      </c>
    </row>
    <row r="790" customFormat="false" ht="15" hidden="false" customHeight="false" outlineLevel="0" collapsed="false">
      <c r="A790" s="0" t="s">
        <v>1312</v>
      </c>
      <c r="B790" s="0" t="s">
        <v>39</v>
      </c>
      <c r="C790" s="0" t="s">
        <v>318</v>
      </c>
      <c r="D790" s="0" t="s">
        <v>32</v>
      </c>
      <c r="E790" s="0" t="s">
        <v>114</v>
      </c>
      <c r="F790" s="0" t="s">
        <v>34</v>
      </c>
      <c r="G790" s="0" t="s">
        <v>74</v>
      </c>
      <c r="H790" s="0" t="s">
        <v>36</v>
      </c>
      <c r="I790" s="0" t="n">
        <v>706.79</v>
      </c>
      <c r="J790" s="0" t="n">
        <v>0.1</v>
      </c>
      <c r="K790" s="0" t="n">
        <v>11</v>
      </c>
    </row>
    <row r="791" customFormat="false" ht="15" hidden="false" customHeight="false" outlineLevel="0" collapsed="false">
      <c r="A791" s="0" t="s">
        <v>1313</v>
      </c>
      <c r="B791" s="0" t="s">
        <v>1314</v>
      </c>
      <c r="D791" s="0" t="s">
        <v>95</v>
      </c>
      <c r="E791" s="0" t="s">
        <v>52</v>
      </c>
      <c r="F791" s="0" t="s">
        <v>79</v>
      </c>
      <c r="G791" s="0" t="s">
        <v>140</v>
      </c>
      <c r="H791" s="0" t="s">
        <v>62</v>
      </c>
      <c r="I791" s="0" t="n">
        <v>516.27</v>
      </c>
      <c r="J791" s="0" t="n">
        <v>0</v>
      </c>
    </row>
    <row r="792" customFormat="false" ht="15" hidden="false" customHeight="false" outlineLevel="0" collapsed="false">
      <c r="A792" s="0" t="s">
        <v>1315</v>
      </c>
      <c r="B792" s="0" t="s">
        <v>262</v>
      </c>
      <c r="D792" s="0" t="s">
        <v>78</v>
      </c>
      <c r="E792" s="0" t="s">
        <v>52</v>
      </c>
      <c r="F792" s="0" t="s">
        <v>89</v>
      </c>
      <c r="G792" s="0" t="s">
        <v>69</v>
      </c>
      <c r="H792" s="0" t="s">
        <v>80</v>
      </c>
      <c r="I792" s="0" t="n">
        <v>1155.4</v>
      </c>
      <c r="J792" s="0" t="n">
        <v>0.2</v>
      </c>
    </row>
    <row r="793" customFormat="false" ht="15" hidden="false" customHeight="false" outlineLevel="0" collapsed="false">
      <c r="A793" s="0" t="s">
        <v>1316</v>
      </c>
      <c r="B793" s="0" t="s">
        <v>699</v>
      </c>
      <c r="D793" s="0" t="s">
        <v>78</v>
      </c>
      <c r="E793" s="0" t="s">
        <v>72</v>
      </c>
      <c r="F793" s="0" t="s">
        <v>79</v>
      </c>
      <c r="G793" s="0" t="s">
        <v>117</v>
      </c>
      <c r="H793" s="0" t="s">
        <v>80</v>
      </c>
      <c r="I793" s="0" t="n">
        <v>402.91</v>
      </c>
      <c r="J793" s="0" t="n">
        <v>0.15</v>
      </c>
    </row>
    <row r="794" customFormat="false" ht="15" hidden="false" customHeight="false" outlineLevel="0" collapsed="false">
      <c r="A794" s="0" t="s">
        <v>1317</v>
      </c>
      <c r="B794" s="0" t="s">
        <v>212</v>
      </c>
      <c r="C794" s="0" t="s">
        <v>488</v>
      </c>
      <c r="D794" s="0" t="s">
        <v>40</v>
      </c>
      <c r="E794" s="0" t="s">
        <v>33</v>
      </c>
      <c r="F794" s="0" t="s">
        <v>73</v>
      </c>
      <c r="G794" s="0" t="s">
        <v>35</v>
      </c>
      <c r="H794" s="0" t="s">
        <v>36</v>
      </c>
      <c r="I794" s="0" t="n">
        <v>2665.95</v>
      </c>
      <c r="J794" s="0" t="n">
        <v>0.15</v>
      </c>
      <c r="K794" s="0" t="n">
        <v>29</v>
      </c>
    </row>
    <row r="795" customFormat="false" ht="15" hidden="false" customHeight="false" outlineLevel="0" collapsed="false">
      <c r="A795" s="0" t="s">
        <v>1318</v>
      </c>
      <c r="B795" s="0" t="s">
        <v>281</v>
      </c>
      <c r="D795" s="0" t="s">
        <v>51</v>
      </c>
      <c r="E795" s="0" t="s">
        <v>66</v>
      </c>
      <c r="F795" s="0" t="s">
        <v>57</v>
      </c>
      <c r="H795" s="0" t="s">
        <v>80</v>
      </c>
      <c r="I795" s="0" t="n">
        <v>772.92</v>
      </c>
      <c r="J795" s="0" t="n">
        <v>0</v>
      </c>
    </row>
    <row r="796" customFormat="false" ht="15" hidden="false" customHeight="false" outlineLevel="0" collapsed="false">
      <c r="A796" s="0" t="s">
        <v>1319</v>
      </c>
      <c r="B796" s="0" t="s">
        <v>1163</v>
      </c>
      <c r="C796" s="0" t="s">
        <v>242</v>
      </c>
      <c r="D796" s="0" t="s">
        <v>40</v>
      </c>
      <c r="E796" s="0" t="s">
        <v>52</v>
      </c>
      <c r="F796" s="0" t="s">
        <v>47</v>
      </c>
      <c r="G796" s="0" t="s">
        <v>53</v>
      </c>
      <c r="H796" s="0" t="s">
        <v>36</v>
      </c>
      <c r="I796" s="0" t="n">
        <v>563.58</v>
      </c>
      <c r="J796" s="0" t="n">
        <v>0.2</v>
      </c>
      <c r="K796" s="0" t="n">
        <v>21</v>
      </c>
    </row>
    <row r="797" customFormat="false" ht="15" hidden="false" customHeight="false" outlineLevel="0" collapsed="false">
      <c r="A797" s="0" t="s">
        <v>1320</v>
      </c>
      <c r="B797" s="0" t="s">
        <v>493</v>
      </c>
      <c r="C797" s="0" t="s">
        <v>644</v>
      </c>
      <c r="D797" s="0" t="s">
        <v>86</v>
      </c>
      <c r="E797" s="0" t="s">
        <v>46</v>
      </c>
      <c r="F797" s="0" t="s">
        <v>89</v>
      </c>
      <c r="G797" s="0" t="s">
        <v>53</v>
      </c>
      <c r="H797" s="0" t="s">
        <v>42</v>
      </c>
      <c r="I797" s="0" t="n">
        <v>131.46</v>
      </c>
      <c r="J797" s="0" t="n">
        <v>0</v>
      </c>
      <c r="K797" s="0" t="n">
        <v>35</v>
      </c>
    </row>
    <row r="798" customFormat="false" ht="15" hidden="false" customHeight="false" outlineLevel="0" collapsed="false">
      <c r="A798" s="0" t="s">
        <v>1321</v>
      </c>
      <c r="B798" s="0" t="s">
        <v>1322</v>
      </c>
      <c r="C798" s="0" t="s">
        <v>77</v>
      </c>
      <c r="D798" s="0" t="s">
        <v>32</v>
      </c>
      <c r="E798" s="0" t="s">
        <v>114</v>
      </c>
      <c r="F798" s="0" t="s">
        <v>73</v>
      </c>
      <c r="G798" s="0" t="s">
        <v>35</v>
      </c>
      <c r="H798" s="0" t="s">
        <v>36</v>
      </c>
      <c r="I798" s="0" t="n">
        <v>1964.44</v>
      </c>
      <c r="J798" s="0" t="n">
        <v>0</v>
      </c>
      <c r="K798" s="0" t="n">
        <v>14</v>
      </c>
    </row>
    <row r="799" customFormat="false" ht="15" hidden="false" customHeight="false" outlineLevel="0" collapsed="false">
      <c r="A799" s="0" t="s">
        <v>1323</v>
      </c>
      <c r="B799" s="0" t="s">
        <v>803</v>
      </c>
      <c r="D799" s="0" t="s">
        <v>78</v>
      </c>
      <c r="E799" s="0" t="s">
        <v>33</v>
      </c>
      <c r="F799" s="0" t="s">
        <v>79</v>
      </c>
      <c r="G799" s="0" t="s">
        <v>41</v>
      </c>
      <c r="H799" s="0" t="s">
        <v>62</v>
      </c>
      <c r="I799" s="0" t="n">
        <v>805.15</v>
      </c>
      <c r="J799" s="0" t="n">
        <v>0</v>
      </c>
    </row>
    <row r="800" customFormat="false" ht="15" hidden="false" customHeight="false" outlineLevel="0" collapsed="false">
      <c r="A800" s="0" t="s">
        <v>1324</v>
      </c>
      <c r="B800" s="0" t="s">
        <v>289</v>
      </c>
      <c r="C800" s="0" t="s">
        <v>383</v>
      </c>
      <c r="D800" s="0" t="s">
        <v>40</v>
      </c>
      <c r="E800" s="0" t="s">
        <v>114</v>
      </c>
      <c r="F800" s="0" t="s">
        <v>89</v>
      </c>
      <c r="G800" s="0" t="s">
        <v>35</v>
      </c>
      <c r="H800" s="0" t="s">
        <v>36</v>
      </c>
      <c r="I800" s="0" t="n">
        <v>1959.9</v>
      </c>
      <c r="J800" s="0" t="n">
        <v>0</v>
      </c>
      <c r="K800" s="0" t="n">
        <v>27</v>
      </c>
    </row>
    <row r="801" customFormat="false" ht="15" hidden="false" customHeight="false" outlineLevel="0" collapsed="false">
      <c r="A801" s="0" t="s">
        <v>1325</v>
      </c>
      <c r="B801" s="0" t="s">
        <v>186</v>
      </c>
      <c r="C801" s="0" t="s">
        <v>187</v>
      </c>
      <c r="D801" s="0" t="s">
        <v>78</v>
      </c>
      <c r="E801" s="0" t="s">
        <v>46</v>
      </c>
      <c r="F801" s="0" t="s">
        <v>47</v>
      </c>
      <c r="G801" s="0" t="s">
        <v>117</v>
      </c>
      <c r="H801" s="0" t="s">
        <v>36</v>
      </c>
      <c r="I801" s="0" t="n">
        <v>135.22</v>
      </c>
      <c r="J801" s="0" t="n">
        <v>0</v>
      </c>
      <c r="K801" s="0" t="n">
        <v>19</v>
      </c>
    </row>
    <row r="802" customFormat="false" ht="15" hidden="false" customHeight="false" outlineLevel="0" collapsed="false">
      <c r="A802" s="0" t="s">
        <v>1326</v>
      </c>
      <c r="B802" s="0" t="s">
        <v>202</v>
      </c>
      <c r="C802" s="0" t="s">
        <v>768</v>
      </c>
      <c r="D802" s="0" t="s">
        <v>32</v>
      </c>
      <c r="E802" s="0" t="s">
        <v>66</v>
      </c>
      <c r="F802" s="0" t="s">
        <v>89</v>
      </c>
      <c r="G802" s="0" t="s">
        <v>140</v>
      </c>
      <c r="H802" s="0" t="s">
        <v>42</v>
      </c>
      <c r="I802" s="0" t="n">
        <v>808.09</v>
      </c>
      <c r="J802" s="0" t="n">
        <v>0.15</v>
      </c>
      <c r="K802" s="0" t="n">
        <v>15</v>
      </c>
    </row>
    <row r="803" customFormat="false" ht="15" hidden="false" customHeight="false" outlineLevel="0" collapsed="false">
      <c r="A803" s="0" t="s">
        <v>1327</v>
      </c>
      <c r="B803" s="0" t="s">
        <v>433</v>
      </c>
      <c r="C803" s="0" t="s">
        <v>1020</v>
      </c>
      <c r="D803" s="0" t="s">
        <v>32</v>
      </c>
      <c r="E803" s="0" t="s">
        <v>52</v>
      </c>
      <c r="F803" s="0" t="s">
        <v>89</v>
      </c>
      <c r="G803" s="0" t="s">
        <v>140</v>
      </c>
      <c r="H803" s="0" t="s">
        <v>36</v>
      </c>
      <c r="I803" s="0" t="n">
        <v>523.59</v>
      </c>
      <c r="J803" s="0" t="n">
        <v>0</v>
      </c>
      <c r="K803" s="0" t="n">
        <v>27</v>
      </c>
    </row>
    <row r="804" customFormat="false" ht="15" hidden="false" customHeight="false" outlineLevel="0" collapsed="false">
      <c r="A804" s="0" t="s">
        <v>1328</v>
      </c>
      <c r="B804" s="0" t="s">
        <v>229</v>
      </c>
      <c r="C804" s="0" t="s">
        <v>752</v>
      </c>
      <c r="D804" s="0" t="s">
        <v>86</v>
      </c>
      <c r="E804" s="0" t="s">
        <v>46</v>
      </c>
      <c r="F804" s="0" t="s">
        <v>57</v>
      </c>
      <c r="G804" s="0" t="s">
        <v>58</v>
      </c>
      <c r="H804" s="0" t="s">
        <v>42</v>
      </c>
      <c r="I804" s="0" t="n">
        <v>271.01</v>
      </c>
      <c r="J804" s="0" t="n">
        <v>0.15</v>
      </c>
      <c r="K804" s="0" t="n">
        <v>20</v>
      </c>
    </row>
    <row r="805" customFormat="false" ht="15" hidden="false" customHeight="false" outlineLevel="0" collapsed="false">
      <c r="A805" s="0" t="s">
        <v>1329</v>
      </c>
      <c r="B805" s="0" t="s">
        <v>529</v>
      </c>
      <c r="C805" s="0" t="s">
        <v>239</v>
      </c>
      <c r="D805" s="0" t="s">
        <v>61</v>
      </c>
      <c r="E805" s="0" t="s">
        <v>46</v>
      </c>
      <c r="F805" s="0" t="s">
        <v>89</v>
      </c>
      <c r="G805" s="0" t="s">
        <v>140</v>
      </c>
      <c r="H805" s="0" t="s">
        <v>36</v>
      </c>
      <c r="I805" s="0" t="n">
        <v>274.55</v>
      </c>
      <c r="J805" s="0" t="n">
        <v>0</v>
      </c>
      <c r="K805" s="0" t="n">
        <v>18</v>
      </c>
    </row>
    <row r="806" customFormat="false" ht="15" hidden="false" customHeight="false" outlineLevel="0" collapsed="false">
      <c r="A806" s="0" t="s">
        <v>1330</v>
      </c>
      <c r="B806" s="0" t="s">
        <v>1331</v>
      </c>
      <c r="C806" s="0" t="s">
        <v>1332</v>
      </c>
      <c r="D806" s="0" t="s">
        <v>86</v>
      </c>
      <c r="E806" s="0" t="s">
        <v>46</v>
      </c>
      <c r="F806" s="0" t="s">
        <v>129</v>
      </c>
      <c r="G806" s="0" t="s">
        <v>74</v>
      </c>
      <c r="H806" s="0" t="s">
        <v>36</v>
      </c>
      <c r="I806" s="0" t="n">
        <v>128.04</v>
      </c>
      <c r="J806" s="0" t="n">
        <v>0.05</v>
      </c>
      <c r="K806" s="0" t="n">
        <v>19</v>
      </c>
    </row>
    <row r="807" customFormat="false" ht="15" hidden="false" customHeight="false" outlineLevel="0" collapsed="false">
      <c r="A807" s="0" t="s">
        <v>1333</v>
      </c>
      <c r="B807" s="0" t="s">
        <v>720</v>
      </c>
      <c r="C807" s="0" t="s">
        <v>1334</v>
      </c>
      <c r="D807" s="0" t="s">
        <v>32</v>
      </c>
      <c r="E807" s="0" t="s">
        <v>72</v>
      </c>
      <c r="F807" s="0" t="s">
        <v>34</v>
      </c>
      <c r="G807" s="0" t="s">
        <v>74</v>
      </c>
      <c r="H807" s="0" t="s">
        <v>36</v>
      </c>
      <c r="I807" s="0" t="n">
        <v>398.68</v>
      </c>
      <c r="J807" s="0" t="n">
        <v>0</v>
      </c>
      <c r="K807" s="0" t="n">
        <v>3</v>
      </c>
    </row>
    <row r="808" customFormat="false" ht="15" hidden="false" customHeight="false" outlineLevel="0" collapsed="false">
      <c r="A808" s="0" t="s">
        <v>1335</v>
      </c>
      <c r="B808" s="0" t="s">
        <v>726</v>
      </c>
      <c r="C808" s="0" t="s">
        <v>987</v>
      </c>
      <c r="D808" s="0" t="s">
        <v>51</v>
      </c>
      <c r="E808" s="0" t="s">
        <v>46</v>
      </c>
      <c r="F808" s="0" t="s">
        <v>47</v>
      </c>
      <c r="G808" s="0" t="s">
        <v>69</v>
      </c>
      <c r="H808" s="0" t="s">
        <v>36</v>
      </c>
      <c r="I808" s="0" t="n">
        <v>110.96</v>
      </c>
      <c r="J808" s="0" t="n">
        <v>0.05</v>
      </c>
      <c r="K808" s="0" t="n">
        <v>20</v>
      </c>
    </row>
    <row r="809" customFormat="false" ht="15" hidden="false" customHeight="false" outlineLevel="0" collapsed="false">
      <c r="A809" s="0" t="s">
        <v>1336</v>
      </c>
      <c r="B809" s="0" t="s">
        <v>985</v>
      </c>
      <c r="D809" s="0" t="s">
        <v>95</v>
      </c>
      <c r="E809" s="0" t="s">
        <v>72</v>
      </c>
      <c r="F809" s="0" t="s">
        <v>57</v>
      </c>
      <c r="G809" s="0" t="s">
        <v>140</v>
      </c>
      <c r="H809" s="0" t="s">
        <v>62</v>
      </c>
      <c r="I809" s="0" t="n">
        <v>345.09</v>
      </c>
      <c r="J809" s="0" t="n">
        <v>0.1</v>
      </c>
    </row>
    <row r="810" customFormat="false" ht="15" hidden="false" customHeight="false" outlineLevel="0" collapsed="false">
      <c r="A810" s="0" t="s">
        <v>1337</v>
      </c>
      <c r="B810" s="0" t="s">
        <v>1338</v>
      </c>
      <c r="D810" s="0" t="s">
        <v>51</v>
      </c>
      <c r="E810" s="0" t="s">
        <v>66</v>
      </c>
      <c r="F810" s="0" t="s">
        <v>79</v>
      </c>
      <c r="G810" s="0" t="s">
        <v>53</v>
      </c>
      <c r="H810" s="0" t="s">
        <v>75</v>
      </c>
      <c r="I810" s="0" t="n">
        <v>1325.42</v>
      </c>
      <c r="J810" s="0" t="n">
        <v>0</v>
      </c>
    </row>
    <row r="811" customFormat="false" ht="15" hidden="false" customHeight="false" outlineLevel="0" collapsed="false">
      <c r="A811" s="0" t="s">
        <v>1339</v>
      </c>
      <c r="B811" s="0" t="s">
        <v>154</v>
      </c>
      <c r="C811" s="0" t="s">
        <v>131</v>
      </c>
      <c r="D811" s="0" t="s">
        <v>61</v>
      </c>
      <c r="E811" s="0" t="s">
        <v>52</v>
      </c>
      <c r="F811" s="0" t="s">
        <v>34</v>
      </c>
      <c r="G811" s="0" t="s">
        <v>69</v>
      </c>
      <c r="H811" s="0" t="s">
        <v>42</v>
      </c>
      <c r="I811" s="0" t="n">
        <v>962.6</v>
      </c>
      <c r="J811" s="0" t="n">
        <v>0</v>
      </c>
      <c r="K811" s="0" t="n">
        <v>26</v>
      </c>
    </row>
    <row r="812" customFormat="false" ht="15" hidden="false" customHeight="false" outlineLevel="0" collapsed="false">
      <c r="A812" s="0" t="s">
        <v>1340</v>
      </c>
      <c r="B812" s="0" t="s">
        <v>503</v>
      </c>
      <c r="C812" s="0" t="s">
        <v>644</v>
      </c>
      <c r="D812" s="0" t="s">
        <v>40</v>
      </c>
      <c r="E812" s="0" t="s">
        <v>72</v>
      </c>
      <c r="F812" s="0" t="s">
        <v>129</v>
      </c>
      <c r="G812" s="0" t="s">
        <v>117</v>
      </c>
      <c r="H812" s="0" t="s">
        <v>42</v>
      </c>
      <c r="I812" s="0" t="n">
        <v>395.88</v>
      </c>
      <c r="J812" s="0" t="n">
        <v>0</v>
      </c>
      <c r="K812" s="0" t="n">
        <v>29</v>
      </c>
    </row>
    <row r="813" customFormat="false" ht="15" hidden="false" customHeight="false" outlineLevel="0" collapsed="false">
      <c r="A813" s="0" t="s">
        <v>1341</v>
      </c>
      <c r="B813" s="0" t="s">
        <v>1048</v>
      </c>
      <c r="D813" s="0" t="s">
        <v>51</v>
      </c>
      <c r="E813" s="0" t="s">
        <v>33</v>
      </c>
      <c r="F813" s="0" t="s">
        <v>34</v>
      </c>
      <c r="G813" s="0" t="s">
        <v>35</v>
      </c>
      <c r="H813" s="0" t="s">
        <v>75</v>
      </c>
      <c r="I813" s="0" t="n">
        <v>919.21</v>
      </c>
      <c r="J813" s="0" t="n">
        <v>0.1</v>
      </c>
    </row>
    <row r="814" customFormat="false" ht="15" hidden="false" customHeight="false" outlineLevel="0" collapsed="false">
      <c r="A814" s="0" t="s">
        <v>1342</v>
      </c>
      <c r="B814" s="0" t="s">
        <v>1048</v>
      </c>
      <c r="C814" s="0" t="s">
        <v>180</v>
      </c>
      <c r="D814" s="0" t="s">
        <v>32</v>
      </c>
      <c r="E814" s="0" t="s">
        <v>114</v>
      </c>
      <c r="F814" s="0" t="s">
        <v>34</v>
      </c>
      <c r="G814" s="0" t="s">
        <v>74</v>
      </c>
      <c r="H814" s="0" t="s">
        <v>42</v>
      </c>
      <c r="I814" s="0" t="n">
        <v>702.98</v>
      </c>
      <c r="J814" s="0" t="n">
        <v>0</v>
      </c>
      <c r="K814" s="0" t="n">
        <v>34</v>
      </c>
    </row>
    <row r="815" customFormat="false" ht="15" hidden="false" customHeight="false" outlineLevel="0" collapsed="false">
      <c r="A815" s="0" t="s">
        <v>1343</v>
      </c>
      <c r="B815" s="0" t="s">
        <v>209</v>
      </c>
      <c r="C815" s="0" t="s">
        <v>1160</v>
      </c>
      <c r="D815" s="0" t="s">
        <v>51</v>
      </c>
      <c r="E815" s="0" t="s">
        <v>46</v>
      </c>
      <c r="F815" s="0" t="s">
        <v>129</v>
      </c>
      <c r="G815" s="0" t="s">
        <v>58</v>
      </c>
      <c r="H815" s="0" t="s">
        <v>36</v>
      </c>
      <c r="I815" s="0" t="n">
        <v>137.22</v>
      </c>
      <c r="J815" s="0" t="n">
        <v>0.2</v>
      </c>
      <c r="K815" s="0" t="n">
        <v>28</v>
      </c>
    </row>
    <row r="816" customFormat="false" ht="15" hidden="false" customHeight="false" outlineLevel="0" collapsed="false">
      <c r="A816" s="0" t="s">
        <v>1344</v>
      </c>
      <c r="B816" s="0" t="s">
        <v>1345</v>
      </c>
      <c r="C816" s="0" t="s">
        <v>187</v>
      </c>
      <c r="D816" s="0" t="s">
        <v>51</v>
      </c>
      <c r="E816" s="0" t="s">
        <v>52</v>
      </c>
      <c r="F816" s="0" t="s">
        <v>34</v>
      </c>
      <c r="G816" s="0" t="s">
        <v>117</v>
      </c>
      <c r="H816" s="0" t="s">
        <v>42</v>
      </c>
      <c r="I816" s="0" t="n">
        <v>467.38</v>
      </c>
      <c r="J816" s="0" t="n">
        <v>0.15</v>
      </c>
      <c r="K816" s="0" t="n">
        <v>32</v>
      </c>
    </row>
    <row r="817" customFormat="false" ht="15" hidden="false" customHeight="false" outlineLevel="0" collapsed="false">
      <c r="A817" s="0" t="s">
        <v>1346</v>
      </c>
      <c r="B817" s="0" t="s">
        <v>1347</v>
      </c>
      <c r="D817" s="0" t="s">
        <v>86</v>
      </c>
      <c r="E817" s="0" t="s">
        <v>66</v>
      </c>
      <c r="F817" s="0" t="s">
        <v>89</v>
      </c>
      <c r="G817" s="0" t="s">
        <v>69</v>
      </c>
      <c r="H817" s="0" t="s">
        <v>75</v>
      </c>
      <c r="I817" s="0" t="n">
        <v>774.73</v>
      </c>
      <c r="J817" s="0" t="n">
        <v>0</v>
      </c>
    </row>
    <row r="818" customFormat="false" ht="15" hidden="false" customHeight="false" outlineLevel="0" collapsed="false">
      <c r="A818" s="0" t="s">
        <v>1348</v>
      </c>
      <c r="B818" s="0" t="s">
        <v>137</v>
      </c>
      <c r="C818" s="0" t="s">
        <v>639</v>
      </c>
      <c r="D818" s="0" t="s">
        <v>95</v>
      </c>
      <c r="E818" s="0" t="s">
        <v>33</v>
      </c>
      <c r="F818" s="0" t="s">
        <v>57</v>
      </c>
      <c r="G818" s="0" t="s">
        <v>140</v>
      </c>
      <c r="H818" s="0" t="s">
        <v>42</v>
      </c>
      <c r="I818" s="0" t="n">
        <v>1601.91</v>
      </c>
      <c r="J818" s="0" t="n">
        <v>0</v>
      </c>
      <c r="K818" s="0" t="n">
        <v>17</v>
      </c>
    </row>
    <row r="819" customFormat="false" ht="15" hidden="false" customHeight="false" outlineLevel="0" collapsed="false">
      <c r="A819" s="0" t="s">
        <v>1349</v>
      </c>
      <c r="B819" s="0" t="s">
        <v>197</v>
      </c>
      <c r="D819" s="0" t="s">
        <v>78</v>
      </c>
      <c r="E819" s="0" t="s">
        <v>52</v>
      </c>
      <c r="F819" s="0" t="s">
        <v>34</v>
      </c>
      <c r="G819" s="0" t="s">
        <v>140</v>
      </c>
      <c r="H819" s="0" t="s">
        <v>80</v>
      </c>
      <c r="I819" s="0" t="n">
        <v>587.17</v>
      </c>
      <c r="J819" s="0" t="n">
        <v>0</v>
      </c>
    </row>
    <row r="820" customFormat="false" ht="15" hidden="false" customHeight="false" outlineLevel="0" collapsed="false">
      <c r="A820" s="0" t="s">
        <v>1350</v>
      </c>
      <c r="B820" s="0" t="s">
        <v>139</v>
      </c>
      <c r="C820" s="0" t="s">
        <v>280</v>
      </c>
      <c r="D820" s="0" t="s">
        <v>51</v>
      </c>
      <c r="E820" s="0" t="s">
        <v>66</v>
      </c>
      <c r="F820" s="0" t="s">
        <v>73</v>
      </c>
      <c r="G820" s="0" t="s">
        <v>35</v>
      </c>
      <c r="H820" s="0" t="s">
        <v>36</v>
      </c>
      <c r="I820" s="0" t="n">
        <v>1342.16</v>
      </c>
      <c r="J820" s="0" t="n">
        <v>0.05</v>
      </c>
      <c r="K820" s="0" t="n">
        <v>28</v>
      </c>
    </row>
    <row r="821" customFormat="false" ht="15" hidden="false" customHeight="false" outlineLevel="0" collapsed="false">
      <c r="A821" s="0" t="s">
        <v>1351</v>
      </c>
      <c r="B821" s="0" t="s">
        <v>556</v>
      </c>
      <c r="D821" s="0" t="s">
        <v>40</v>
      </c>
      <c r="E821" s="0" t="s">
        <v>72</v>
      </c>
      <c r="F821" s="0" t="s">
        <v>47</v>
      </c>
      <c r="H821" s="0" t="s">
        <v>75</v>
      </c>
      <c r="I821" s="0" t="n">
        <v>1178.53</v>
      </c>
      <c r="J821" s="0" t="n">
        <v>0</v>
      </c>
    </row>
    <row r="822" customFormat="false" ht="15" hidden="false" customHeight="false" outlineLevel="0" collapsed="false">
      <c r="A822" s="0" t="s">
        <v>1352</v>
      </c>
      <c r="B822" s="0" t="s">
        <v>871</v>
      </c>
      <c r="D822" s="0" t="s">
        <v>40</v>
      </c>
      <c r="E822" s="0" t="s">
        <v>46</v>
      </c>
      <c r="F822" s="0" t="s">
        <v>89</v>
      </c>
      <c r="G822" s="0" t="s">
        <v>74</v>
      </c>
      <c r="H822" s="0" t="s">
        <v>62</v>
      </c>
      <c r="I822" s="0" t="n">
        <v>129.72</v>
      </c>
      <c r="J822" s="0" t="n">
        <v>0.05</v>
      </c>
    </row>
    <row r="823" customFormat="false" ht="15" hidden="false" customHeight="false" outlineLevel="0" collapsed="false">
      <c r="A823" s="0" t="s">
        <v>1353</v>
      </c>
      <c r="B823" s="0" t="s">
        <v>1009</v>
      </c>
      <c r="C823" s="0" t="s">
        <v>257</v>
      </c>
      <c r="D823" s="0" t="s">
        <v>86</v>
      </c>
      <c r="E823" s="0" t="s">
        <v>46</v>
      </c>
      <c r="F823" s="0" t="s">
        <v>57</v>
      </c>
      <c r="G823" s="0" t="s">
        <v>58</v>
      </c>
      <c r="H823" s="0" t="s">
        <v>42</v>
      </c>
      <c r="I823" s="0" t="n">
        <v>224</v>
      </c>
      <c r="J823" s="0" t="n">
        <v>0</v>
      </c>
      <c r="K823" s="0" t="n">
        <v>25</v>
      </c>
    </row>
    <row r="824" customFormat="false" ht="15" hidden="false" customHeight="false" outlineLevel="0" collapsed="false">
      <c r="A824" s="0" t="s">
        <v>1354</v>
      </c>
      <c r="B824" s="0" t="s">
        <v>119</v>
      </c>
      <c r="C824" s="0" t="s">
        <v>1299</v>
      </c>
      <c r="D824" s="0" t="s">
        <v>61</v>
      </c>
      <c r="E824" s="0" t="s">
        <v>52</v>
      </c>
      <c r="F824" s="0" t="s">
        <v>57</v>
      </c>
      <c r="G824" s="0" t="s">
        <v>35</v>
      </c>
      <c r="H824" s="0" t="s">
        <v>42</v>
      </c>
      <c r="I824" s="0" t="n">
        <v>476.31</v>
      </c>
      <c r="J824" s="0" t="n">
        <v>0.1</v>
      </c>
      <c r="K824" s="0" t="n">
        <v>20</v>
      </c>
    </row>
    <row r="825" customFormat="false" ht="15" hidden="false" customHeight="false" outlineLevel="0" collapsed="false">
      <c r="A825" s="0" t="s">
        <v>1355</v>
      </c>
      <c r="B825" s="0" t="s">
        <v>447</v>
      </c>
      <c r="D825" s="0" t="s">
        <v>78</v>
      </c>
      <c r="E825" s="0" t="s">
        <v>114</v>
      </c>
      <c r="F825" s="0" t="s">
        <v>89</v>
      </c>
      <c r="G825" s="0" t="s">
        <v>58</v>
      </c>
      <c r="H825" s="0" t="s">
        <v>80</v>
      </c>
      <c r="I825" s="0" t="n">
        <v>685.54</v>
      </c>
      <c r="J825" s="0" t="n">
        <v>0</v>
      </c>
    </row>
    <row r="826" customFormat="false" ht="15" hidden="false" customHeight="false" outlineLevel="0" collapsed="false">
      <c r="A826" s="0" t="s">
        <v>1356</v>
      </c>
      <c r="B826" s="0" t="s">
        <v>900</v>
      </c>
      <c r="D826" s="0" t="s">
        <v>51</v>
      </c>
      <c r="E826" s="0" t="s">
        <v>114</v>
      </c>
      <c r="F826" s="0" t="s">
        <v>34</v>
      </c>
      <c r="G826" s="0" t="s">
        <v>74</v>
      </c>
      <c r="H826" s="0" t="s">
        <v>80</v>
      </c>
      <c r="I826" s="0" t="n">
        <v>668.57</v>
      </c>
      <c r="J826" s="0" t="n">
        <v>0.2</v>
      </c>
    </row>
    <row r="827" customFormat="false" ht="15" hidden="false" customHeight="false" outlineLevel="0" collapsed="false">
      <c r="A827" s="0" t="s">
        <v>1357</v>
      </c>
      <c r="B827" s="0" t="s">
        <v>167</v>
      </c>
      <c r="C827" s="0" t="s">
        <v>422</v>
      </c>
      <c r="D827" s="0" t="s">
        <v>40</v>
      </c>
      <c r="E827" s="0" t="s">
        <v>33</v>
      </c>
      <c r="F827" s="0" t="s">
        <v>34</v>
      </c>
      <c r="G827" s="0" t="s">
        <v>35</v>
      </c>
      <c r="H827" s="0" t="s">
        <v>42</v>
      </c>
      <c r="I827" s="0" t="n">
        <v>1716.46</v>
      </c>
      <c r="J827" s="0" t="n">
        <v>0.1</v>
      </c>
      <c r="K827" s="0" t="n">
        <v>23</v>
      </c>
    </row>
    <row r="828" customFormat="false" ht="15" hidden="false" customHeight="false" outlineLevel="0" collapsed="false">
      <c r="A828" s="0" t="s">
        <v>1358</v>
      </c>
      <c r="B828" s="0" t="s">
        <v>1347</v>
      </c>
      <c r="C828" s="0" t="s">
        <v>853</v>
      </c>
      <c r="D828" s="0" t="s">
        <v>95</v>
      </c>
      <c r="E828" s="0" t="s">
        <v>72</v>
      </c>
      <c r="F828" s="0" t="s">
        <v>89</v>
      </c>
      <c r="G828" s="0" t="s">
        <v>69</v>
      </c>
      <c r="H828" s="0" t="s">
        <v>36</v>
      </c>
      <c r="I828" s="0" t="n">
        <v>398.13</v>
      </c>
      <c r="J828" s="0" t="n">
        <v>0.05</v>
      </c>
      <c r="K828" s="0" t="n">
        <v>20</v>
      </c>
    </row>
    <row r="829" customFormat="false" ht="15" hidden="false" customHeight="false" outlineLevel="0" collapsed="false">
      <c r="A829" s="0" t="s">
        <v>1359</v>
      </c>
      <c r="B829" s="0" t="s">
        <v>883</v>
      </c>
      <c r="C829" s="0" t="s">
        <v>1360</v>
      </c>
      <c r="D829" s="0" t="s">
        <v>86</v>
      </c>
      <c r="E829" s="0" t="s">
        <v>33</v>
      </c>
      <c r="F829" s="0" t="s">
        <v>34</v>
      </c>
      <c r="G829" s="0" t="s">
        <v>58</v>
      </c>
      <c r="H829" s="0" t="s">
        <v>36</v>
      </c>
      <c r="I829" s="0" t="n">
        <v>1725.61</v>
      </c>
      <c r="J829" s="0" t="n">
        <v>0.2</v>
      </c>
      <c r="K829" s="0" t="n">
        <v>8</v>
      </c>
    </row>
    <row r="830" customFormat="false" ht="15" hidden="false" customHeight="false" outlineLevel="0" collapsed="false">
      <c r="A830" s="0" t="s">
        <v>1361</v>
      </c>
      <c r="B830" s="0" t="s">
        <v>175</v>
      </c>
      <c r="C830" s="0" t="s">
        <v>612</v>
      </c>
      <c r="D830" s="0" t="s">
        <v>32</v>
      </c>
      <c r="E830" s="0" t="s">
        <v>46</v>
      </c>
      <c r="F830" s="0" t="s">
        <v>47</v>
      </c>
      <c r="G830" s="0" t="s">
        <v>117</v>
      </c>
      <c r="H830" s="0" t="s">
        <v>42</v>
      </c>
      <c r="I830" s="0" t="n">
        <v>259.28</v>
      </c>
      <c r="J830" s="0" t="n">
        <v>0.2</v>
      </c>
      <c r="K830" s="0" t="n">
        <v>29</v>
      </c>
    </row>
    <row r="831" customFormat="false" ht="15" hidden="false" customHeight="false" outlineLevel="0" collapsed="false">
      <c r="A831" s="0" t="s">
        <v>1362</v>
      </c>
      <c r="B831" s="0" t="s">
        <v>286</v>
      </c>
      <c r="C831" s="0" t="s">
        <v>817</v>
      </c>
      <c r="D831" s="0" t="s">
        <v>51</v>
      </c>
      <c r="E831" s="0" t="s">
        <v>33</v>
      </c>
      <c r="F831" s="0" t="s">
        <v>34</v>
      </c>
      <c r="G831" s="0" t="s">
        <v>74</v>
      </c>
      <c r="H831" s="0" t="s">
        <v>36</v>
      </c>
      <c r="I831" s="0" t="n">
        <v>767.43</v>
      </c>
      <c r="J831" s="0" t="n">
        <v>0.2</v>
      </c>
      <c r="K831" s="0" t="n">
        <v>19</v>
      </c>
    </row>
    <row r="832" customFormat="false" ht="15" hidden="false" customHeight="false" outlineLevel="0" collapsed="false">
      <c r="A832" s="0" t="s">
        <v>1363</v>
      </c>
      <c r="B832" s="0" t="s">
        <v>667</v>
      </c>
      <c r="C832" s="0" t="s">
        <v>318</v>
      </c>
      <c r="D832" s="0" t="s">
        <v>78</v>
      </c>
      <c r="E832" s="0" t="s">
        <v>52</v>
      </c>
      <c r="F832" s="0" t="s">
        <v>47</v>
      </c>
      <c r="G832" s="0" t="s">
        <v>69</v>
      </c>
      <c r="H832" s="0" t="s">
        <v>42</v>
      </c>
      <c r="I832" s="0" t="n">
        <v>490.76</v>
      </c>
      <c r="J832" s="0" t="n">
        <v>0.2</v>
      </c>
      <c r="K832" s="0" t="n">
        <v>9</v>
      </c>
    </row>
    <row r="833" customFormat="false" ht="15" hidden="false" customHeight="false" outlineLevel="0" collapsed="false">
      <c r="A833" s="0" t="s">
        <v>1364</v>
      </c>
      <c r="B833" s="0" t="s">
        <v>739</v>
      </c>
      <c r="C833" s="0" t="s">
        <v>484</v>
      </c>
      <c r="D833" s="0" t="s">
        <v>40</v>
      </c>
      <c r="E833" s="0" t="s">
        <v>52</v>
      </c>
      <c r="F833" s="0" t="s">
        <v>47</v>
      </c>
      <c r="G833" s="0" t="s">
        <v>74</v>
      </c>
      <c r="H833" s="0" t="s">
        <v>36</v>
      </c>
      <c r="I833" s="0" t="n">
        <v>971.79</v>
      </c>
      <c r="J833" s="0" t="n">
        <v>0.05</v>
      </c>
      <c r="K833" s="0" t="n">
        <v>9</v>
      </c>
    </row>
    <row r="834" customFormat="false" ht="15" hidden="false" customHeight="false" outlineLevel="0" collapsed="false">
      <c r="A834" s="0" t="s">
        <v>1365</v>
      </c>
      <c r="B834" s="0" t="s">
        <v>759</v>
      </c>
      <c r="C834" s="0" t="s">
        <v>366</v>
      </c>
      <c r="D834" s="0" t="s">
        <v>40</v>
      </c>
      <c r="E834" s="0" t="s">
        <v>33</v>
      </c>
      <c r="F834" s="0" t="s">
        <v>79</v>
      </c>
      <c r="G834" s="0" t="s">
        <v>41</v>
      </c>
      <c r="H834" s="0" t="s">
        <v>36</v>
      </c>
      <c r="I834" s="0" t="n">
        <v>833.18</v>
      </c>
      <c r="J834" s="0" t="n">
        <v>0.15</v>
      </c>
      <c r="K834" s="0" t="n">
        <v>25</v>
      </c>
    </row>
    <row r="835" customFormat="false" ht="15" hidden="false" customHeight="false" outlineLevel="0" collapsed="false">
      <c r="A835" s="0" t="s">
        <v>1366</v>
      </c>
      <c r="B835" s="0" t="s">
        <v>865</v>
      </c>
      <c r="D835" s="0" t="s">
        <v>95</v>
      </c>
      <c r="E835" s="0" t="s">
        <v>46</v>
      </c>
      <c r="F835" s="0" t="s">
        <v>89</v>
      </c>
      <c r="G835" s="0" t="s">
        <v>140</v>
      </c>
      <c r="H835" s="0" t="s">
        <v>80</v>
      </c>
      <c r="I835" s="0" t="n">
        <v>381.99</v>
      </c>
      <c r="J835" s="0" t="n">
        <v>0</v>
      </c>
    </row>
    <row r="836" customFormat="false" ht="15" hidden="false" customHeight="false" outlineLevel="0" collapsed="false">
      <c r="A836" s="0" t="s">
        <v>1367</v>
      </c>
      <c r="B836" s="0" t="s">
        <v>536</v>
      </c>
      <c r="D836" s="0" t="s">
        <v>78</v>
      </c>
      <c r="E836" s="0" t="s">
        <v>66</v>
      </c>
      <c r="F836" s="0" t="s">
        <v>89</v>
      </c>
      <c r="G836" s="0" t="s">
        <v>117</v>
      </c>
      <c r="H836" s="0" t="s">
        <v>80</v>
      </c>
      <c r="I836" s="0" t="n">
        <v>1455.32</v>
      </c>
      <c r="J836" s="0" t="n">
        <v>0.1</v>
      </c>
    </row>
    <row r="837" customFormat="false" ht="15" hidden="false" customHeight="false" outlineLevel="0" collapsed="false">
      <c r="A837" s="0" t="s">
        <v>1368</v>
      </c>
      <c r="B837" s="0" t="s">
        <v>113</v>
      </c>
      <c r="C837" s="0" t="s">
        <v>644</v>
      </c>
      <c r="D837" s="0" t="s">
        <v>51</v>
      </c>
      <c r="E837" s="0" t="s">
        <v>114</v>
      </c>
      <c r="F837" s="0" t="s">
        <v>34</v>
      </c>
      <c r="G837" s="0" t="s">
        <v>140</v>
      </c>
      <c r="H837" s="0" t="s">
        <v>36</v>
      </c>
      <c r="I837" s="0" t="n">
        <v>694.26</v>
      </c>
      <c r="J837" s="0" t="n">
        <v>0.05</v>
      </c>
      <c r="K837" s="0" t="n">
        <v>13</v>
      </c>
    </row>
    <row r="838" customFormat="false" ht="15" hidden="false" customHeight="false" outlineLevel="0" collapsed="false">
      <c r="A838" s="0" t="s">
        <v>1369</v>
      </c>
      <c r="B838" s="0" t="s">
        <v>1370</v>
      </c>
      <c r="C838" s="0" t="s">
        <v>1103</v>
      </c>
      <c r="D838" s="0" t="s">
        <v>32</v>
      </c>
      <c r="E838" s="0" t="s">
        <v>66</v>
      </c>
      <c r="F838" s="0" t="s">
        <v>34</v>
      </c>
      <c r="G838" s="0" t="s">
        <v>35</v>
      </c>
      <c r="H838" s="0" t="s">
        <v>42</v>
      </c>
      <c r="I838" s="0" t="n">
        <v>737.89</v>
      </c>
      <c r="J838" s="0" t="n">
        <v>0.1</v>
      </c>
      <c r="K838" s="0" t="n">
        <v>11</v>
      </c>
    </row>
    <row r="839" customFormat="false" ht="15" hidden="false" customHeight="false" outlineLevel="0" collapsed="false">
      <c r="A839" s="0" t="s">
        <v>1371</v>
      </c>
      <c r="B839" s="0" t="s">
        <v>679</v>
      </c>
      <c r="D839" s="0" t="s">
        <v>95</v>
      </c>
      <c r="E839" s="0" t="s">
        <v>46</v>
      </c>
      <c r="F839" s="0" t="s">
        <v>57</v>
      </c>
      <c r="G839" s="0" t="s">
        <v>69</v>
      </c>
      <c r="H839" s="0" t="s">
        <v>80</v>
      </c>
      <c r="I839" s="0" t="n">
        <v>242.46</v>
      </c>
      <c r="J839" s="0" t="n">
        <v>0.2</v>
      </c>
    </row>
    <row r="840" customFormat="false" ht="15" hidden="false" customHeight="false" outlineLevel="0" collapsed="false">
      <c r="A840" s="0" t="s">
        <v>1372</v>
      </c>
      <c r="B840" s="0" t="s">
        <v>152</v>
      </c>
      <c r="C840" s="0" t="s">
        <v>133</v>
      </c>
      <c r="D840" s="0" t="s">
        <v>32</v>
      </c>
      <c r="E840" s="0" t="s">
        <v>46</v>
      </c>
      <c r="F840" s="0" t="s">
        <v>57</v>
      </c>
      <c r="G840" s="0" t="s">
        <v>117</v>
      </c>
      <c r="H840" s="0" t="s">
        <v>42</v>
      </c>
      <c r="I840" s="0" t="n">
        <v>118.03</v>
      </c>
      <c r="J840" s="0" t="n">
        <v>0.15</v>
      </c>
      <c r="K840" s="0" t="n">
        <v>25</v>
      </c>
    </row>
    <row r="841" customFormat="false" ht="15" hidden="false" customHeight="false" outlineLevel="0" collapsed="false">
      <c r="A841" s="0" t="s">
        <v>1373</v>
      </c>
      <c r="B841" s="0" t="s">
        <v>1338</v>
      </c>
      <c r="C841" s="0" t="s">
        <v>186</v>
      </c>
      <c r="D841" s="0" t="s">
        <v>40</v>
      </c>
      <c r="E841" s="0" t="s">
        <v>52</v>
      </c>
      <c r="F841" s="0" t="s">
        <v>34</v>
      </c>
      <c r="G841" s="0" t="s">
        <v>69</v>
      </c>
      <c r="H841" s="0" t="s">
        <v>36</v>
      </c>
      <c r="I841" s="0" t="n">
        <v>504.99</v>
      </c>
      <c r="J841" s="0" t="n">
        <v>0.1</v>
      </c>
      <c r="K841" s="0" t="n">
        <v>3</v>
      </c>
    </row>
    <row r="842" customFormat="false" ht="15" hidden="false" customHeight="false" outlineLevel="0" collapsed="false">
      <c r="A842" s="0" t="s">
        <v>1374</v>
      </c>
      <c r="B842" s="0" t="s">
        <v>583</v>
      </c>
      <c r="D842" s="0" t="s">
        <v>78</v>
      </c>
      <c r="E842" s="0" t="s">
        <v>33</v>
      </c>
      <c r="F842" s="0" t="s">
        <v>89</v>
      </c>
      <c r="G842" s="0" t="s">
        <v>35</v>
      </c>
      <c r="H842" s="0" t="s">
        <v>80</v>
      </c>
      <c r="I842" s="0" t="n">
        <v>2400.83</v>
      </c>
      <c r="J842" s="0" t="n">
        <v>0</v>
      </c>
    </row>
    <row r="843" customFormat="false" ht="15" hidden="false" customHeight="false" outlineLevel="0" collapsed="false">
      <c r="A843" s="0" t="s">
        <v>1375</v>
      </c>
      <c r="B843" s="0" t="s">
        <v>254</v>
      </c>
      <c r="C843" s="0" t="s">
        <v>1093</v>
      </c>
      <c r="D843" s="0" t="s">
        <v>95</v>
      </c>
      <c r="E843" s="0" t="s">
        <v>33</v>
      </c>
      <c r="F843" s="0" t="s">
        <v>89</v>
      </c>
      <c r="G843" s="0" t="s">
        <v>58</v>
      </c>
      <c r="H843" s="0" t="s">
        <v>36</v>
      </c>
      <c r="I843" s="0" t="n">
        <v>810.49</v>
      </c>
      <c r="J843" s="0" t="n">
        <v>0</v>
      </c>
      <c r="K843" s="0" t="n">
        <v>35</v>
      </c>
    </row>
    <row r="844" customFormat="false" ht="15" hidden="false" customHeight="false" outlineLevel="0" collapsed="false">
      <c r="A844" s="0" t="s">
        <v>1376</v>
      </c>
      <c r="B844" s="0" t="s">
        <v>743</v>
      </c>
      <c r="D844" s="0" t="s">
        <v>95</v>
      </c>
      <c r="E844" s="0" t="s">
        <v>72</v>
      </c>
      <c r="F844" s="0" t="s">
        <v>73</v>
      </c>
      <c r="G844" s="0" t="s">
        <v>35</v>
      </c>
      <c r="H844" s="0" t="s">
        <v>75</v>
      </c>
      <c r="I844" s="0" t="n">
        <v>1194.93</v>
      </c>
      <c r="J844" s="0" t="n">
        <v>0.15</v>
      </c>
    </row>
    <row r="845" customFormat="false" ht="15" hidden="false" customHeight="false" outlineLevel="0" collapsed="false">
      <c r="A845" s="0" t="s">
        <v>1377</v>
      </c>
      <c r="B845" s="0" t="s">
        <v>503</v>
      </c>
      <c r="D845" s="0" t="s">
        <v>78</v>
      </c>
      <c r="E845" s="0" t="s">
        <v>46</v>
      </c>
      <c r="F845" s="0" t="s">
        <v>34</v>
      </c>
      <c r="G845" s="0" t="s">
        <v>117</v>
      </c>
      <c r="H845" s="0" t="s">
        <v>62</v>
      </c>
      <c r="I845" s="0" t="n">
        <v>132.07</v>
      </c>
      <c r="J845" s="0" t="n">
        <v>0.2</v>
      </c>
    </row>
    <row r="846" customFormat="false" ht="15" hidden="false" customHeight="false" outlineLevel="0" collapsed="false">
      <c r="A846" s="0" t="s">
        <v>1378</v>
      </c>
      <c r="B846" s="0" t="s">
        <v>1059</v>
      </c>
      <c r="C846" s="0" t="s">
        <v>713</v>
      </c>
      <c r="D846" s="0" t="s">
        <v>86</v>
      </c>
      <c r="E846" s="0" t="s">
        <v>114</v>
      </c>
      <c r="F846" s="0" t="s">
        <v>73</v>
      </c>
      <c r="G846" s="0" t="s">
        <v>58</v>
      </c>
      <c r="H846" s="0" t="s">
        <v>42</v>
      </c>
      <c r="I846" s="0" t="n">
        <v>627.17</v>
      </c>
      <c r="J846" s="0" t="n">
        <v>0</v>
      </c>
      <c r="K846" s="0" t="n">
        <v>23</v>
      </c>
    </row>
    <row r="847" customFormat="false" ht="15" hidden="false" customHeight="false" outlineLevel="0" collapsed="false">
      <c r="A847" s="0" t="s">
        <v>1379</v>
      </c>
      <c r="B847" s="0" t="s">
        <v>335</v>
      </c>
      <c r="C847" s="0" t="s">
        <v>379</v>
      </c>
      <c r="D847" s="0" t="s">
        <v>32</v>
      </c>
      <c r="E847" s="0" t="s">
        <v>72</v>
      </c>
      <c r="F847" s="0" t="s">
        <v>57</v>
      </c>
      <c r="G847" s="0" t="s">
        <v>117</v>
      </c>
      <c r="H847" s="0" t="s">
        <v>36</v>
      </c>
      <c r="I847" s="0" t="n">
        <v>353.86</v>
      </c>
      <c r="J847" s="0" t="n">
        <v>0</v>
      </c>
      <c r="K847" s="0" t="n">
        <v>24</v>
      </c>
    </row>
    <row r="848" customFormat="false" ht="15" hidden="false" customHeight="false" outlineLevel="0" collapsed="false">
      <c r="A848" s="0" t="s">
        <v>1380</v>
      </c>
      <c r="B848" s="0" t="s">
        <v>1053</v>
      </c>
      <c r="C848" s="0" t="s">
        <v>368</v>
      </c>
      <c r="D848" s="0" t="s">
        <v>95</v>
      </c>
      <c r="E848" s="0" t="s">
        <v>52</v>
      </c>
      <c r="F848" s="0" t="s">
        <v>89</v>
      </c>
      <c r="G848" s="0" t="s">
        <v>140</v>
      </c>
      <c r="H848" s="0" t="s">
        <v>36</v>
      </c>
      <c r="I848" s="0" t="n">
        <v>530.42</v>
      </c>
      <c r="J848" s="0" t="n">
        <v>0</v>
      </c>
      <c r="K848" s="0" t="n">
        <v>23</v>
      </c>
    </row>
    <row r="849" customFormat="false" ht="15" hidden="false" customHeight="false" outlineLevel="0" collapsed="false">
      <c r="A849" s="0" t="s">
        <v>1381</v>
      </c>
      <c r="B849" s="0" t="s">
        <v>1092</v>
      </c>
      <c r="C849" s="0" t="s">
        <v>1382</v>
      </c>
      <c r="D849" s="0" t="s">
        <v>51</v>
      </c>
      <c r="E849" s="0" t="s">
        <v>46</v>
      </c>
      <c r="F849" s="0" t="s">
        <v>73</v>
      </c>
      <c r="G849" s="0" t="s">
        <v>53</v>
      </c>
      <c r="H849" s="0" t="s">
        <v>36</v>
      </c>
      <c r="I849" s="0" t="n">
        <v>264.01</v>
      </c>
      <c r="J849" s="0" t="n">
        <v>0.2</v>
      </c>
      <c r="K849" s="0" t="n">
        <v>13</v>
      </c>
    </row>
    <row r="850" customFormat="false" ht="15" hidden="false" customHeight="false" outlineLevel="0" collapsed="false">
      <c r="A850" s="0" t="s">
        <v>1383</v>
      </c>
      <c r="B850" s="0" t="s">
        <v>703</v>
      </c>
      <c r="D850" s="0" t="s">
        <v>61</v>
      </c>
      <c r="E850" s="0" t="s">
        <v>52</v>
      </c>
      <c r="F850" s="0" t="s">
        <v>73</v>
      </c>
      <c r="G850" s="0" t="s">
        <v>140</v>
      </c>
      <c r="H850" s="0" t="s">
        <v>62</v>
      </c>
      <c r="I850" s="0" t="n">
        <v>1760.52</v>
      </c>
      <c r="J850" s="0" t="n">
        <v>0.2</v>
      </c>
    </row>
    <row r="851" customFormat="false" ht="15" hidden="false" customHeight="false" outlineLevel="0" collapsed="false">
      <c r="A851" s="0" t="s">
        <v>1384</v>
      </c>
      <c r="B851" s="0" t="s">
        <v>433</v>
      </c>
      <c r="D851" s="0" t="s">
        <v>32</v>
      </c>
      <c r="E851" s="0" t="s">
        <v>72</v>
      </c>
      <c r="F851" s="0" t="s">
        <v>79</v>
      </c>
      <c r="G851" s="0" t="s">
        <v>117</v>
      </c>
      <c r="H851" s="0" t="s">
        <v>75</v>
      </c>
      <c r="I851" s="0" t="n">
        <v>1154.12</v>
      </c>
      <c r="J851" s="0" t="n">
        <v>0</v>
      </c>
    </row>
    <row r="852" customFormat="false" ht="15" hidden="false" customHeight="false" outlineLevel="0" collapsed="false">
      <c r="A852" s="0" t="s">
        <v>1385</v>
      </c>
      <c r="B852" s="0" t="s">
        <v>163</v>
      </c>
      <c r="C852" s="0" t="s">
        <v>127</v>
      </c>
      <c r="D852" s="0" t="s">
        <v>78</v>
      </c>
      <c r="E852" s="0" t="s">
        <v>72</v>
      </c>
      <c r="F852" s="0" t="s">
        <v>89</v>
      </c>
      <c r="G852" s="0" t="s">
        <v>69</v>
      </c>
      <c r="H852" s="0" t="s">
        <v>36</v>
      </c>
      <c r="I852" s="0" t="n">
        <v>1134.2</v>
      </c>
      <c r="J852" s="0" t="n">
        <v>0</v>
      </c>
      <c r="K852" s="0" t="n">
        <v>21</v>
      </c>
    </row>
    <row r="853" customFormat="false" ht="15" hidden="false" customHeight="false" outlineLevel="0" collapsed="false">
      <c r="A853" s="0" t="s">
        <v>1386</v>
      </c>
      <c r="B853" s="0" t="s">
        <v>372</v>
      </c>
      <c r="C853" s="0" t="s">
        <v>855</v>
      </c>
      <c r="D853" s="0" t="s">
        <v>32</v>
      </c>
      <c r="E853" s="0" t="s">
        <v>46</v>
      </c>
      <c r="F853" s="0" t="s">
        <v>73</v>
      </c>
      <c r="G853" s="0" t="s">
        <v>35</v>
      </c>
      <c r="H853" s="0" t="s">
        <v>42</v>
      </c>
      <c r="I853" s="0" t="n">
        <v>389.55</v>
      </c>
      <c r="J853" s="0" t="n">
        <v>0.2</v>
      </c>
      <c r="K853" s="0" t="n">
        <v>7</v>
      </c>
    </row>
    <row r="854" customFormat="false" ht="15" hidden="false" customHeight="false" outlineLevel="0" collapsed="false">
      <c r="A854" s="0" t="s">
        <v>1387</v>
      </c>
      <c r="B854" s="0" t="s">
        <v>1314</v>
      </c>
      <c r="D854" s="0" t="s">
        <v>51</v>
      </c>
      <c r="E854" s="0" t="s">
        <v>46</v>
      </c>
      <c r="F854" s="0" t="s">
        <v>57</v>
      </c>
      <c r="G854" s="0" t="s">
        <v>53</v>
      </c>
      <c r="H854" s="0" t="s">
        <v>75</v>
      </c>
      <c r="I854" s="0" t="n">
        <v>409.08</v>
      </c>
      <c r="J854" s="0" t="n"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2"/>
    <col collapsed="false" customWidth="true" hidden="false" outlineLevel="0" max="3" min="3" style="0" width="19"/>
    <col collapsed="false" customWidth="true" hidden="false" outlineLevel="0" max="4" min="4" style="0" width="27"/>
    <col collapsed="false" customWidth="true" hidden="false" outlineLevel="0" max="5" min="5" style="0" width="23"/>
  </cols>
  <sheetData>
    <row r="1" customFormat="false" ht="15" hidden="false" customHeight="false" outlineLevel="0" collapsed="false">
      <c r="A1" s="5" t="s">
        <v>1388</v>
      </c>
      <c r="B1" s="5"/>
      <c r="C1" s="5"/>
      <c r="D1" s="5"/>
      <c r="E1" s="5"/>
    </row>
    <row r="2" customFormat="false" ht="15" hidden="false" customHeight="false" outlineLevel="0" collapsed="false">
      <c r="A2" s="6" t="s">
        <v>1389</v>
      </c>
      <c r="B2" s="6"/>
      <c r="C2" s="6"/>
      <c r="D2" s="6"/>
      <c r="E2" s="6"/>
    </row>
    <row r="4" customFormat="false" ht="15" hidden="false" customHeight="false" outlineLevel="0" collapsed="false">
      <c r="A4" s="7" t="s">
        <v>22</v>
      </c>
      <c r="B4" s="7" t="s">
        <v>1390</v>
      </c>
      <c r="C4" s="7" t="s">
        <v>1391</v>
      </c>
      <c r="D4" s="7" t="s">
        <v>1392</v>
      </c>
      <c r="E4" s="7" t="s">
        <v>1393</v>
      </c>
    </row>
    <row r="5" customFormat="false" ht="15" hidden="false" customHeight="false" outlineLevel="0" collapsed="false">
      <c r="A5" s="0" t="s">
        <v>33</v>
      </c>
      <c r="B5" s="0" t="s">
        <v>1394</v>
      </c>
      <c r="C5" s="0" t="n">
        <v>899</v>
      </c>
      <c r="D5" s="0" t="n">
        <v>3.6</v>
      </c>
      <c r="E5" s="0" t="n">
        <v>7</v>
      </c>
    </row>
    <row r="6" customFormat="false" ht="15" hidden="false" customHeight="false" outlineLevel="0" collapsed="false">
      <c r="A6" s="0" t="s">
        <v>33</v>
      </c>
      <c r="B6" s="0" t="s">
        <v>1395</v>
      </c>
      <c r="C6" s="0" t="n">
        <v>1035.02</v>
      </c>
      <c r="D6" s="0" t="n">
        <v>3.8</v>
      </c>
      <c r="E6" s="0" t="n">
        <v>4</v>
      </c>
    </row>
    <row r="7" customFormat="false" ht="15" hidden="false" customHeight="false" outlineLevel="0" collapsed="false">
      <c r="A7" s="0" t="s">
        <v>33</v>
      </c>
      <c r="B7" s="0" t="s">
        <v>1396</v>
      </c>
      <c r="C7" s="0" t="n">
        <v>1023.74</v>
      </c>
      <c r="D7" s="0" t="n">
        <v>4</v>
      </c>
      <c r="E7" s="0" t="n">
        <v>7</v>
      </c>
    </row>
    <row r="8" customFormat="false" ht="15" hidden="false" customHeight="false" outlineLevel="0" collapsed="false">
      <c r="A8" s="0" t="s">
        <v>33</v>
      </c>
      <c r="B8" s="0" t="s">
        <v>1397</v>
      </c>
      <c r="C8" s="0" t="n">
        <v>941.62</v>
      </c>
      <c r="D8" s="0" t="n">
        <v>4</v>
      </c>
      <c r="E8" s="0" t="n">
        <v>10</v>
      </c>
    </row>
    <row r="9" customFormat="false" ht="15" hidden="false" customHeight="false" outlineLevel="0" collapsed="false">
      <c r="A9" s="0" t="s">
        <v>33</v>
      </c>
      <c r="B9" s="0" t="s">
        <v>1398</v>
      </c>
      <c r="C9" s="0" t="n">
        <v>843.85</v>
      </c>
      <c r="D9" s="0" t="n">
        <v>4.3</v>
      </c>
      <c r="E9" s="0" t="n">
        <v>2</v>
      </c>
    </row>
    <row r="10" customFormat="false" ht="15" hidden="false" customHeight="false" outlineLevel="0" collapsed="false">
      <c r="A10" s="0" t="s">
        <v>33</v>
      </c>
      <c r="B10" s="0" t="s">
        <v>1399</v>
      </c>
      <c r="C10" s="0" t="n">
        <v>1080.14</v>
      </c>
      <c r="D10" s="0" t="n">
        <v>3.8</v>
      </c>
      <c r="E10" s="0" t="n">
        <v>10</v>
      </c>
    </row>
    <row r="11" customFormat="false" ht="15" hidden="false" customHeight="false" outlineLevel="0" collapsed="false">
      <c r="A11" s="0" t="s">
        <v>33</v>
      </c>
      <c r="B11" s="0" t="s">
        <v>1400</v>
      </c>
      <c r="C11" s="0" t="n">
        <v>969.83</v>
      </c>
      <c r="D11" s="0" t="n">
        <v>3.6</v>
      </c>
      <c r="E11" s="0" t="n">
        <v>10</v>
      </c>
    </row>
    <row r="12" customFormat="false" ht="15" hidden="false" customHeight="false" outlineLevel="0" collapsed="false">
      <c r="A12" s="0" t="s">
        <v>52</v>
      </c>
      <c r="B12" s="0" t="s">
        <v>1394</v>
      </c>
      <c r="C12" s="0" t="n">
        <v>549</v>
      </c>
      <c r="D12" s="0" t="n">
        <v>4.6</v>
      </c>
      <c r="E12" s="0" t="n">
        <v>3</v>
      </c>
    </row>
    <row r="13" customFormat="false" ht="15" hidden="false" customHeight="false" outlineLevel="0" collapsed="false">
      <c r="A13" s="0" t="s">
        <v>52</v>
      </c>
      <c r="B13" s="0" t="s">
        <v>1395</v>
      </c>
      <c r="C13" s="0" t="n">
        <v>616.53</v>
      </c>
      <c r="D13" s="0" t="n">
        <v>4.7</v>
      </c>
      <c r="E13" s="0" t="n">
        <v>2</v>
      </c>
    </row>
    <row r="14" customFormat="false" ht="15" hidden="false" customHeight="false" outlineLevel="0" collapsed="false">
      <c r="A14" s="0" t="s">
        <v>52</v>
      </c>
      <c r="B14" s="0" t="s">
        <v>1396</v>
      </c>
      <c r="C14" s="0" t="n">
        <v>672.51</v>
      </c>
      <c r="D14" s="0" t="n">
        <v>4.3</v>
      </c>
      <c r="E14" s="0" t="n">
        <v>4</v>
      </c>
    </row>
    <row r="15" customFormat="false" ht="15" hidden="false" customHeight="false" outlineLevel="0" collapsed="false">
      <c r="A15" s="0" t="s">
        <v>52</v>
      </c>
      <c r="B15" s="0" t="s">
        <v>1397</v>
      </c>
      <c r="C15" s="0" t="n">
        <v>621.41</v>
      </c>
      <c r="D15" s="0" t="n">
        <v>4.8</v>
      </c>
      <c r="E15" s="0" t="n">
        <v>3</v>
      </c>
    </row>
    <row r="16" customFormat="false" ht="15" hidden="false" customHeight="false" outlineLevel="0" collapsed="false">
      <c r="A16" s="0" t="s">
        <v>52</v>
      </c>
      <c r="B16" s="0" t="s">
        <v>1398</v>
      </c>
      <c r="C16" s="0" t="n">
        <v>576.14</v>
      </c>
      <c r="D16" s="0" t="n">
        <v>3.8</v>
      </c>
      <c r="E16" s="0" t="n">
        <v>3</v>
      </c>
    </row>
    <row r="17" customFormat="false" ht="15" hidden="false" customHeight="false" outlineLevel="0" collapsed="false">
      <c r="A17" s="0" t="s">
        <v>52</v>
      </c>
      <c r="B17" s="0" t="s">
        <v>1399</v>
      </c>
      <c r="C17" s="0" t="n">
        <v>495.44</v>
      </c>
      <c r="D17" s="0" t="n">
        <v>4.3</v>
      </c>
      <c r="E17" s="0" t="n">
        <v>4</v>
      </c>
    </row>
    <row r="18" customFormat="false" ht="15" hidden="false" customHeight="false" outlineLevel="0" collapsed="false">
      <c r="A18" s="0" t="s">
        <v>52</v>
      </c>
      <c r="B18" s="0" t="s">
        <v>1400</v>
      </c>
      <c r="C18" s="0" t="n">
        <v>660.66</v>
      </c>
      <c r="D18" s="0" t="n">
        <v>4.5</v>
      </c>
      <c r="E18" s="0" t="n">
        <v>7</v>
      </c>
    </row>
    <row r="19" customFormat="false" ht="15" hidden="false" customHeight="false" outlineLevel="0" collapsed="false">
      <c r="A19" s="0" t="s">
        <v>72</v>
      </c>
      <c r="B19" s="0" t="s">
        <v>1394</v>
      </c>
      <c r="C19" s="0" t="n">
        <v>379</v>
      </c>
      <c r="D19" s="0" t="n">
        <v>4.8</v>
      </c>
      <c r="E19" s="0" t="n">
        <v>4</v>
      </c>
    </row>
    <row r="20" customFormat="false" ht="15" hidden="false" customHeight="false" outlineLevel="0" collapsed="false">
      <c r="A20" s="0" t="s">
        <v>72</v>
      </c>
      <c r="B20" s="0" t="s">
        <v>1395</v>
      </c>
      <c r="C20" s="0" t="n">
        <v>383.87</v>
      </c>
      <c r="D20" s="0" t="n">
        <v>4.5</v>
      </c>
      <c r="E20" s="0" t="n">
        <v>5</v>
      </c>
    </row>
    <row r="21" customFormat="false" ht="15" hidden="false" customHeight="false" outlineLevel="0" collapsed="false">
      <c r="A21" s="0" t="s">
        <v>72</v>
      </c>
      <c r="B21" s="0" t="s">
        <v>1396</v>
      </c>
      <c r="C21" s="0" t="n">
        <v>321.81</v>
      </c>
      <c r="D21" s="0" t="n">
        <v>4.1</v>
      </c>
      <c r="E21" s="0" t="n">
        <v>7</v>
      </c>
    </row>
    <row r="22" customFormat="false" ht="15" hidden="false" customHeight="false" outlineLevel="0" collapsed="false">
      <c r="A22" s="0" t="s">
        <v>72</v>
      </c>
      <c r="B22" s="0" t="s">
        <v>1397</v>
      </c>
      <c r="C22" s="0" t="n">
        <v>439.67</v>
      </c>
      <c r="D22" s="0" t="n">
        <v>3.8</v>
      </c>
      <c r="E22" s="0" t="n">
        <v>4</v>
      </c>
    </row>
    <row r="23" customFormat="false" ht="15" hidden="false" customHeight="false" outlineLevel="0" collapsed="false">
      <c r="A23" s="0" t="s">
        <v>72</v>
      </c>
      <c r="B23" s="0" t="s">
        <v>1398</v>
      </c>
      <c r="C23" s="0" t="n">
        <v>424.32</v>
      </c>
      <c r="D23" s="0" t="n">
        <v>3.8</v>
      </c>
      <c r="E23" s="0" t="n">
        <v>2</v>
      </c>
    </row>
    <row r="24" customFormat="false" ht="15" hidden="false" customHeight="false" outlineLevel="0" collapsed="false">
      <c r="A24" s="0" t="s">
        <v>72</v>
      </c>
      <c r="B24" s="0" t="s">
        <v>1399</v>
      </c>
      <c r="C24" s="0" t="n">
        <v>466.55</v>
      </c>
      <c r="D24" s="0" t="n">
        <v>3.7</v>
      </c>
      <c r="E24" s="0" t="n">
        <v>10</v>
      </c>
    </row>
    <row r="25" customFormat="false" ht="15" hidden="false" customHeight="false" outlineLevel="0" collapsed="false">
      <c r="A25" s="0" t="s">
        <v>72</v>
      </c>
      <c r="B25" s="0" t="s">
        <v>1400</v>
      </c>
      <c r="C25" s="0" t="n">
        <v>341.78</v>
      </c>
      <c r="D25" s="0" t="n">
        <v>4.6</v>
      </c>
      <c r="E25" s="0" t="n">
        <v>5</v>
      </c>
    </row>
    <row r="26" customFormat="false" ht="15" hidden="false" customHeight="false" outlineLevel="0" collapsed="false">
      <c r="A26" s="0" t="s">
        <v>66</v>
      </c>
      <c r="B26" s="0" t="s">
        <v>1394</v>
      </c>
      <c r="C26" s="0" t="n">
        <v>749</v>
      </c>
      <c r="D26" s="0" t="n">
        <v>4.4</v>
      </c>
      <c r="E26" s="0" t="n">
        <v>7</v>
      </c>
    </row>
    <row r="27" customFormat="false" ht="15" hidden="false" customHeight="false" outlineLevel="0" collapsed="false">
      <c r="A27" s="0" t="s">
        <v>66</v>
      </c>
      <c r="B27" s="0" t="s">
        <v>1395</v>
      </c>
      <c r="C27" s="0" t="n">
        <v>927.08</v>
      </c>
      <c r="D27" s="0" t="n">
        <v>3.8</v>
      </c>
      <c r="E27" s="0" t="n">
        <v>7</v>
      </c>
    </row>
    <row r="28" customFormat="false" ht="15" hidden="false" customHeight="false" outlineLevel="0" collapsed="false">
      <c r="A28" s="0" t="s">
        <v>66</v>
      </c>
      <c r="B28" s="0" t="s">
        <v>1396</v>
      </c>
      <c r="C28" s="0" t="n">
        <v>737.9</v>
      </c>
      <c r="D28" s="0" t="n">
        <v>4.5</v>
      </c>
      <c r="E28" s="0" t="n">
        <v>5</v>
      </c>
    </row>
    <row r="29" customFormat="false" ht="15" hidden="false" customHeight="false" outlineLevel="0" collapsed="false">
      <c r="A29" s="0" t="s">
        <v>66</v>
      </c>
      <c r="B29" s="0" t="s">
        <v>1397</v>
      </c>
      <c r="C29" s="0" t="n">
        <v>809.75</v>
      </c>
      <c r="D29" s="0" t="n">
        <v>3.8</v>
      </c>
      <c r="E29" s="0" t="n">
        <v>2</v>
      </c>
    </row>
    <row r="30" customFormat="false" ht="15" hidden="false" customHeight="false" outlineLevel="0" collapsed="false">
      <c r="A30" s="0" t="s">
        <v>66</v>
      </c>
      <c r="B30" s="0" t="s">
        <v>1398</v>
      </c>
      <c r="C30" s="0" t="n">
        <v>665.71</v>
      </c>
      <c r="D30" s="0" t="n">
        <v>3.9</v>
      </c>
      <c r="E30" s="0" t="n">
        <v>10</v>
      </c>
    </row>
    <row r="31" customFormat="false" ht="15" hidden="false" customHeight="false" outlineLevel="0" collapsed="false">
      <c r="A31" s="0" t="s">
        <v>66</v>
      </c>
      <c r="B31" s="0" t="s">
        <v>1399</v>
      </c>
      <c r="C31" s="0" t="n">
        <v>617.03</v>
      </c>
      <c r="D31" s="0" t="n">
        <v>4.7</v>
      </c>
      <c r="E31" s="0" t="n">
        <v>7</v>
      </c>
    </row>
    <row r="32" customFormat="false" ht="15" hidden="false" customHeight="false" outlineLevel="0" collapsed="false">
      <c r="A32" s="0" t="s">
        <v>66</v>
      </c>
      <c r="B32" s="0" t="s">
        <v>1400</v>
      </c>
      <c r="C32" s="0" t="n">
        <v>760.86</v>
      </c>
      <c r="D32" s="0" t="n">
        <v>4.4</v>
      </c>
      <c r="E32" s="0" t="n">
        <v>7</v>
      </c>
    </row>
    <row r="33" customFormat="false" ht="15" hidden="false" customHeight="false" outlineLevel="0" collapsed="false">
      <c r="A33" s="0" t="s">
        <v>114</v>
      </c>
      <c r="B33" s="0" t="s">
        <v>1394</v>
      </c>
      <c r="C33" s="0" t="n">
        <v>699</v>
      </c>
      <c r="D33" s="0" t="n">
        <v>3.9</v>
      </c>
      <c r="E33" s="0" t="n">
        <v>3</v>
      </c>
    </row>
    <row r="34" customFormat="false" ht="15" hidden="false" customHeight="false" outlineLevel="0" collapsed="false">
      <c r="A34" s="0" t="s">
        <v>114</v>
      </c>
      <c r="B34" s="0" t="s">
        <v>1395</v>
      </c>
      <c r="C34" s="0" t="n">
        <v>662.26</v>
      </c>
      <c r="D34" s="0" t="n">
        <v>3.9</v>
      </c>
      <c r="E34" s="0" t="n">
        <v>2</v>
      </c>
    </row>
    <row r="35" customFormat="false" ht="15" hidden="false" customHeight="false" outlineLevel="0" collapsed="false">
      <c r="A35" s="0" t="s">
        <v>114</v>
      </c>
      <c r="B35" s="0" t="s">
        <v>1396</v>
      </c>
      <c r="C35" s="0" t="n">
        <v>624.61</v>
      </c>
      <c r="D35" s="0" t="n">
        <v>3.7</v>
      </c>
      <c r="E35" s="0" t="n">
        <v>3</v>
      </c>
    </row>
    <row r="36" customFormat="false" ht="15" hidden="false" customHeight="false" outlineLevel="0" collapsed="false">
      <c r="A36" s="0" t="s">
        <v>114</v>
      </c>
      <c r="B36" s="0" t="s">
        <v>1397</v>
      </c>
      <c r="C36" s="0" t="n">
        <v>660.9</v>
      </c>
      <c r="D36" s="0" t="n">
        <v>4.4</v>
      </c>
      <c r="E36" s="0" t="n">
        <v>4</v>
      </c>
    </row>
    <row r="37" customFormat="false" ht="15" hidden="false" customHeight="false" outlineLevel="0" collapsed="false">
      <c r="A37" s="0" t="s">
        <v>114</v>
      </c>
      <c r="B37" s="0" t="s">
        <v>1398</v>
      </c>
      <c r="C37" s="0" t="n">
        <v>851.88</v>
      </c>
      <c r="D37" s="0" t="n">
        <v>3.9</v>
      </c>
      <c r="E37" s="0" t="n">
        <v>2</v>
      </c>
    </row>
    <row r="38" customFormat="false" ht="15" hidden="false" customHeight="false" outlineLevel="0" collapsed="false">
      <c r="A38" s="0" t="s">
        <v>114</v>
      </c>
      <c r="B38" s="0" t="s">
        <v>1399</v>
      </c>
      <c r="C38" s="0" t="n">
        <v>766.27</v>
      </c>
      <c r="D38" s="0" t="n">
        <v>3.9</v>
      </c>
      <c r="E38" s="0" t="n">
        <v>3</v>
      </c>
    </row>
    <row r="39" customFormat="false" ht="15" hidden="false" customHeight="false" outlineLevel="0" collapsed="false">
      <c r="A39" s="0" t="s">
        <v>114</v>
      </c>
      <c r="B39" s="0" t="s">
        <v>1400</v>
      </c>
      <c r="C39" s="0" t="n">
        <v>733.86</v>
      </c>
      <c r="D39" s="0" t="n">
        <v>3.6</v>
      </c>
      <c r="E39" s="0" t="n">
        <v>4</v>
      </c>
    </row>
    <row r="40" customFormat="false" ht="15" hidden="false" customHeight="false" outlineLevel="0" collapsed="false">
      <c r="A40" s="0" t="s">
        <v>46</v>
      </c>
      <c r="B40" s="0" t="s">
        <v>1394</v>
      </c>
      <c r="C40" s="0" t="n">
        <v>129</v>
      </c>
      <c r="D40" s="0" t="n">
        <v>4.4</v>
      </c>
      <c r="E40" s="0" t="n">
        <v>4</v>
      </c>
    </row>
    <row r="41" customFormat="false" ht="15" hidden="false" customHeight="false" outlineLevel="0" collapsed="false">
      <c r="A41" s="0" t="s">
        <v>46</v>
      </c>
      <c r="B41" s="0" t="s">
        <v>1395</v>
      </c>
      <c r="C41" s="0" t="n">
        <v>123.78</v>
      </c>
      <c r="D41" s="0" t="n">
        <v>4.7</v>
      </c>
      <c r="E41" s="0" t="n">
        <v>7</v>
      </c>
    </row>
    <row r="42" customFormat="false" ht="15" hidden="false" customHeight="false" outlineLevel="0" collapsed="false">
      <c r="A42" s="0" t="s">
        <v>46</v>
      </c>
      <c r="B42" s="0" t="s">
        <v>1396</v>
      </c>
      <c r="C42" s="0" t="n">
        <v>120.43</v>
      </c>
      <c r="D42" s="0" t="n">
        <v>3.8</v>
      </c>
      <c r="E42" s="0" t="n">
        <v>7</v>
      </c>
    </row>
    <row r="43" customFormat="false" ht="15" hidden="false" customHeight="false" outlineLevel="0" collapsed="false">
      <c r="A43" s="0" t="s">
        <v>46</v>
      </c>
      <c r="B43" s="0" t="s">
        <v>1397</v>
      </c>
      <c r="C43" s="0" t="n">
        <v>122.14</v>
      </c>
      <c r="D43" s="0" t="n">
        <v>4.8</v>
      </c>
      <c r="E43" s="0" t="n">
        <v>10</v>
      </c>
    </row>
    <row r="44" customFormat="false" ht="15" hidden="false" customHeight="false" outlineLevel="0" collapsed="false">
      <c r="A44" s="0" t="s">
        <v>46</v>
      </c>
      <c r="B44" s="0" t="s">
        <v>1398</v>
      </c>
      <c r="C44" s="0" t="n">
        <v>151.04</v>
      </c>
      <c r="D44" s="0" t="n">
        <v>4.6</v>
      </c>
      <c r="E44" s="0" t="n">
        <v>3</v>
      </c>
    </row>
    <row r="45" customFormat="false" ht="15" hidden="false" customHeight="false" outlineLevel="0" collapsed="false">
      <c r="A45" s="0" t="s">
        <v>46</v>
      </c>
      <c r="B45" s="0" t="s">
        <v>1399</v>
      </c>
      <c r="C45" s="0" t="n">
        <v>146.3</v>
      </c>
      <c r="D45" s="0" t="n">
        <v>3.9</v>
      </c>
      <c r="E45" s="0" t="n">
        <v>4</v>
      </c>
    </row>
    <row r="46" customFormat="false" ht="15" hidden="false" customHeight="false" outlineLevel="0" collapsed="false">
      <c r="A46" s="0" t="s">
        <v>46</v>
      </c>
      <c r="B46" s="0" t="s">
        <v>1400</v>
      </c>
      <c r="C46" s="0" t="n">
        <v>159.67</v>
      </c>
      <c r="D46" s="0" t="n">
        <v>4.2</v>
      </c>
      <c r="E46" s="0" t="n">
        <v>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30"/>
  </cols>
  <sheetData>
    <row r="2" customFormat="false" ht="19.7" hidden="false" customHeight="false" outlineLevel="0" collapsed="false">
      <c r="B2" s="1" t="s">
        <v>1401</v>
      </c>
    </row>
    <row r="3" customFormat="false" ht="15" hidden="false" customHeight="false" outlineLevel="0" collapsed="false">
      <c r="B3" s="2" t="s">
        <v>1402</v>
      </c>
    </row>
    <row r="5" customFormat="false" ht="15" hidden="false" customHeight="false" outlineLevel="0" collapsed="false">
      <c r="B5" s="7" t="s">
        <v>1403</v>
      </c>
      <c r="C5" s="7" t="s">
        <v>1404</v>
      </c>
      <c r="D5" s="7" t="s">
        <v>1405</v>
      </c>
      <c r="E5" s="7" t="s">
        <v>1406</v>
      </c>
      <c r="F5" s="7" t="s">
        <v>1407</v>
      </c>
    </row>
    <row r="6" customFormat="false" ht="42" hidden="false" customHeight="true" outlineLevel="0" collapsed="false">
      <c r="B6" s="4" t="n">
        <v>1</v>
      </c>
      <c r="C6" s="4" t="s">
        <v>1408</v>
      </c>
      <c r="D6" s="4" t="s">
        <v>1409</v>
      </c>
      <c r="E6" s="4" t="s">
        <v>1410</v>
      </c>
      <c r="F6" s="4" t="s">
        <v>1411</v>
      </c>
    </row>
    <row r="7" customFormat="false" ht="42" hidden="false" customHeight="true" outlineLevel="0" collapsed="false">
      <c r="B7" s="4" t="n">
        <v>2</v>
      </c>
      <c r="C7" s="4" t="s">
        <v>1412</v>
      </c>
      <c r="D7" s="4" t="s">
        <v>1413</v>
      </c>
      <c r="E7" s="4" t="s">
        <v>1414</v>
      </c>
      <c r="F7" s="4" t="s">
        <v>1415</v>
      </c>
    </row>
    <row r="8" customFormat="false" ht="42" hidden="false" customHeight="true" outlineLevel="0" collapsed="false">
      <c r="B8" s="4" t="n">
        <v>3</v>
      </c>
      <c r="C8" s="4" t="s">
        <v>1416</v>
      </c>
      <c r="D8" s="4" t="s">
        <v>1417</v>
      </c>
      <c r="E8" s="4" t="s">
        <v>1418</v>
      </c>
      <c r="F8" s="4" t="s">
        <v>1419</v>
      </c>
    </row>
    <row r="9" customFormat="false" ht="42" hidden="false" customHeight="true" outlineLevel="0" collapsed="false">
      <c r="B9" s="4" t="n">
        <v>4</v>
      </c>
      <c r="C9" s="4" t="s">
        <v>1420</v>
      </c>
      <c r="D9" s="4" t="s">
        <v>1421</v>
      </c>
      <c r="E9" s="4" t="s">
        <v>1422</v>
      </c>
      <c r="F9" s="4" t="s">
        <v>1423</v>
      </c>
    </row>
    <row r="10" customFormat="false" ht="42" hidden="false" customHeight="true" outlineLevel="0" collapsed="false">
      <c r="B10" s="4" t="n">
        <v>5</v>
      </c>
      <c r="C10" s="4" t="s">
        <v>1424</v>
      </c>
      <c r="D10" s="4" t="s">
        <v>1425</v>
      </c>
      <c r="E10" s="4" t="s">
        <v>1426</v>
      </c>
      <c r="F10" s="4" t="s">
        <v>1427</v>
      </c>
    </row>
    <row r="12" customFormat="false" ht="15" hidden="false" customHeight="false" outlineLevel="0" collapsed="false">
      <c r="B12" s="8" t="s">
        <v>1428</v>
      </c>
    </row>
    <row r="13" customFormat="false" ht="15" hidden="false" customHeight="false" outlineLevel="0" collapsed="false">
      <c r="B13" s="8" t="s">
        <v>1429</v>
      </c>
    </row>
    <row r="14" customFormat="false" ht="15" hidden="false" customHeight="false" outlineLevel="0" collapsed="false">
      <c r="B14" s="9" t="s">
        <v>32</v>
      </c>
    </row>
    <row r="15" customFormat="false" ht="15" hidden="false" customHeight="false" outlineLevel="0" collapsed="false">
      <c r="B15" s="9" t="s">
        <v>78</v>
      </c>
    </row>
    <row r="16" customFormat="false" ht="15" hidden="false" customHeight="false" outlineLevel="0" collapsed="false">
      <c r="B16" s="9" t="s">
        <v>95</v>
      </c>
    </row>
    <row r="17" customFormat="false" ht="15" hidden="false" customHeight="false" outlineLevel="0" collapsed="false">
      <c r="B17" s="9" t="s">
        <v>40</v>
      </c>
    </row>
    <row r="18" customFormat="false" ht="15" hidden="false" customHeight="false" outlineLevel="0" collapsed="false">
      <c r="B18" s="9" t="s">
        <v>61</v>
      </c>
    </row>
    <row r="19" customFormat="false" ht="15" hidden="false" customHeight="false" outlineLevel="0" collapsed="false">
      <c r="B19" s="9" t="s">
        <v>51</v>
      </c>
    </row>
    <row r="20" customFormat="false" ht="15" hidden="false" customHeight="false" outlineLevel="0" collapsed="false">
      <c r="B20" s="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8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5" t="s">
        <v>1430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5" hidden="false" customHeight="false" outlineLevel="0" collapsed="false">
      <c r="A2" s="6" t="s">
        <v>1431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15" hidden="false" customHeight="false" outlineLevel="0" collapsed="false">
      <c r="A4" s="7" t="s">
        <v>18</v>
      </c>
      <c r="B4" s="7" t="s">
        <v>19</v>
      </c>
      <c r="C4" s="7" t="s">
        <v>20</v>
      </c>
      <c r="D4" s="7" t="s">
        <v>1432</v>
      </c>
      <c r="E4" s="7" t="s">
        <v>22</v>
      </c>
      <c r="F4" s="7" t="s">
        <v>23</v>
      </c>
      <c r="G4" s="7" t="s">
        <v>1433</v>
      </c>
      <c r="H4" s="7" t="s">
        <v>25</v>
      </c>
      <c r="I4" s="7" t="s">
        <v>26</v>
      </c>
      <c r="J4" s="7" t="s">
        <v>27</v>
      </c>
      <c r="K4" s="7" t="s">
        <v>1434</v>
      </c>
      <c r="L4" s="7" t="s">
        <v>28</v>
      </c>
      <c r="M4" s="7" t="s">
        <v>1435</v>
      </c>
    </row>
    <row r="5" customFormat="false" ht="15" hidden="false" customHeight="false" outlineLevel="0" collapsed="false">
      <c r="A5" s="0" t="str">
        <f aca="false">CRM_Raw!A5</f>
        <v>D-10001</v>
      </c>
      <c r="B5" s="0" t="str">
        <f aca="false">CRM_Raw!B5</f>
        <v>2025-09-08</v>
      </c>
      <c r="C5" s="0" t="str">
        <f aca="false">CRM_Raw!C5</f>
        <v>2025-09-27</v>
      </c>
      <c r="D5" s="0" t="str">
        <f aca="false">IF(CRM_Raw!D5="DACH","DACH",IF(ISNUMBER(SEARCH("uk",CRM_Raw!D5)),"UK &amp; Ireland",PROPER(CRM_Raw!D5)))</f>
        <v>Southern Europe</v>
      </c>
      <c r="E5" s="0" t="str">
        <f aca="false">CRM_Raw!E5</f>
        <v>Smart Ovens</v>
      </c>
      <c r="F5" s="0" t="str">
        <f aca="false">CRM_Raw!F5</f>
        <v>Web-shop Organic</v>
      </c>
      <c r="G5" s="0" t="str">
        <f aca="false">IF(TRIM(CRM_Raw!G5)="","Unassigned",CRM_Raw!G5)</f>
        <v>J. Murphy</v>
      </c>
      <c r="H5" s="0" t="str">
        <f aca="false">CRM_Raw!H5</f>
        <v>Closed Won</v>
      </c>
      <c r="I5" s="10" t="n">
        <f aca="false">CRM_Raw!I5</f>
        <v>948.63</v>
      </c>
      <c r="J5" s="11" t="n">
        <f aca="false">CRM_Raw!J5</f>
        <v>0.1</v>
      </c>
      <c r="K5" s="10" t="n">
        <f aca="false">I5*(1-J5)</f>
        <v>853.767</v>
      </c>
      <c r="L5" s="12" t="n">
        <f aca="false">CRM_Raw!K5</f>
        <v>19</v>
      </c>
      <c r="M5" s="12" t="n">
        <f aca="false">IF(H5="Closed Won",1,0)</f>
        <v>1</v>
      </c>
    </row>
    <row r="6" customFormat="false" ht="15" hidden="false" customHeight="false" outlineLevel="0" collapsed="false">
      <c r="A6" s="0" t="str">
        <f aca="false">CRM_Raw!A6</f>
        <v>D-10002</v>
      </c>
      <c r="B6" s="0" t="str">
        <f aca="false">CRM_Raw!B6</f>
        <v>2025-08-27</v>
      </c>
      <c r="C6" s="0" t="str">
        <f aca="false">CRM_Raw!C6</f>
        <v>2025-09-03</v>
      </c>
      <c r="D6" s="0" t="str">
        <f aca="false">IF(CRM_Raw!D6="DACH","DACH",IF(ISNUMBER(SEARCH("uk",CRM_Raw!D6)),"UK &amp; Ireland",PROPER(CRM_Raw!D6)))</f>
        <v>Benelux</v>
      </c>
      <c r="E6" s="0" t="str">
        <f aca="false">CRM_Raw!E6</f>
        <v>Smart Ovens</v>
      </c>
      <c r="F6" s="0" t="str">
        <f aca="false">CRM_Raw!F6</f>
        <v>Web-shop Organic</v>
      </c>
      <c r="G6" s="0" t="str">
        <f aca="false">IF(TRIM(CRM_Raw!G6)="","Unassigned",CRM_Raw!G6)</f>
        <v>S. Andersson</v>
      </c>
      <c r="H6" s="0" t="str">
        <f aca="false">CRM_Raw!H6</f>
        <v>Closed Lost</v>
      </c>
      <c r="I6" s="10" t="n">
        <f aca="false">CRM_Raw!I6</f>
        <v>769.64</v>
      </c>
      <c r="J6" s="11" t="n">
        <f aca="false">CRM_Raw!J6</f>
        <v>0.15</v>
      </c>
      <c r="K6" s="10" t="n">
        <f aca="false">I6*(1-J6)</f>
        <v>654.194</v>
      </c>
      <c r="L6" s="12" t="n">
        <f aca="false">CRM_Raw!K6</f>
        <v>7</v>
      </c>
      <c r="M6" s="12" t="n">
        <f aca="false">IF(H6="Closed Won",1,0)</f>
        <v>0</v>
      </c>
    </row>
    <row r="7" customFormat="false" ht="15" hidden="false" customHeight="false" outlineLevel="0" collapsed="false">
      <c r="A7" s="0" t="str">
        <f aca="false">CRM_Raw!A7</f>
        <v>D-10003</v>
      </c>
      <c r="B7" s="0" t="str">
        <f aca="false">CRM_Raw!B7</f>
        <v>2026-04-05</v>
      </c>
      <c r="C7" s="0" t="str">
        <f aca="false">CRM_Raw!C7</f>
        <v>2026-04-26</v>
      </c>
      <c r="D7" s="0" t="str">
        <f aca="false">IF(CRM_Raw!D7="DACH","DACH",IF(ISNUMBER(SEARCH("uk",CRM_Raw!D7)),"UK &amp; Ireland",PROPER(CRM_Raw!D7)))</f>
        <v>Southern Europe</v>
      </c>
      <c r="E7" s="0" t="str">
        <f aca="false">CRM_Raw!E7</f>
        <v>Small Kitchen Appliances</v>
      </c>
      <c r="F7" s="0" t="str">
        <f aca="false">CRM_Raw!F7</f>
        <v>Social Media Ads</v>
      </c>
      <c r="G7" s="0" t="str">
        <f aca="false">IF(TRIM(CRM_Raw!G7)="","Unassigned",CRM_Raw!G7)</f>
        <v>S. Andersson</v>
      </c>
      <c r="H7" s="0" t="str">
        <f aca="false">CRM_Raw!H7</f>
        <v>Closed Lost</v>
      </c>
      <c r="I7" s="10" t="n">
        <f aca="false">CRM_Raw!I7</f>
        <v>267.12</v>
      </c>
      <c r="J7" s="11" t="n">
        <f aca="false">CRM_Raw!J7</f>
        <v>0</v>
      </c>
      <c r="K7" s="10" t="n">
        <f aca="false">I7*(1-J7)</f>
        <v>267.12</v>
      </c>
      <c r="L7" s="12" t="n">
        <f aca="false">CRM_Raw!K7</f>
        <v>21</v>
      </c>
      <c r="M7" s="12" t="n">
        <f aca="false">IF(H7="Closed Won",1,0)</f>
        <v>0</v>
      </c>
    </row>
    <row r="8" customFormat="false" ht="15" hidden="false" customHeight="false" outlineLevel="0" collapsed="false">
      <c r="A8" s="0" t="str">
        <f aca="false">CRM_Raw!A8</f>
        <v>D-10004</v>
      </c>
      <c r="B8" s="0" t="str">
        <f aca="false">CRM_Raw!B8</f>
        <v>2025-04-15</v>
      </c>
      <c r="C8" s="0" t="str">
        <f aca="false">CRM_Raw!C8</f>
        <v>2025-05-05</v>
      </c>
      <c r="D8" s="0" t="str">
        <f aca="false">IF(CRM_Raw!D8="DACH","DACH",IF(ISNUMBER(SEARCH("uk",CRM_Raw!D8)),"UK &amp; Ireland",PROPER(CRM_Raw!D8)))</f>
        <v>France</v>
      </c>
      <c r="E8" s="0" t="str">
        <f aca="false">CRM_Raw!E8</f>
        <v>Coffee Systems</v>
      </c>
      <c r="F8" s="0" t="str">
        <f aca="false">CRM_Raw!F8</f>
        <v>Web-shop Organic</v>
      </c>
      <c r="G8" s="0" t="str">
        <f aca="false">IF(TRIM(CRM_Raw!G8)="","Unassigned",CRM_Raw!G8)</f>
        <v>P. Rossi</v>
      </c>
      <c r="H8" s="0" t="str">
        <f aca="false">CRM_Raw!H8</f>
        <v>Closed Won</v>
      </c>
      <c r="I8" s="10" t="n">
        <f aca="false">CRM_Raw!I8</f>
        <v>478.86</v>
      </c>
      <c r="J8" s="11" t="n">
        <f aca="false">CRM_Raw!J8</f>
        <v>0.1</v>
      </c>
      <c r="K8" s="10" t="n">
        <f aca="false">I8*(1-J8)</f>
        <v>430.974</v>
      </c>
      <c r="L8" s="12" t="n">
        <f aca="false">CRM_Raw!K8</f>
        <v>20</v>
      </c>
      <c r="M8" s="12" t="n">
        <f aca="false">IF(H8="Closed Won",1,0)</f>
        <v>1</v>
      </c>
    </row>
    <row r="9" customFormat="false" ht="15" hidden="false" customHeight="false" outlineLevel="0" collapsed="false">
      <c r="A9" s="0" t="str">
        <f aca="false">CRM_Raw!A9</f>
        <v>D-10005</v>
      </c>
      <c r="B9" s="0" t="str">
        <f aca="false">CRM_Raw!B9</f>
        <v>2026-01-23</v>
      </c>
      <c r="C9" s="0" t="str">
        <f aca="false">CRM_Raw!C9</f>
        <v>2026-02-09</v>
      </c>
      <c r="D9" s="0" t="str">
        <f aca="false">IF(CRM_Raw!D9="DACH","DACH",IF(ISNUMBER(SEARCH("uk",CRM_Raw!D9)),"UK &amp; Ireland",PROPER(CRM_Raw!D9)))</f>
        <v>France</v>
      </c>
      <c r="E9" s="0" t="str">
        <f aca="false">CRM_Raw!E9</f>
        <v>Smart Ovens</v>
      </c>
      <c r="F9" s="0" t="str">
        <f aca="false">CRM_Raw!F9</f>
        <v>Affiliate Partner</v>
      </c>
      <c r="G9" s="0" t="str">
        <f aca="false">IF(TRIM(CRM_Raw!G9)="","Unassigned",CRM_Raw!G9)</f>
        <v>L. Dubois</v>
      </c>
      <c r="H9" s="0" t="str">
        <f aca="false">CRM_Raw!H9</f>
        <v>Closed Won</v>
      </c>
      <c r="I9" s="10" t="n">
        <f aca="false">CRM_Raw!I9</f>
        <v>947.23</v>
      </c>
      <c r="J9" s="11" t="n">
        <f aca="false">CRM_Raw!J9</f>
        <v>0.1</v>
      </c>
      <c r="K9" s="10" t="n">
        <f aca="false">I9*(1-J9)</f>
        <v>852.507</v>
      </c>
      <c r="L9" s="12" t="n">
        <f aca="false">CRM_Raw!K9</f>
        <v>17</v>
      </c>
      <c r="M9" s="12" t="n">
        <f aca="false">IF(H9="Closed Won",1,0)</f>
        <v>1</v>
      </c>
    </row>
    <row r="10" customFormat="false" ht="15" hidden="false" customHeight="false" outlineLevel="0" collapsed="false">
      <c r="A10" s="0" t="str">
        <f aca="false">CRM_Raw!A10</f>
        <v>D-10006</v>
      </c>
      <c r="B10" s="0" t="str">
        <f aca="false">CRM_Raw!B10</f>
        <v>2025-10-24</v>
      </c>
      <c r="C10" s="0" t="n">
        <f aca="false">CRM_Raw!C10</f>
        <v>0</v>
      </c>
      <c r="D10" s="0" t="str">
        <f aca="false">IF(CRM_Raw!D10="DACH","DACH",IF(ISNUMBER(SEARCH("uk",CRM_Raw!D10)),"UK &amp; Ireland",PROPER(CRM_Raw!D10)))</f>
        <v>UK &amp; Ireland</v>
      </c>
      <c r="E10" s="0" t="str">
        <f aca="false">CRM_Raw!E10</f>
        <v>Small Kitchen Appliances</v>
      </c>
      <c r="F10" s="0" t="str">
        <f aca="false">CRM_Raw!F10</f>
        <v>Web-shop Organic</v>
      </c>
      <c r="G10" s="0" t="str">
        <f aca="false">IF(TRIM(CRM_Raw!G10)="","Unassigned",CRM_Raw!G10)</f>
        <v>S. Andersson</v>
      </c>
      <c r="H10" s="0" t="str">
        <f aca="false">CRM_Raw!H10</f>
        <v>Qualified</v>
      </c>
      <c r="I10" s="10" t="n">
        <f aca="false">CRM_Raw!I10</f>
        <v>135.03</v>
      </c>
      <c r="J10" s="11" t="n">
        <f aca="false">CRM_Raw!J10</f>
        <v>0.05</v>
      </c>
      <c r="K10" s="10" t="n">
        <f aca="false">I10*(1-J10)</f>
        <v>128.2785</v>
      </c>
      <c r="L10" s="12" t="n">
        <f aca="false">CRM_Raw!K10</f>
        <v>0</v>
      </c>
      <c r="M10" s="12" t="n">
        <f aca="false">IF(H10="Closed Won",1,0)</f>
        <v>0</v>
      </c>
    </row>
    <row r="11" customFormat="false" ht="15" hidden="false" customHeight="false" outlineLevel="0" collapsed="false">
      <c r="A11" s="0" t="str">
        <f aca="false">CRM_Raw!A11</f>
        <v>D-10007</v>
      </c>
      <c r="B11" s="0" t="str">
        <f aca="false">CRM_Raw!B11</f>
        <v>2025-06-16</v>
      </c>
      <c r="C11" s="0" t="str">
        <f aca="false">CRM_Raw!C11</f>
        <v>2025-07-19</v>
      </c>
      <c r="D11" s="0" t="str">
        <f aca="false">IF(CRM_Raw!D11="DACH","DACH",IF(ISNUMBER(SEARCH("uk",CRM_Raw!D11)),"UK &amp; Ireland",PROPER(CRM_Raw!D11)))</f>
        <v>France</v>
      </c>
      <c r="E11" s="0" t="str">
        <f aca="false">CRM_Raw!E11</f>
        <v>Dishwashers</v>
      </c>
      <c r="F11" s="0" t="str">
        <f aca="false">CRM_Raw!F11</f>
        <v>Affiliate Partner</v>
      </c>
      <c r="G11" s="0" t="str">
        <f aca="false">IF(TRIM(CRM_Raw!G11)="","Unassigned",CRM_Raw!G11)</f>
        <v>P. Rossi</v>
      </c>
      <c r="H11" s="0" t="str">
        <f aca="false">CRM_Raw!H11</f>
        <v>Closed Won</v>
      </c>
      <c r="I11" s="10" t="n">
        <f aca="false">CRM_Raw!I11</f>
        <v>672.74</v>
      </c>
      <c r="J11" s="11" t="n">
        <f aca="false">CRM_Raw!J11</f>
        <v>0.15</v>
      </c>
      <c r="K11" s="10" t="n">
        <f aca="false">I11*(1-J11)</f>
        <v>571.829</v>
      </c>
      <c r="L11" s="12" t="n">
        <f aca="false">CRM_Raw!K11</f>
        <v>33</v>
      </c>
      <c r="M11" s="12" t="n">
        <f aca="false">IF(H11="Closed Won",1,0)</f>
        <v>1</v>
      </c>
    </row>
    <row r="12" customFormat="false" ht="15" hidden="false" customHeight="false" outlineLevel="0" collapsed="false">
      <c r="A12" s="0" t="str">
        <f aca="false">CRM_Raw!A12</f>
        <v>D-10008</v>
      </c>
      <c r="B12" s="0" t="str">
        <f aca="false">CRM_Raw!B12</f>
        <v>2025-09-08</v>
      </c>
      <c r="C12" s="0" t="str">
        <f aca="false">CRM_Raw!C12</f>
        <v>2025-09-11</v>
      </c>
      <c r="D12" s="0" t="str">
        <f aca="false">IF(CRM_Raw!D12="DACH","DACH",IF(ISNUMBER(SEARCH("uk",CRM_Raw!D12)),"UK &amp; Ireland",PROPER(CRM_Raw!D12)))</f>
        <v>Southern Europe</v>
      </c>
      <c r="E12" s="0" t="str">
        <f aca="false">CRM_Raw!E12</f>
        <v>Small Kitchen Appliances</v>
      </c>
      <c r="F12" s="0" t="str">
        <f aca="false">CRM_Raw!F12</f>
        <v>Web-shop Organic</v>
      </c>
      <c r="G12" s="0" t="str">
        <f aca="false">IF(TRIM(CRM_Raw!G12)="","Unassigned",CRM_Raw!G12)</f>
        <v>M. Hoffmann</v>
      </c>
      <c r="H12" s="0" t="str">
        <f aca="false">CRM_Raw!H12</f>
        <v>Closed Won</v>
      </c>
      <c r="I12" s="10" t="n">
        <f aca="false">CRM_Raw!I12</f>
        <v>385.92</v>
      </c>
      <c r="J12" s="11" t="n">
        <f aca="false">CRM_Raw!J12</f>
        <v>0</v>
      </c>
      <c r="K12" s="10" t="n">
        <f aca="false">I12*(1-J12)</f>
        <v>385.92</v>
      </c>
      <c r="L12" s="12" t="n">
        <f aca="false">CRM_Raw!K12</f>
        <v>3</v>
      </c>
      <c r="M12" s="12" t="n">
        <f aca="false">IF(H12="Closed Won",1,0)</f>
        <v>1</v>
      </c>
    </row>
    <row r="13" customFormat="false" ht="15" hidden="false" customHeight="false" outlineLevel="0" collapsed="false">
      <c r="A13" s="0" t="str">
        <f aca="false">CRM_Raw!A13</f>
        <v>D-10009</v>
      </c>
      <c r="B13" s="0" t="str">
        <f aca="false">CRM_Raw!B13</f>
        <v>2025-08-23</v>
      </c>
      <c r="C13" s="0" t="n">
        <f aca="false">CRM_Raw!C13</f>
        <v>0</v>
      </c>
      <c r="D13" s="0" t="str">
        <f aca="false">IF(CRM_Raw!D13="DACH","DACH",IF(ISNUMBER(SEARCH("uk",CRM_Raw!D13)),"UK &amp; Ireland",PROPER(CRM_Raw!D13)))</f>
        <v>Southern Europe</v>
      </c>
      <c r="E13" s="0" t="str">
        <f aca="false">CRM_Raw!E13</f>
        <v>Cordless Vacuums</v>
      </c>
      <c r="F13" s="0" t="str">
        <f aca="false">CRM_Raw!F13</f>
        <v>Email Campaign</v>
      </c>
      <c r="G13" s="0" t="str">
        <f aca="false">IF(TRIM(CRM_Raw!G13)="","Unassigned",CRM_Raw!G13)</f>
        <v>A. Becker</v>
      </c>
      <c r="H13" s="0" t="str">
        <f aca="false">CRM_Raw!H13</f>
        <v>Proposal Sent</v>
      </c>
      <c r="I13" s="10" t="n">
        <f aca="false">CRM_Raw!I13</f>
        <v>784.65</v>
      </c>
      <c r="J13" s="11" t="n">
        <f aca="false">CRM_Raw!J13</f>
        <v>0</v>
      </c>
      <c r="K13" s="10" t="n">
        <f aca="false">I13*(1-J13)</f>
        <v>784.65</v>
      </c>
      <c r="L13" s="12" t="n">
        <f aca="false">CRM_Raw!K13</f>
        <v>0</v>
      </c>
      <c r="M13" s="12" t="n">
        <f aca="false">IF(H13="Closed Won",1,0)</f>
        <v>0</v>
      </c>
    </row>
    <row r="14" customFormat="false" ht="15" hidden="false" customHeight="false" outlineLevel="0" collapsed="false">
      <c r="A14" s="0" t="str">
        <f aca="false">CRM_Raw!A14</f>
        <v>D-10010</v>
      </c>
      <c r="B14" s="0" t="str">
        <f aca="false">CRM_Raw!B14</f>
        <v>2025-08-06</v>
      </c>
      <c r="C14" s="0" t="n">
        <f aca="false">CRM_Raw!C14</f>
        <v>0</v>
      </c>
      <c r="D14" s="0" t="str">
        <f aca="false">IF(CRM_Raw!D14="DACH","DACH",IF(ISNUMBER(SEARCH("uk",CRM_Raw!D14)),"UK &amp; Ireland",PROPER(CRM_Raw!D14)))</f>
        <v>DACH</v>
      </c>
      <c r="E14" s="0" t="str">
        <f aca="false">CRM_Raw!E14</f>
        <v>Coffee Systems</v>
      </c>
      <c r="F14" s="0" t="str">
        <f aca="false">CRM_Raw!F14</f>
        <v>Retail Referral</v>
      </c>
      <c r="G14" s="0" t="str">
        <f aca="false">IF(TRIM(CRM_Raw!G14)="","Unassigned",CRM_Raw!G14)</f>
        <v>P. Rossi</v>
      </c>
      <c r="H14" s="0" t="str">
        <f aca="false">CRM_Raw!H14</f>
        <v>Negotiation</v>
      </c>
      <c r="I14" s="10" t="n">
        <f aca="false">CRM_Raw!I14</f>
        <v>1033.21</v>
      </c>
      <c r="J14" s="11" t="n">
        <f aca="false">CRM_Raw!J14</f>
        <v>0</v>
      </c>
      <c r="K14" s="10" t="n">
        <f aca="false">I14*(1-J14)</f>
        <v>1033.21</v>
      </c>
      <c r="L14" s="12" t="n">
        <f aca="false">CRM_Raw!K14</f>
        <v>0</v>
      </c>
      <c r="M14" s="12" t="n">
        <f aca="false">IF(H14="Closed Won",1,0)</f>
        <v>0</v>
      </c>
    </row>
    <row r="15" customFormat="false" ht="15" hidden="false" customHeight="false" outlineLevel="0" collapsed="false">
      <c r="A15" s="0" t="str">
        <f aca="false">CRM_Raw!A15</f>
        <v>D-10011</v>
      </c>
      <c r="B15" s="0" t="str">
        <f aca="false">CRM_Raw!B15</f>
        <v>2026-03-15</v>
      </c>
      <c r="C15" s="0" t="n">
        <f aca="false">CRM_Raw!C15</f>
        <v>0</v>
      </c>
      <c r="D15" s="0" t="str">
        <f aca="false">IF(CRM_Raw!D15="DACH","DACH",IF(ISNUMBER(SEARCH("uk",CRM_Raw!D15)),"UK &amp; Ireland",PROPER(CRM_Raw!D15)))</f>
        <v>France</v>
      </c>
      <c r="E15" s="0" t="str">
        <f aca="false">CRM_Raw!E15</f>
        <v>Coffee Systems</v>
      </c>
      <c r="F15" s="0" t="str">
        <f aca="false">CRM_Raw!F15</f>
        <v>Web-shop Organic</v>
      </c>
      <c r="G15" s="0" t="str">
        <f aca="false">IF(TRIM(CRM_Raw!G15)="","Unassigned",CRM_Raw!G15)</f>
        <v>J. Murphy</v>
      </c>
      <c r="H15" s="0" t="str">
        <f aca="false">CRM_Raw!H15</f>
        <v>Qualified</v>
      </c>
      <c r="I15" s="10" t="n">
        <f aca="false">CRM_Raw!I15</f>
        <v>517.08</v>
      </c>
      <c r="J15" s="11" t="n">
        <f aca="false">CRM_Raw!J15</f>
        <v>0</v>
      </c>
      <c r="K15" s="10" t="n">
        <f aca="false">I15*(1-J15)</f>
        <v>517.08</v>
      </c>
      <c r="L15" s="12" t="n">
        <f aca="false">CRM_Raw!K15</f>
        <v>0</v>
      </c>
      <c r="M15" s="12" t="n">
        <f aca="false">IF(H15="Closed Won",1,0)</f>
        <v>0</v>
      </c>
    </row>
    <row r="16" customFormat="false" ht="15" hidden="false" customHeight="false" outlineLevel="0" collapsed="false">
      <c r="A16" s="0" t="str">
        <f aca="false">CRM_Raw!A16</f>
        <v>D-10012</v>
      </c>
      <c r="B16" s="0" t="str">
        <f aca="false">CRM_Raw!B16</f>
        <v>2025-04-23</v>
      </c>
      <c r="C16" s="0" t="str">
        <f aca="false">CRM_Raw!C16</f>
        <v>2025-06-01</v>
      </c>
      <c r="D16" s="0" t="str">
        <f aca="false">IF(CRM_Raw!D16="DACH","DACH",IF(ISNUMBER(SEARCH("uk",CRM_Raw!D16)),"UK &amp; Ireland",PROPER(CRM_Raw!D16)))</f>
        <v>Nordics</v>
      </c>
      <c r="E16" s="0" t="str">
        <f aca="false">CRM_Raw!E16</f>
        <v>Dishwashers</v>
      </c>
      <c r="F16" s="0" t="str">
        <f aca="false">CRM_Raw!F16</f>
        <v>Web-shop Organic</v>
      </c>
      <c r="G16" s="0" t="str">
        <f aca="false">IF(TRIM(CRM_Raw!G16)="","Unassigned",CRM_Raw!G16)</f>
        <v>A. Becker</v>
      </c>
      <c r="H16" s="0" t="str">
        <f aca="false">CRM_Raw!H16</f>
        <v>Closed Won</v>
      </c>
      <c r="I16" s="10" t="n">
        <f aca="false">CRM_Raw!I16</f>
        <v>1328.42</v>
      </c>
      <c r="J16" s="11" t="n">
        <f aca="false">CRM_Raw!J16</f>
        <v>0.1</v>
      </c>
      <c r="K16" s="10" t="n">
        <f aca="false">I16*(1-J16)</f>
        <v>1195.578</v>
      </c>
      <c r="L16" s="12" t="n">
        <f aca="false">CRM_Raw!K16</f>
        <v>39</v>
      </c>
      <c r="M16" s="12" t="n">
        <f aca="false">IF(H16="Closed Won",1,0)</f>
        <v>1</v>
      </c>
    </row>
    <row r="17" customFormat="false" ht="15" hidden="false" customHeight="false" outlineLevel="0" collapsed="false">
      <c r="A17" s="0" t="str">
        <f aca="false">CRM_Raw!A17</f>
        <v>D-10013</v>
      </c>
      <c r="B17" s="0" t="str">
        <f aca="false">CRM_Raw!B17</f>
        <v>2025-09-15</v>
      </c>
      <c r="C17" s="0" t="n">
        <f aca="false">CRM_Raw!C17</f>
        <v>0</v>
      </c>
      <c r="D17" s="0" t="str">
        <f aca="false">IF(CRM_Raw!D17="DACH","DACH",IF(ISNUMBER(SEARCH("uk",CRM_Raw!D17)),"UK &amp; Ireland",PROPER(CRM_Raw!D17)))</f>
        <v>DACH</v>
      </c>
      <c r="E17" s="0" t="str">
        <f aca="false">CRM_Raw!E17</f>
        <v>Dishwashers</v>
      </c>
      <c r="F17" s="0" t="str">
        <f aca="false">CRM_Raw!F17</f>
        <v>Paid Search</v>
      </c>
      <c r="G17" s="0" t="str">
        <f aca="false">IF(TRIM(CRM_Raw!G17)="","Unassigned",CRM_Raw!G17)</f>
        <v>Unassigned</v>
      </c>
      <c r="H17" s="0" t="str">
        <f aca="false">CRM_Raw!H17</f>
        <v>Qualified</v>
      </c>
      <c r="I17" s="10" t="n">
        <f aca="false">CRM_Raw!I17</f>
        <v>784.94</v>
      </c>
      <c r="J17" s="11" t="n">
        <f aca="false">CRM_Raw!J17</f>
        <v>0.15</v>
      </c>
      <c r="K17" s="10" t="n">
        <f aca="false">I17*(1-J17)</f>
        <v>667.199</v>
      </c>
      <c r="L17" s="12" t="n">
        <f aca="false">CRM_Raw!K17</f>
        <v>0</v>
      </c>
      <c r="M17" s="12" t="n">
        <f aca="false">IF(H17="Closed Won",1,0)</f>
        <v>0</v>
      </c>
    </row>
    <row r="18" customFormat="false" ht="15" hidden="false" customHeight="false" outlineLevel="0" collapsed="false">
      <c r="A18" s="0" t="str">
        <f aca="false">CRM_Raw!A18</f>
        <v>D-10014</v>
      </c>
      <c r="B18" s="0" t="str">
        <f aca="false">CRM_Raw!B18</f>
        <v>2025-12-15</v>
      </c>
      <c r="C18" s="0" t="str">
        <f aca="false">CRM_Raw!C18</f>
        <v>2025-12-26</v>
      </c>
      <c r="D18" s="0" t="str">
        <f aca="false">IF(CRM_Raw!D18="DACH","DACH",IF(ISNUMBER(SEARCH("uk",CRM_Raw!D18)),"UK &amp; Ireland",PROPER(CRM_Raw!D18)))</f>
        <v>Southern Europe</v>
      </c>
      <c r="E18" s="0" t="str">
        <f aca="false">CRM_Raw!E18</f>
        <v>Smart Ovens</v>
      </c>
      <c r="F18" s="0" t="str">
        <f aca="false">CRM_Raw!F18</f>
        <v>Affiliate Partner</v>
      </c>
      <c r="G18" s="0" t="str">
        <f aca="false">IF(TRIM(CRM_Raw!G18)="","Unassigned",CRM_Raw!G18)</f>
        <v>J. Murphy</v>
      </c>
      <c r="H18" s="0" t="str">
        <f aca="false">CRM_Raw!H18</f>
        <v>Closed Won</v>
      </c>
      <c r="I18" s="10" t="n">
        <f aca="false">CRM_Raw!I18</f>
        <v>961.37</v>
      </c>
      <c r="J18" s="11" t="n">
        <f aca="false">CRM_Raw!J18</f>
        <v>0.1</v>
      </c>
      <c r="K18" s="10" t="n">
        <f aca="false">I18*(1-J18)</f>
        <v>865.233</v>
      </c>
      <c r="L18" s="12" t="n">
        <f aca="false">CRM_Raw!K18</f>
        <v>11</v>
      </c>
      <c r="M18" s="12" t="n">
        <f aca="false">IF(H18="Closed Won",1,0)</f>
        <v>1</v>
      </c>
    </row>
    <row r="19" customFormat="false" ht="15" hidden="false" customHeight="false" outlineLevel="0" collapsed="false">
      <c r="A19" s="0" t="str">
        <f aca="false">CRM_Raw!A19</f>
        <v>D-10015</v>
      </c>
      <c r="B19" s="0" t="str">
        <f aca="false">CRM_Raw!B19</f>
        <v>2025-11-02</v>
      </c>
      <c r="C19" s="0" t="n">
        <f aca="false">CRM_Raw!C19</f>
        <v>0</v>
      </c>
      <c r="D19" s="0" t="str">
        <f aca="false">IF(CRM_Raw!D19="DACH","DACH",IF(ISNUMBER(SEARCH("uk",CRM_Raw!D19)),"UK &amp; Ireland",PROPER(CRM_Raw!D19)))</f>
        <v>North America</v>
      </c>
      <c r="E19" s="0" t="str">
        <f aca="false">CRM_Raw!E19</f>
        <v>Coffee Systems</v>
      </c>
      <c r="F19" s="0" t="str">
        <f aca="false">CRM_Raw!F19</f>
        <v>Social Media Ads</v>
      </c>
      <c r="G19" s="0" t="str">
        <f aca="false">IF(TRIM(CRM_Raw!G19)="","Unassigned",CRM_Raw!G19)</f>
        <v>L. Dubois</v>
      </c>
      <c r="H19" s="0" t="str">
        <f aca="false">CRM_Raw!H19</f>
        <v>Proposal Sent</v>
      </c>
      <c r="I19" s="10" t="n">
        <f aca="false">CRM_Raw!I19</f>
        <v>530.75</v>
      </c>
      <c r="J19" s="11" t="n">
        <f aca="false">CRM_Raw!J19</f>
        <v>0</v>
      </c>
      <c r="K19" s="10" t="n">
        <f aca="false">I19*(1-J19)</f>
        <v>530.75</v>
      </c>
      <c r="L19" s="12" t="n">
        <f aca="false">CRM_Raw!K19</f>
        <v>0</v>
      </c>
      <c r="M19" s="12" t="n">
        <f aca="false">IF(H19="Closed Won",1,0)</f>
        <v>0</v>
      </c>
    </row>
    <row r="20" customFormat="false" ht="15" hidden="false" customHeight="false" outlineLevel="0" collapsed="false">
      <c r="A20" s="0" t="str">
        <f aca="false">CRM_Raw!A20</f>
        <v>D-10016</v>
      </c>
      <c r="B20" s="0" t="str">
        <f aca="false">CRM_Raw!B20</f>
        <v>2025-11-28</v>
      </c>
      <c r="C20" s="0" t="str">
        <f aca="false">CRM_Raw!C20</f>
        <v>2025-12-22</v>
      </c>
      <c r="D20" s="0" t="str">
        <f aca="false">IF(CRM_Raw!D20="DACH","DACH",IF(ISNUMBER(SEARCH("uk",CRM_Raw!D20)),"UK &amp; Ireland",PROPER(CRM_Raw!D20)))</f>
        <v>France</v>
      </c>
      <c r="E20" s="0" t="str">
        <f aca="false">CRM_Raw!E20</f>
        <v>Coffee Systems</v>
      </c>
      <c r="F20" s="0" t="str">
        <f aca="false">CRM_Raw!F20</f>
        <v>Social Media Ads</v>
      </c>
      <c r="G20" s="0" t="str">
        <f aca="false">IF(TRIM(CRM_Raw!G20)="","Unassigned",CRM_Raw!G20)</f>
        <v>A. Becker</v>
      </c>
      <c r="H20" s="0" t="str">
        <f aca="false">CRM_Raw!H20</f>
        <v>Closed Lost</v>
      </c>
      <c r="I20" s="10" t="n">
        <f aca="false">CRM_Raw!I20</f>
        <v>480.78</v>
      </c>
      <c r="J20" s="11" t="n">
        <f aca="false">CRM_Raw!J20</f>
        <v>0.2</v>
      </c>
      <c r="K20" s="10" t="n">
        <f aca="false">I20*(1-J20)</f>
        <v>384.624</v>
      </c>
      <c r="L20" s="12" t="n">
        <f aca="false">CRM_Raw!K20</f>
        <v>24</v>
      </c>
      <c r="M20" s="12" t="n">
        <f aca="false">IF(H20="Closed Won",1,0)</f>
        <v>0</v>
      </c>
    </row>
    <row r="21" customFormat="false" ht="15" hidden="false" customHeight="false" outlineLevel="0" collapsed="false">
      <c r="A21" s="0" t="str">
        <f aca="false">CRM_Raw!A21</f>
        <v>D-10017</v>
      </c>
      <c r="B21" s="0" t="str">
        <f aca="false">CRM_Raw!B21</f>
        <v>2025-03-22</v>
      </c>
      <c r="C21" s="0" t="str">
        <f aca="false">CRM_Raw!C21</f>
        <v>2025-04-08</v>
      </c>
      <c r="D21" s="0" t="str">
        <f aca="false">IF(CRM_Raw!D21="DACH","DACH",IF(ISNUMBER(SEARCH("uk",CRM_Raw!D21)),"UK &amp; Ireland",PROPER(CRM_Raw!D21)))</f>
        <v>North America</v>
      </c>
      <c r="E21" s="0" t="str">
        <f aca="false">CRM_Raw!E21</f>
        <v>Cordless Vacuums</v>
      </c>
      <c r="F21" s="0" t="str">
        <f aca="false">CRM_Raw!F21</f>
        <v>Web-shop Organic</v>
      </c>
      <c r="G21" s="0" t="str">
        <f aca="false">IF(TRIM(CRM_Raw!G21)="","Unassigned",CRM_Raw!G21)</f>
        <v>S. Andersson</v>
      </c>
      <c r="H21" s="0" t="str">
        <f aca="false">CRM_Raw!H21</f>
        <v>Closed Won</v>
      </c>
      <c r="I21" s="10" t="n">
        <f aca="false">CRM_Raw!I21</f>
        <v>388.45</v>
      </c>
      <c r="J21" s="11" t="n">
        <f aca="false">CRM_Raw!J21</f>
        <v>0</v>
      </c>
      <c r="K21" s="10" t="n">
        <f aca="false">I21*(1-J21)</f>
        <v>388.45</v>
      </c>
      <c r="L21" s="12" t="n">
        <f aca="false">CRM_Raw!K21</f>
        <v>17</v>
      </c>
      <c r="M21" s="12" t="n">
        <f aca="false">IF(H21="Closed Won",1,0)</f>
        <v>1</v>
      </c>
    </row>
    <row r="22" customFormat="false" ht="15" hidden="false" customHeight="false" outlineLevel="0" collapsed="false">
      <c r="A22" s="0" t="str">
        <f aca="false">CRM_Raw!A22</f>
        <v>D-10018</v>
      </c>
      <c r="B22" s="0" t="str">
        <f aca="false">CRM_Raw!B22</f>
        <v>2025-09-29</v>
      </c>
      <c r="C22" s="0" t="str">
        <f aca="false">CRM_Raw!C22</f>
        <v>2025-10-20</v>
      </c>
      <c r="D22" s="0" t="str">
        <f aca="false">IF(CRM_Raw!D22="DACH","DACH",IF(ISNUMBER(SEARCH("uk",CRM_Raw!D22)),"UK &amp; Ireland",PROPER(CRM_Raw!D22)))</f>
        <v>Southern Europe</v>
      </c>
      <c r="E22" s="0" t="str">
        <f aca="false">CRM_Raw!E22</f>
        <v>Dishwashers</v>
      </c>
      <c r="F22" s="0" t="str">
        <f aca="false">CRM_Raw!F22</f>
        <v>Retail Referral</v>
      </c>
      <c r="G22" s="0" t="str">
        <f aca="false">IF(TRIM(CRM_Raw!G22)="","Unassigned",CRM_Raw!G22)</f>
        <v>M. Hoffmann</v>
      </c>
      <c r="H22" s="0" t="str">
        <f aca="false">CRM_Raw!H22</f>
        <v>Closed Lost</v>
      </c>
      <c r="I22" s="10" t="n">
        <f aca="false">CRM_Raw!I22</f>
        <v>741.15</v>
      </c>
      <c r="J22" s="11" t="n">
        <f aca="false">CRM_Raw!J22</f>
        <v>0.1</v>
      </c>
      <c r="K22" s="10" t="n">
        <f aca="false">I22*(1-J22)</f>
        <v>667.035</v>
      </c>
      <c r="L22" s="12" t="n">
        <f aca="false">CRM_Raw!K22</f>
        <v>21</v>
      </c>
      <c r="M22" s="12" t="n">
        <f aca="false">IF(H22="Closed Won",1,0)</f>
        <v>0</v>
      </c>
    </row>
    <row r="23" customFormat="false" ht="15" hidden="false" customHeight="false" outlineLevel="0" collapsed="false">
      <c r="A23" s="0" t="str">
        <f aca="false">CRM_Raw!A23</f>
        <v>D-10019</v>
      </c>
      <c r="B23" s="0" t="str">
        <f aca="false">CRM_Raw!B23</f>
        <v>2026-02-13</v>
      </c>
      <c r="C23" s="0" t="n">
        <f aca="false">CRM_Raw!C23</f>
        <v>0</v>
      </c>
      <c r="D23" s="0" t="str">
        <f aca="false">IF(CRM_Raw!D23="DACH","DACH",IF(ISNUMBER(SEARCH("uk",CRM_Raw!D23)),"UK &amp; Ireland",PROPER(CRM_Raw!D23)))</f>
        <v>North America</v>
      </c>
      <c r="E23" s="0" t="str">
        <f aca="false">CRM_Raw!E23</f>
        <v>Small Kitchen Appliances</v>
      </c>
      <c r="F23" s="0" t="str">
        <f aca="false">CRM_Raw!F23</f>
        <v>Affiliate Partner</v>
      </c>
      <c r="G23" s="0" t="str">
        <f aca="false">IF(TRIM(CRM_Raw!G23)="","Unassigned",CRM_Raw!G23)</f>
        <v>J. Murphy</v>
      </c>
      <c r="H23" s="0" t="str">
        <f aca="false">CRM_Raw!H23</f>
        <v>Qualified</v>
      </c>
      <c r="I23" s="10" t="n">
        <f aca="false">CRM_Raw!I23</f>
        <v>257.86</v>
      </c>
      <c r="J23" s="11" t="n">
        <f aca="false">CRM_Raw!J23</f>
        <v>0.1</v>
      </c>
      <c r="K23" s="10" t="n">
        <f aca="false">I23*(1-J23)</f>
        <v>232.074</v>
      </c>
      <c r="L23" s="12" t="n">
        <f aca="false">CRM_Raw!K23</f>
        <v>0</v>
      </c>
      <c r="M23" s="12" t="n">
        <f aca="false">IF(H23="Closed Won",1,0)</f>
        <v>0</v>
      </c>
    </row>
    <row r="24" customFormat="false" ht="15" hidden="false" customHeight="false" outlineLevel="0" collapsed="false">
      <c r="A24" s="0" t="str">
        <f aca="false">CRM_Raw!A24</f>
        <v>D-10020</v>
      </c>
      <c r="B24" s="0" t="str">
        <f aca="false">CRM_Raw!B24</f>
        <v>2025-12-13</v>
      </c>
      <c r="C24" s="0" t="str">
        <f aca="false">CRM_Raw!C24</f>
        <v>2025-12-22</v>
      </c>
      <c r="D24" s="0" t="str">
        <f aca="false">IF(CRM_Raw!D24="DACH","DACH",IF(ISNUMBER(SEARCH("uk",CRM_Raw!D24)),"UK &amp; Ireland",PROPER(CRM_Raw!D24)))</f>
        <v>Benelux</v>
      </c>
      <c r="E24" s="0" t="str">
        <f aca="false">CRM_Raw!E24</f>
        <v>Smart Ovens</v>
      </c>
      <c r="F24" s="0" t="str">
        <f aca="false">CRM_Raw!F24</f>
        <v>Web-shop Organic</v>
      </c>
      <c r="G24" s="0" t="str">
        <f aca="false">IF(TRIM(CRM_Raw!G24)="","Unassigned",CRM_Raw!G24)</f>
        <v>L. Dubois</v>
      </c>
      <c r="H24" s="0" t="str">
        <f aca="false">CRM_Raw!H24</f>
        <v>Closed Won</v>
      </c>
      <c r="I24" s="10" t="n">
        <f aca="false">CRM_Raw!I24</f>
        <v>765.64</v>
      </c>
      <c r="J24" s="11" t="n">
        <f aca="false">CRM_Raw!J24</f>
        <v>0</v>
      </c>
      <c r="K24" s="10" t="n">
        <f aca="false">I24*(1-J24)</f>
        <v>765.64</v>
      </c>
      <c r="L24" s="12" t="n">
        <f aca="false">CRM_Raw!K24</f>
        <v>9</v>
      </c>
      <c r="M24" s="12" t="n">
        <f aca="false">IF(H24="Closed Won",1,0)</f>
        <v>1</v>
      </c>
    </row>
    <row r="25" customFormat="false" ht="15" hidden="false" customHeight="false" outlineLevel="0" collapsed="false">
      <c r="A25" s="0" t="str">
        <f aca="false">CRM_Raw!A25</f>
        <v>D-10021</v>
      </c>
      <c r="B25" s="0" t="str">
        <f aca="false">CRM_Raw!B25</f>
        <v>2025-09-01</v>
      </c>
      <c r="C25" s="0" t="str">
        <f aca="false">CRM_Raw!C25</f>
        <v>2025-09-18</v>
      </c>
      <c r="D25" s="0" t="str">
        <f aca="false">IF(CRM_Raw!D25="DACH","DACH",IF(ISNUMBER(SEARCH("uk",CRM_Raw!D25)),"UK &amp; Ireland",PROPER(CRM_Raw!D25)))</f>
        <v>DACH</v>
      </c>
      <c r="E25" s="0" t="str">
        <f aca="false">CRM_Raw!E25</f>
        <v>Smart Ovens</v>
      </c>
      <c r="F25" s="0" t="str">
        <f aca="false">CRM_Raw!F25</f>
        <v>Retail Referral</v>
      </c>
      <c r="G25" s="0" t="str">
        <f aca="false">IF(TRIM(CRM_Raw!G25)="","Unassigned",CRM_Raw!G25)</f>
        <v>L. Dubois</v>
      </c>
      <c r="H25" s="0" t="str">
        <f aca="false">CRM_Raw!H25</f>
        <v>Closed Won</v>
      </c>
      <c r="I25" s="10" t="n">
        <f aca="false">CRM_Raw!I25</f>
        <v>2593.56</v>
      </c>
      <c r="J25" s="11" t="n">
        <f aca="false">CRM_Raw!J25</f>
        <v>0</v>
      </c>
      <c r="K25" s="10" t="n">
        <f aca="false">I25*(1-J25)</f>
        <v>2593.56</v>
      </c>
      <c r="L25" s="12" t="n">
        <f aca="false">CRM_Raw!K25</f>
        <v>17</v>
      </c>
      <c r="M25" s="12" t="n">
        <f aca="false">IF(H25="Closed Won",1,0)</f>
        <v>1</v>
      </c>
    </row>
    <row r="26" customFormat="false" ht="15" hidden="false" customHeight="false" outlineLevel="0" collapsed="false">
      <c r="A26" s="0" t="str">
        <f aca="false">CRM_Raw!A26</f>
        <v>D-10022</v>
      </c>
      <c r="B26" s="0" t="str">
        <f aca="false">CRM_Raw!B26</f>
        <v>2026-04-30</v>
      </c>
      <c r="C26" s="0" t="n">
        <f aca="false">CRM_Raw!C26</f>
        <v>0</v>
      </c>
      <c r="D26" s="0" t="str">
        <f aca="false">IF(CRM_Raw!D26="DACH","DACH",IF(ISNUMBER(SEARCH("uk",CRM_Raw!D26)),"UK &amp; Ireland",PROPER(CRM_Raw!D26)))</f>
        <v>Southern Europe</v>
      </c>
      <c r="E26" s="0" t="str">
        <f aca="false">CRM_Raw!E26</f>
        <v>Washing Machines</v>
      </c>
      <c r="F26" s="0" t="str">
        <f aca="false">CRM_Raw!F26</f>
        <v>Social Media Ads</v>
      </c>
      <c r="G26" s="0" t="str">
        <f aca="false">IF(TRIM(CRM_Raw!G26)="","Unassigned",CRM_Raw!G26)</f>
        <v>S. Andersson</v>
      </c>
      <c r="H26" s="0" t="str">
        <f aca="false">CRM_Raw!H26</f>
        <v>Proposal Sent</v>
      </c>
      <c r="I26" s="10" t="n">
        <f aca="false">CRM_Raw!I26</f>
        <v>624.76</v>
      </c>
      <c r="J26" s="11" t="n">
        <f aca="false">CRM_Raw!J26</f>
        <v>0.15</v>
      </c>
      <c r="K26" s="10" t="n">
        <f aca="false">I26*(1-J26)</f>
        <v>531.046</v>
      </c>
      <c r="L26" s="12" t="n">
        <f aca="false">CRM_Raw!K26</f>
        <v>0</v>
      </c>
      <c r="M26" s="12" t="n">
        <f aca="false">IF(H26="Closed Won",1,0)</f>
        <v>0</v>
      </c>
    </row>
    <row r="27" customFormat="false" ht="15" hidden="false" customHeight="false" outlineLevel="0" collapsed="false">
      <c r="A27" s="0" t="str">
        <f aca="false">CRM_Raw!A27</f>
        <v>D-10023</v>
      </c>
      <c r="B27" s="0" t="str">
        <f aca="false">CRM_Raw!B27</f>
        <v>2025-02-25</v>
      </c>
      <c r="C27" s="0" t="n">
        <f aca="false">CRM_Raw!C27</f>
        <v>0</v>
      </c>
      <c r="D27" s="0" t="str">
        <f aca="false">IF(CRM_Raw!D27="DACH","DACH",IF(ISNUMBER(SEARCH("uk",CRM_Raw!D27)),"UK &amp; Ireland",PROPER(CRM_Raw!D27)))</f>
        <v>Benelux</v>
      </c>
      <c r="E27" s="0" t="str">
        <f aca="false">CRM_Raw!E27</f>
        <v>Cordless Vacuums</v>
      </c>
      <c r="F27" s="0" t="str">
        <f aca="false">CRM_Raw!F27</f>
        <v>Paid Search</v>
      </c>
      <c r="G27" s="0" t="str">
        <f aca="false">IF(TRIM(CRM_Raw!G27)="","Unassigned",CRM_Raw!G27)</f>
        <v>T. Wagner</v>
      </c>
      <c r="H27" s="0" t="str">
        <f aca="false">CRM_Raw!H27</f>
        <v>Negotiation</v>
      </c>
      <c r="I27" s="10" t="n">
        <f aca="false">CRM_Raw!I27</f>
        <v>407.94</v>
      </c>
      <c r="J27" s="11" t="n">
        <f aca="false">CRM_Raw!J27</f>
        <v>0</v>
      </c>
      <c r="K27" s="10" t="n">
        <f aca="false">I27*(1-J27)</f>
        <v>407.94</v>
      </c>
      <c r="L27" s="12" t="n">
        <f aca="false">CRM_Raw!K27</f>
        <v>0</v>
      </c>
      <c r="M27" s="12" t="n">
        <f aca="false">IF(H27="Closed Won",1,0)</f>
        <v>0</v>
      </c>
    </row>
    <row r="28" customFormat="false" ht="15" hidden="false" customHeight="false" outlineLevel="0" collapsed="false">
      <c r="A28" s="0" t="str">
        <f aca="false">CRM_Raw!A28</f>
        <v>D-10024</v>
      </c>
      <c r="B28" s="0" t="str">
        <f aca="false">CRM_Raw!B28</f>
        <v>2025-09-12</v>
      </c>
      <c r="C28" s="0" t="str">
        <f aca="false">CRM_Raw!C28</f>
        <v>2025-09-28</v>
      </c>
      <c r="D28" s="0" t="str">
        <f aca="false">IF(CRM_Raw!D28="DACH","DACH",IF(ISNUMBER(SEARCH("uk",CRM_Raw!D28)),"UK &amp; Ireland",PROPER(CRM_Raw!D28)))</f>
        <v>Benelux</v>
      </c>
      <c r="E28" s="0" t="str">
        <f aca="false">CRM_Raw!E28</f>
        <v>Small Kitchen Appliances</v>
      </c>
      <c r="F28" s="0" t="str">
        <f aca="false">CRM_Raw!F28</f>
        <v>Paid Search</v>
      </c>
      <c r="G28" s="0" t="str">
        <f aca="false">IF(TRIM(CRM_Raw!G28)="","Unassigned",CRM_Raw!G28)</f>
        <v>L. Dubois</v>
      </c>
      <c r="H28" s="0" t="str">
        <f aca="false">CRM_Raw!H28</f>
        <v>Closed Won</v>
      </c>
      <c r="I28" s="10" t="n">
        <f aca="false">CRM_Raw!I28</f>
        <v>230.19</v>
      </c>
      <c r="J28" s="11" t="n">
        <f aca="false">CRM_Raw!J28</f>
        <v>0</v>
      </c>
      <c r="K28" s="10" t="n">
        <f aca="false">I28*(1-J28)</f>
        <v>230.19</v>
      </c>
      <c r="L28" s="12" t="n">
        <f aca="false">CRM_Raw!K28</f>
        <v>16</v>
      </c>
      <c r="M28" s="12" t="n">
        <f aca="false">IF(H28="Closed Won",1,0)</f>
        <v>1</v>
      </c>
    </row>
    <row r="29" customFormat="false" ht="15" hidden="false" customHeight="false" outlineLevel="0" collapsed="false">
      <c r="A29" s="0" t="str">
        <f aca="false">CRM_Raw!A29</f>
        <v>D-10025</v>
      </c>
      <c r="B29" s="0" t="str">
        <f aca="false">CRM_Raw!B29</f>
        <v>2025-02-21</v>
      </c>
      <c r="C29" s="0" t="n">
        <f aca="false">CRM_Raw!C29</f>
        <v>0</v>
      </c>
      <c r="D29" s="0" t="str">
        <f aca="false">IF(CRM_Raw!D29="DACH","DACH",IF(ISNUMBER(SEARCH("uk",CRM_Raw!D29)),"UK &amp; Ireland",PROPER(CRM_Raw!D29)))</f>
        <v>North America</v>
      </c>
      <c r="E29" s="0" t="str">
        <f aca="false">CRM_Raw!E29</f>
        <v>Smart Ovens</v>
      </c>
      <c r="F29" s="0" t="str">
        <f aca="false">CRM_Raw!F29</f>
        <v>Paid Search</v>
      </c>
      <c r="G29" s="0" t="str">
        <f aca="false">IF(TRIM(CRM_Raw!G29)="","Unassigned",CRM_Raw!G29)</f>
        <v>L. Dubois</v>
      </c>
      <c r="H29" s="0" t="str">
        <f aca="false">CRM_Raw!H29</f>
        <v>Negotiation</v>
      </c>
      <c r="I29" s="10" t="n">
        <f aca="false">CRM_Raw!I29</f>
        <v>875.93</v>
      </c>
      <c r="J29" s="11" t="n">
        <f aca="false">CRM_Raw!J29</f>
        <v>0</v>
      </c>
      <c r="K29" s="10" t="n">
        <f aca="false">I29*(1-J29)</f>
        <v>875.93</v>
      </c>
      <c r="L29" s="12" t="n">
        <f aca="false">CRM_Raw!K29</f>
        <v>0</v>
      </c>
      <c r="M29" s="12" t="n">
        <f aca="false">IF(H29="Closed Won",1,0)</f>
        <v>0</v>
      </c>
    </row>
    <row r="30" customFormat="false" ht="15" hidden="false" customHeight="false" outlineLevel="0" collapsed="false">
      <c r="A30" s="0" t="str">
        <f aca="false">CRM_Raw!A30</f>
        <v>D-10026</v>
      </c>
      <c r="B30" s="0" t="str">
        <f aca="false">CRM_Raw!B30</f>
        <v>2026-05-08</v>
      </c>
      <c r="C30" s="0" t="str">
        <f aca="false">CRM_Raw!C30</f>
        <v>2026-05-27</v>
      </c>
      <c r="D30" s="0" t="str">
        <f aca="false">IF(CRM_Raw!D30="DACH","DACH",IF(ISNUMBER(SEARCH("uk",CRM_Raw!D30)),"UK &amp; Ireland",PROPER(CRM_Raw!D30)))</f>
        <v>North America</v>
      </c>
      <c r="E30" s="0" t="str">
        <f aca="false">CRM_Raw!E30</f>
        <v>Coffee Systems</v>
      </c>
      <c r="F30" s="0" t="str">
        <f aca="false">CRM_Raw!F30</f>
        <v>Web-shop Organic</v>
      </c>
      <c r="G30" s="0" t="str">
        <f aca="false">IF(TRIM(CRM_Raw!G30)="","Unassigned",CRM_Raw!G30)</f>
        <v>T. Wagner</v>
      </c>
      <c r="H30" s="0" t="str">
        <f aca="false">CRM_Raw!H30</f>
        <v>Closed Won</v>
      </c>
      <c r="I30" s="10" t="n">
        <f aca="false">CRM_Raw!I30</f>
        <v>517.29</v>
      </c>
      <c r="J30" s="11" t="n">
        <f aca="false">CRM_Raw!J30</f>
        <v>0</v>
      </c>
      <c r="K30" s="10" t="n">
        <f aca="false">I30*(1-J30)</f>
        <v>517.29</v>
      </c>
      <c r="L30" s="12" t="n">
        <f aca="false">CRM_Raw!K30</f>
        <v>19</v>
      </c>
      <c r="M30" s="12" t="n">
        <f aca="false">IF(H30="Closed Won",1,0)</f>
        <v>1</v>
      </c>
    </row>
    <row r="31" customFormat="false" ht="15" hidden="false" customHeight="false" outlineLevel="0" collapsed="false">
      <c r="A31" s="0" t="str">
        <f aca="false">CRM_Raw!A31</f>
        <v>D-10027</v>
      </c>
      <c r="B31" s="0" t="str">
        <f aca="false">CRM_Raw!B31</f>
        <v>2026-04-11</v>
      </c>
      <c r="C31" s="0" t="str">
        <f aca="false">CRM_Raw!C31</f>
        <v>2026-04-27</v>
      </c>
      <c r="D31" s="0" t="str">
        <f aca="false">IF(CRM_Raw!D31="DACH","DACH",IF(ISNUMBER(SEARCH("uk",CRM_Raw!D31)),"UK &amp; Ireland",PROPER(CRM_Raw!D31)))</f>
        <v>Benelux</v>
      </c>
      <c r="E31" s="0" t="str">
        <f aca="false">CRM_Raw!E31</f>
        <v>Smart Ovens</v>
      </c>
      <c r="F31" s="0" t="str">
        <f aca="false">CRM_Raw!F31</f>
        <v>Trade Show</v>
      </c>
      <c r="G31" s="0" t="str">
        <f aca="false">IF(TRIM(CRM_Raw!G31)="","Unassigned",CRM_Raw!G31)</f>
        <v>J. Murphy</v>
      </c>
      <c r="H31" s="0" t="str">
        <f aca="false">CRM_Raw!H31</f>
        <v>Closed Won</v>
      </c>
      <c r="I31" s="10" t="n">
        <f aca="false">CRM_Raw!I31</f>
        <v>1852.25</v>
      </c>
      <c r="J31" s="11" t="n">
        <f aca="false">CRM_Raw!J31</f>
        <v>0</v>
      </c>
      <c r="K31" s="10" t="n">
        <f aca="false">I31*(1-J31)</f>
        <v>1852.25</v>
      </c>
      <c r="L31" s="12" t="n">
        <f aca="false">CRM_Raw!K31</f>
        <v>16</v>
      </c>
      <c r="M31" s="12" t="n">
        <f aca="false">IF(H31="Closed Won",1,0)</f>
        <v>1</v>
      </c>
    </row>
    <row r="32" customFormat="false" ht="15" hidden="false" customHeight="false" outlineLevel="0" collapsed="false">
      <c r="A32" s="0" t="str">
        <f aca="false">CRM_Raw!A32</f>
        <v>D-10028</v>
      </c>
      <c r="B32" s="0" t="str">
        <f aca="false">CRM_Raw!B32</f>
        <v>2025-03-04</v>
      </c>
      <c r="C32" s="0" t="n">
        <f aca="false">CRM_Raw!C32</f>
        <v>0</v>
      </c>
      <c r="D32" s="0" t="str">
        <f aca="false">IF(CRM_Raw!D32="DACH","DACH",IF(ISNUMBER(SEARCH("uk",CRM_Raw!D32)),"UK &amp; Ireland",PROPER(CRM_Raw!D32)))</f>
        <v>UK &amp; Ireland</v>
      </c>
      <c r="E32" s="0" t="str">
        <f aca="false">CRM_Raw!E32</f>
        <v>Cordless Vacuums</v>
      </c>
      <c r="F32" s="0" t="str">
        <f aca="false">CRM_Raw!F32</f>
        <v>Web-shop Organic</v>
      </c>
      <c r="G32" s="0" t="str">
        <f aca="false">IF(TRIM(CRM_Raw!G32)="","Unassigned",CRM_Raw!G32)</f>
        <v>A. Becker</v>
      </c>
      <c r="H32" s="0" t="str">
        <f aca="false">CRM_Raw!H32</f>
        <v>Negotiation</v>
      </c>
      <c r="I32" s="10" t="n">
        <f aca="false">CRM_Raw!I32</f>
        <v>981.4</v>
      </c>
      <c r="J32" s="11" t="n">
        <f aca="false">CRM_Raw!J32</f>
        <v>0.05</v>
      </c>
      <c r="K32" s="10" t="n">
        <f aca="false">I32*(1-J32)</f>
        <v>932.33</v>
      </c>
      <c r="L32" s="12" t="n">
        <f aca="false">CRM_Raw!K32</f>
        <v>0</v>
      </c>
      <c r="M32" s="12" t="n">
        <f aca="false">IF(H32="Closed Won",1,0)</f>
        <v>0</v>
      </c>
    </row>
    <row r="33" customFormat="false" ht="15" hidden="false" customHeight="false" outlineLevel="0" collapsed="false">
      <c r="A33" s="0" t="str">
        <f aca="false">CRM_Raw!A33</f>
        <v>D-10029</v>
      </c>
      <c r="B33" s="0" t="str">
        <f aca="false">CRM_Raw!B33</f>
        <v>2025-07-10</v>
      </c>
      <c r="C33" s="0" t="str">
        <f aca="false">CRM_Raw!C33</f>
        <v>2025-07-17</v>
      </c>
      <c r="D33" s="0" t="str">
        <f aca="false">IF(CRM_Raw!D33="DACH","DACH",IF(ISNUMBER(SEARCH("uk",CRM_Raw!D33)),"UK &amp; Ireland",PROPER(CRM_Raw!D33)))</f>
        <v>Nordics</v>
      </c>
      <c r="E33" s="0" t="str">
        <f aca="false">CRM_Raw!E33</f>
        <v>Washing Machines</v>
      </c>
      <c r="F33" s="0" t="str">
        <f aca="false">CRM_Raw!F33</f>
        <v>Web-shop Organic</v>
      </c>
      <c r="G33" s="0" t="str">
        <f aca="false">IF(TRIM(CRM_Raw!G33)="","Unassigned",CRM_Raw!G33)</f>
        <v>L. Dubois</v>
      </c>
      <c r="H33" s="0" t="str">
        <f aca="false">CRM_Raw!H33</f>
        <v>Closed Won</v>
      </c>
      <c r="I33" s="10" t="n">
        <f aca="false">CRM_Raw!I33</f>
        <v>605.08</v>
      </c>
      <c r="J33" s="11" t="n">
        <f aca="false">CRM_Raw!J33</f>
        <v>0.05</v>
      </c>
      <c r="K33" s="10" t="n">
        <f aca="false">I33*(1-J33)</f>
        <v>574.826</v>
      </c>
      <c r="L33" s="12" t="n">
        <f aca="false">CRM_Raw!K33</f>
        <v>7</v>
      </c>
      <c r="M33" s="12" t="n">
        <f aca="false">IF(H33="Closed Won",1,0)</f>
        <v>1</v>
      </c>
    </row>
    <row r="34" customFormat="false" ht="15" hidden="false" customHeight="false" outlineLevel="0" collapsed="false">
      <c r="A34" s="0" t="str">
        <f aca="false">CRM_Raw!A34</f>
        <v>D-10030</v>
      </c>
      <c r="B34" s="0" t="str">
        <f aca="false">CRM_Raw!B34</f>
        <v>2025-03-25</v>
      </c>
      <c r="C34" s="0" t="str">
        <f aca="false">CRM_Raw!C34</f>
        <v>2025-04-05</v>
      </c>
      <c r="D34" s="0" t="str">
        <f aca="false">IF(CRM_Raw!D34="DACH","DACH",IF(ISNUMBER(SEARCH("uk",CRM_Raw!D34)),"UK &amp; Ireland",PROPER(CRM_Raw!D34)))</f>
        <v>DACH</v>
      </c>
      <c r="E34" s="0" t="str">
        <f aca="false">CRM_Raw!E34</f>
        <v>Washing Machines</v>
      </c>
      <c r="F34" s="0" t="str">
        <f aca="false">CRM_Raw!F34</f>
        <v>Web-shop Organic</v>
      </c>
      <c r="G34" s="0" t="str">
        <f aca="false">IF(TRIM(CRM_Raw!G34)="","Unassigned",CRM_Raw!G34)</f>
        <v>A. Becker</v>
      </c>
      <c r="H34" s="0" t="str">
        <f aca="false">CRM_Raw!H34</f>
        <v>Closed Lost</v>
      </c>
      <c r="I34" s="10" t="n">
        <f aca="false">CRM_Raw!I34</f>
        <v>744.42</v>
      </c>
      <c r="J34" s="11" t="n">
        <f aca="false">CRM_Raw!J34</f>
        <v>0.15</v>
      </c>
      <c r="K34" s="10" t="n">
        <f aca="false">I34*(1-J34)</f>
        <v>632.757</v>
      </c>
      <c r="L34" s="12" t="n">
        <f aca="false">CRM_Raw!K34</f>
        <v>11</v>
      </c>
      <c r="M34" s="12" t="n">
        <f aca="false">IF(H34="Closed Won",1,0)</f>
        <v>0</v>
      </c>
    </row>
    <row r="35" customFormat="false" ht="15" hidden="false" customHeight="false" outlineLevel="0" collapsed="false">
      <c r="A35" s="0" t="str">
        <f aca="false">CRM_Raw!A35</f>
        <v>D-10031</v>
      </c>
      <c r="B35" s="0" t="str">
        <f aca="false">CRM_Raw!B35</f>
        <v>2025-05-15</v>
      </c>
      <c r="C35" s="0" t="n">
        <f aca="false">CRM_Raw!C35</f>
        <v>0</v>
      </c>
      <c r="D35" s="0" t="str">
        <f aca="false">IF(CRM_Raw!D35="DACH","DACH",IF(ISNUMBER(SEARCH("uk",CRM_Raw!D35)),"UK &amp; Ireland",PROPER(CRM_Raw!D35)))</f>
        <v>Southern Europe</v>
      </c>
      <c r="E35" s="0" t="str">
        <f aca="false">CRM_Raw!E35</f>
        <v>Cordless Vacuums</v>
      </c>
      <c r="F35" s="0" t="str">
        <f aca="false">CRM_Raw!F35</f>
        <v>Web-shop Organic</v>
      </c>
      <c r="G35" s="0" t="str">
        <f aca="false">IF(TRIM(CRM_Raw!G35)="","Unassigned",CRM_Raw!G35)</f>
        <v>K. Nilsson</v>
      </c>
      <c r="H35" s="0" t="str">
        <f aca="false">CRM_Raw!H35</f>
        <v>Negotiation</v>
      </c>
      <c r="I35" s="10" t="n">
        <f aca="false">CRM_Raw!I35</f>
        <v>348.3</v>
      </c>
      <c r="J35" s="11" t="n">
        <f aca="false">CRM_Raw!J35</f>
        <v>0.2</v>
      </c>
      <c r="K35" s="10" t="n">
        <f aca="false">I35*(1-J35)</f>
        <v>278.64</v>
      </c>
      <c r="L35" s="12" t="n">
        <f aca="false">CRM_Raw!K35</f>
        <v>0</v>
      </c>
      <c r="M35" s="12" t="n">
        <f aca="false">IF(H35="Closed Won",1,0)</f>
        <v>0</v>
      </c>
    </row>
    <row r="36" customFormat="false" ht="15" hidden="false" customHeight="false" outlineLevel="0" collapsed="false">
      <c r="A36" s="0" t="str">
        <f aca="false">CRM_Raw!A36</f>
        <v>D-10032</v>
      </c>
      <c r="B36" s="0" t="str">
        <f aca="false">CRM_Raw!B36</f>
        <v>2025-03-17</v>
      </c>
      <c r="C36" s="0" t="str">
        <f aca="false">CRM_Raw!C36</f>
        <v>2025-04-01</v>
      </c>
      <c r="D36" s="0" t="str">
        <f aca="false">IF(CRM_Raw!D36="DACH","DACH",IF(ISNUMBER(SEARCH("uk",CRM_Raw!D36)),"UK &amp; Ireland",PROPER(CRM_Raw!D36)))</f>
        <v>DACH</v>
      </c>
      <c r="E36" s="0" t="str">
        <f aca="false">CRM_Raw!E36</f>
        <v>Smart Ovens</v>
      </c>
      <c r="F36" s="0" t="str">
        <f aca="false">CRM_Raw!F36</f>
        <v>Social Media Ads</v>
      </c>
      <c r="G36" s="0" t="str">
        <f aca="false">IF(TRIM(CRM_Raw!G36)="","Unassigned",CRM_Raw!G36)</f>
        <v>L. Dubois</v>
      </c>
      <c r="H36" s="0" t="str">
        <f aca="false">CRM_Raw!H36</f>
        <v>Closed Lost</v>
      </c>
      <c r="I36" s="10" t="n">
        <f aca="false">CRM_Raw!I36</f>
        <v>868.75</v>
      </c>
      <c r="J36" s="11" t="n">
        <f aca="false">CRM_Raw!J36</f>
        <v>0</v>
      </c>
      <c r="K36" s="10" t="n">
        <f aca="false">I36*(1-J36)</f>
        <v>868.75</v>
      </c>
      <c r="L36" s="12" t="n">
        <f aca="false">CRM_Raw!K36</f>
        <v>15</v>
      </c>
      <c r="M36" s="12" t="n">
        <f aca="false">IF(H36="Closed Won",1,0)</f>
        <v>0</v>
      </c>
    </row>
    <row r="37" customFormat="false" ht="15" hidden="false" customHeight="false" outlineLevel="0" collapsed="false">
      <c r="A37" s="0" t="str">
        <f aca="false">CRM_Raw!A37</f>
        <v>D-10033</v>
      </c>
      <c r="B37" s="0" t="str">
        <f aca="false">CRM_Raw!B37</f>
        <v>2026-03-25</v>
      </c>
      <c r="C37" s="0" t="n">
        <f aca="false">CRM_Raw!C37</f>
        <v>0</v>
      </c>
      <c r="D37" s="0" t="str">
        <f aca="false">IF(CRM_Raw!D37="DACH","DACH",IF(ISNUMBER(SEARCH("uk",CRM_Raw!D37)),"UK &amp; Ireland",PROPER(CRM_Raw!D37)))</f>
        <v>DACH</v>
      </c>
      <c r="E37" s="0" t="str">
        <f aca="false">CRM_Raw!E37</f>
        <v>Coffee Systems</v>
      </c>
      <c r="F37" s="0" t="str">
        <f aca="false">CRM_Raw!F37</f>
        <v>Paid Search</v>
      </c>
      <c r="G37" s="0" t="str">
        <f aca="false">IF(TRIM(CRM_Raw!G37)="","Unassigned",CRM_Raw!G37)</f>
        <v>M. Hoffmann</v>
      </c>
      <c r="H37" s="0" t="str">
        <f aca="false">CRM_Raw!H37</f>
        <v>Proposal Sent</v>
      </c>
      <c r="I37" s="10" t="n">
        <f aca="false">CRM_Raw!I37</f>
        <v>1666.46</v>
      </c>
      <c r="J37" s="11" t="n">
        <f aca="false">CRM_Raw!J37</f>
        <v>0.2</v>
      </c>
      <c r="K37" s="10" t="n">
        <f aca="false">I37*(1-J37)</f>
        <v>1333.168</v>
      </c>
      <c r="L37" s="12" t="n">
        <f aca="false">CRM_Raw!K37</f>
        <v>0</v>
      </c>
      <c r="M37" s="12" t="n">
        <f aca="false">IF(H37="Closed Won",1,0)</f>
        <v>0</v>
      </c>
    </row>
    <row r="38" customFormat="false" ht="15" hidden="false" customHeight="false" outlineLevel="0" collapsed="false">
      <c r="A38" s="0" t="str">
        <f aca="false">CRM_Raw!A38</f>
        <v>D-10034</v>
      </c>
      <c r="B38" s="0" t="str">
        <f aca="false">CRM_Raw!B38</f>
        <v>2025-04-17</v>
      </c>
      <c r="C38" s="0" t="n">
        <f aca="false">CRM_Raw!C38</f>
        <v>0</v>
      </c>
      <c r="D38" s="0" t="str">
        <f aca="false">IF(CRM_Raw!D38="DACH","DACH",IF(ISNUMBER(SEARCH("uk",CRM_Raw!D38)),"UK &amp; Ireland",PROPER(CRM_Raw!D38)))</f>
        <v>Southern Europe</v>
      </c>
      <c r="E38" s="0" t="str">
        <f aca="false">CRM_Raw!E38</f>
        <v>Washing Machines</v>
      </c>
      <c r="F38" s="0" t="str">
        <f aca="false">CRM_Raw!F38</f>
        <v>Web-shop Organic</v>
      </c>
      <c r="G38" s="0" t="str">
        <f aca="false">IF(TRIM(CRM_Raw!G38)="","Unassigned",CRM_Raw!G38)</f>
        <v>J. Murphy</v>
      </c>
      <c r="H38" s="0" t="str">
        <f aca="false">CRM_Raw!H38</f>
        <v>Qualified</v>
      </c>
      <c r="I38" s="10" t="n">
        <f aca="false">CRM_Raw!I38</f>
        <v>615.74</v>
      </c>
      <c r="J38" s="11" t="n">
        <f aca="false">CRM_Raw!J38</f>
        <v>0</v>
      </c>
      <c r="K38" s="10" t="n">
        <f aca="false">I38*(1-J38)</f>
        <v>615.74</v>
      </c>
      <c r="L38" s="12" t="n">
        <f aca="false">CRM_Raw!K38</f>
        <v>0</v>
      </c>
      <c r="M38" s="12" t="n">
        <f aca="false">IF(H38="Closed Won",1,0)</f>
        <v>0</v>
      </c>
    </row>
    <row r="39" customFormat="false" ht="15" hidden="false" customHeight="false" outlineLevel="0" collapsed="false">
      <c r="A39" s="0" t="str">
        <f aca="false">CRM_Raw!A39</f>
        <v>D-10035</v>
      </c>
      <c r="B39" s="0" t="str">
        <f aca="false">CRM_Raw!B39</f>
        <v>2025-08-04</v>
      </c>
      <c r="C39" s="0" t="n">
        <f aca="false">CRM_Raw!C39</f>
        <v>0</v>
      </c>
      <c r="D39" s="0" t="str">
        <f aca="false">IF(CRM_Raw!D39="DACH","DACH",IF(ISNUMBER(SEARCH("uk",CRM_Raw!D39)),"UK &amp; Ireland",PROPER(CRM_Raw!D39)))</f>
        <v>Southern Europe</v>
      </c>
      <c r="E39" s="0" t="str">
        <f aca="false">CRM_Raw!E39</f>
        <v>Washing Machines</v>
      </c>
      <c r="F39" s="0" t="str">
        <f aca="false">CRM_Raw!F39</f>
        <v>Web-shop Organic</v>
      </c>
      <c r="G39" s="0" t="str">
        <f aca="false">IF(TRIM(CRM_Raw!G39)="","Unassigned",CRM_Raw!G39)</f>
        <v>J. Murphy</v>
      </c>
      <c r="H39" s="0" t="str">
        <f aca="false">CRM_Raw!H39</f>
        <v>Negotiation</v>
      </c>
      <c r="I39" s="10" t="n">
        <f aca="false">CRM_Raw!I39</f>
        <v>626.88</v>
      </c>
      <c r="J39" s="11" t="n">
        <f aca="false">CRM_Raw!J39</f>
        <v>0.1</v>
      </c>
      <c r="K39" s="10" t="n">
        <f aca="false">I39*(1-J39)</f>
        <v>564.192</v>
      </c>
      <c r="L39" s="12" t="n">
        <f aca="false">CRM_Raw!K39</f>
        <v>0</v>
      </c>
      <c r="M39" s="12" t="n">
        <f aca="false">IF(H39="Closed Won",1,0)</f>
        <v>0</v>
      </c>
    </row>
    <row r="40" customFormat="false" ht="15" hidden="false" customHeight="false" outlineLevel="0" collapsed="false">
      <c r="A40" s="0" t="str">
        <f aca="false">CRM_Raw!A40</f>
        <v>D-10036</v>
      </c>
      <c r="B40" s="0" t="str">
        <f aca="false">CRM_Raw!B40</f>
        <v>2025-04-05</v>
      </c>
      <c r="C40" s="0" t="n">
        <f aca="false">CRM_Raw!C40</f>
        <v>0</v>
      </c>
      <c r="D40" s="0" t="str">
        <f aca="false">IF(CRM_Raw!D40="DACH","DACH",IF(ISNUMBER(SEARCH("uk",CRM_Raw!D40)),"UK &amp; Ireland",PROPER(CRM_Raw!D40)))</f>
        <v>Benelux</v>
      </c>
      <c r="E40" s="0" t="str">
        <f aca="false">CRM_Raw!E40</f>
        <v>Cordless Vacuums</v>
      </c>
      <c r="F40" s="0" t="str">
        <f aca="false">CRM_Raw!F40</f>
        <v>Retail Referral</v>
      </c>
      <c r="G40" s="0" t="str">
        <f aca="false">IF(TRIM(CRM_Raw!G40)="","Unassigned",CRM_Raw!G40)</f>
        <v>A. Becker</v>
      </c>
      <c r="H40" s="0" t="str">
        <f aca="false">CRM_Raw!H40</f>
        <v>Negotiation</v>
      </c>
      <c r="I40" s="10" t="n">
        <f aca="false">CRM_Raw!I40</f>
        <v>394.44</v>
      </c>
      <c r="J40" s="11" t="n">
        <f aca="false">CRM_Raw!J40</f>
        <v>0</v>
      </c>
      <c r="K40" s="10" t="n">
        <f aca="false">I40*(1-J40)</f>
        <v>394.44</v>
      </c>
      <c r="L40" s="12" t="n">
        <f aca="false">CRM_Raw!K40</f>
        <v>0</v>
      </c>
      <c r="M40" s="12" t="n">
        <f aca="false">IF(H40="Closed Won",1,0)</f>
        <v>0</v>
      </c>
    </row>
    <row r="41" customFormat="false" ht="15" hidden="false" customHeight="false" outlineLevel="0" collapsed="false">
      <c r="A41" s="0" t="str">
        <f aca="false">CRM_Raw!A41</f>
        <v>D-10037</v>
      </c>
      <c r="B41" s="0" t="str">
        <f aca="false">CRM_Raw!B41</f>
        <v>2025-06-15</v>
      </c>
      <c r="C41" s="0" t="n">
        <f aca="false">CRM_Raw!C41</f>
        <v>0</v>
      </c>
      <c r="D41" s="0" t="str">
        <f aca="false">IF(CRM_Raw!D41="DACH","DACH",IF(ISNUMBER(SEARCH("uk",CRM_Raw!D41)),"UK &amp; Ireland",PROPER(CRM_Raw!D41)))</f>
        <v>France</v>
      </c>
      <c r="E41" s="0" t="str">
        <f aca="false">CRM_Raw!E41</f>
        <v>Coffee Systems</v>
      </c>
      <c r="F41" s="0" t="str">
        <f aca="false">CRM_Raw!F41</f>
        <v>Affiliate Partner</v>
      </c>
      <c r="G41" s="0" t="str">
        <f aca="false">IF(TRIM(CRM_Raw!G41)="","Unassigned",CRM_Raw!G41)</f>
        <v>J. Murphy</v>
      </c>
      <c r="H41" s="0" t="str">
        <f aca="false">CRM_Raw!H41</f>
        <v>Negotiation</v>
      </c>
      <c r="I41" s="10" t="n">
        <f aca="false">CRM_Raw!I41</f>
        <v>1072.62</v>
      </c>
      <c r="J41" s="11" t="n">
        <f aca="false">CRM_Raw!J41</f>
        <v>0.1</v>
      </c>
      <c r="K41" s="10" t="n">
        <f aca="false">I41*(1-J41)</f>
        <v>965.358</v>
      </c>
      <c r="L41" s="12" t="n">
        <f aca="false">CRM_Raw!K41</f>
        <v>0</v>
      </c>
      <c r="M41" s="12" t="n">
        <f aca="false">IF(H41="Closed Won",1,0)</f>
        <v>0</v>
      </c>
    </row>
    <row r="42" customFormat="false" ht="15" hidden="false" customHeight="false" outlineLevel="0" collapsed="false">
      <c r="A42" s="0" t="str">
        <f aca="false">CRM_Raw!A42</f>
        <v>D-10038</v>
      </c>
      <c r="B42" s="0" t="str">
        <f aca="false">CRM_Raw!B42</f>
        <v>2025-02-06</v>
      </c>
      <c r="C42" s="0" t="n">
        <f aca="false">CRM_Raw!C42</f>
        <v>0</v>
      </c>
      <c r="D42" s="0" t="str">
        <f aca="false">IF(CRM_Raw!D42="DACH","DACH",IF(ISNUMBER(SEARCH("uk",CRM_Raw!D42)),"UK &amp; Ireland",PROPER(CRM_Raw!D42)))</f>
        <v>DACH</v>
      </c>
      <c r="E42" s="0" t="str">
        <f aca="false">CRM_Raw!E42</f>
        <v>Smart Ovens</v>
      </c>
      <c r="F42" s="0" t="str">
        <f aca="false">CRM_Raw!F42</f>
        <v>Web-shop Organic</v>
      </c>
      <c r="G42" s="0" t="str">
        <f aca="false">IF(TRIM(CRM_Raw!G42)="","Unassigned",CRM_Raw!G42)</f>
        <v>M. Hoffmann</v>
      </c>
      <c r="H42" s="0" t="str">
        <f aca="false">CRM_Raw!H42</f>
        <v>Proposal Sent</v>
      </c>
      <c r="I42" s="10" t="n">
        <f aca="false">CRM_Raw!I42</f>
        <v>884.6</v>
      </c>
      <c r="J42" s="11" t="n">
        <f aca="false">CRM_Raw!J42</f>
        <v>0.05</v>
      </c>
      <c r="K42" s="10" t="n">
        <f aca="false">I42*(1-J42)</f>
        <v>840.37</v>
      </c>
      <c r="L42" s="12" t="n">
        <f aca="false">CRM_Raw!K42</f>
        <v>0</v>
      </c>
      <c r="M42" s="12" t="n">
        <f aca="false">IF(H42="Closed Won",1,0)</f>
        <v>0</v>
      </c>
    </row>
    <row r="43" customFormat="false" ht="15" hidden="false" customHeight="false" outlineLevel="0" collapsed="false">
      <c r="A43" s="0" t="str">
        <f aca="false">CRM_Raw!A43</f>
        <v>D-10039</v>
      </c>
      <c r="B43" s="0" t="str">
        <f aca="false">CRM_Raw!B43</f>
        <v>2026-01-02</v>
      </c>
      <c r="C43" s="0" t="str">
        <f aca="false">CRM_Raw!C43</f>
        <v>2026-01-23</v>
      </c>
      <c r="D43" s="0" t="str">
        <f aca="false">IF(CRM_Raw!D43="DACH","DACH",IF(ISNUMBER(SEARCH("uk",CRM_Raw!D43)),"UK &amp; Ireland",PROPER(CRM_Raw!D43)))</f>
        <v>UK &amp; Ireland</v>
      </c>
      <c r="E43" s="0" t="str">
        <f aca="false">CRM_Raw!E43</f>
        <v>Smart Ovens</v>
      </c>
      <c r="F43" s="0" t="str">
        <f aca="false">CRM_Raw!F43</f>
        <v>Paid Search</v>
      </c>
      <c r="G43" s="0" t="str">
        <f aca="false">IF(TRIM(CRM_Raw!G43)="","Unassigned",CRM_Raw!G43)</f>
        <v>A. Becker</v>
      </c>
      <c r="H43" s="0" t="str">
        <f aca="false">CRM_Raw!H43</f>
        <v>Closed Won</v>
      </c>
      <c r="I43" s="10" t="n">
        <f aca="false">CRM_Raw!I43</f>
        <v>1850.91</v>
      </c>
      <c r="J43" s="11" t="n">
        <f aca="false">CRM_Raw!J43</f>
        <v>0.1</v>
      </c>
      <c r="K43" s="10" t="n">
        <f aca="false">I43*(1-J43)</f>
        <v>1665.819</v>
      </c>
      <c r="L43" s="12" t="n">
        <f aca="false">CRM_Raw!K43</f>
        <v>21</v>
      </c>
      <c r="M43" s="12" t="n">
        <f aca="false">IF(H43="Closed Won",1,0)</f>
        <v>1</v>
      </c>
    </row>
    <row r="44" customFormat="false" ht="15" hidden="false" customHeight="false" outlineLevel="0" collapsed="false">
      <c r="A44" s="0" t="str">
        <f aca="false">CRM_Raw!A44</f>
        <v>D-10040</v>
      </c>
      <c r="B44" s="0" t="str">
        <f aca="false">CRM_Raw!B44</f>
        <v>2025-06-16</v>
      </c>
      <c r="C44" s="0" t="n">
        <f aca="false">CRM_Raw!C44</f>
        <v>0</v>
      </c>
      <c r="D44" s="0" t="str">
        <f aca="false">IF(CRM_Raw!D44="DACH","DACH",IF(ISNUMBER(SEARCH("uk",CRM_Raw!D44)),"UK &amp; Ireland",PROPER(CRM_Raw!D44)))</f>
        <v>Southern Europe</v>
      </c>
      <c r="E44" s="0" t="str">
        <f aca="false">CRM_Raw!E44</f>
        <v>Coffee Systems</v>
      </c>
      <c r="F44" s="0" t="str">
        <f aca="false">CRM_Raw!F44</f>
        <v>Retail Referral</v>
      </c>
      <c r="G44" s="0" t="str">
        <f aca="false">IF(TRIM(CRM_Raw!G44)="","Unassigned",CRM_Raw!G44)</f>
        <v>S. Andersson</v>
      </c>
      <c r="H44" s="0" t="str">
        <f aca="false">CRM_Raw!H44</f>
        <v>Qualified</v>
      </c>
      <c r="I44" s="10" t="n">
        <f aca="false">CRM_Raw!I44</f>
        <v>1138.05</v>
      </c>
      <c r="J44" s="11" t="n">
        <f aca="false">CRM_Raw!J44</f>
        <v>0</v>
      </c>
      <c r="K44" s="10" t="n">
        <f aca="false">I44*(1-J44)</f>
        <v>1138.05</v>
      </c>
      <c r="L44" s="12" t="n">
        <f aca="false">CRM_Raw!K44</f>
        <v>0</v>
      </c>
      <c r="M44" s="12" t="n">
        <f aca="false">IF(H44="Closed Won",1,0)</f>
        <v>0</v>
      </c>
    </row>
    <row r="45" customFormat="false" ht="15" hidden="false" customHeight="false" outlineLevel="0" collapsed="false">
      <c r="A45" s="0" t="str">
        <f aca="false">CRM_Raw!A45</f>
        <v>D-10041</v>
      </c>
      <c r="B45" s="0" t="str">
        <f aca="false">CRM_Raw!B45</f>
        <v>2025-09-12</v>
      </c>
      <c r="C45" s="0" t="str">
        <f aca="false">CRM_Raw!C45</f>
        <v>2025-10-07</v>
      </c>
      <c r="D45" s="0" t="str">
        <f aca="false">IF(CRM_Raw!D45="DACH","DACH",IF(ISNUMBER(SEARCH("uk",CRM_Raw!D45)),"UK &amp; Ireland",PROPER(CRM_Raw!D45)))</f>
        <v>UK &amp; Ireland</v>
      </c>
      <c r="E45" s="0" t="str">
        <f aca="false">CRM_Raw!E45</f>
        <v>Small Kitchen Appliances</v>
      </c>
      <c r="F45" s="0" t="str">
        <f aca="false">CRM_Raw!F45</f>
        <v>Retail Referral</v>
      </c>
      <c r="G45" s="0" t="str">
        <f aca="false">IF(TRIM(CRM_Raw!G45)="","Unassigned",CRM_Raw!G45)</f>
        <v>K. Nilsson</v>
      </c>
      <c r="H45" s="0" t="str">
        <f aca="false">CRM_Raw!H45</f>
        <v>Closed Won</v>
      </c>
      <c r="I45" s="10" t="n">
        <f aca="false">CRM_Raw!I45</f>
        <v>133.01</v>
      </c>
      <c r="J45" s="11" t="n">
        <f aca="false">CRM_Raw!J45</f>
        <v>0.05</v>
      </c>
      <c r="K45" s="10" t="n">
        <f aca="false">I45*(1-J45)</f>
        <v>126.3595</v>
      </c>
      <c r="L45" s="12" t="n">
        <f aca="false">CRM_Raw!K45</f>
        <v>25</v>
      </c>
      <c r="M45" s="12" t="n">
        <f aca="false">IF(H45="Closed Won",1,0)</f>
        <v>1</v>
      </c>
    </row>
    <row r="46" customFormat="false" ht="15" hidden="false" customHeight="false" outlineLevel="0" collapsed="false">
      <c r="A46" s="0" t="str">
        <f aca="false">CRM_Raw!A46</f>
        <v>D-10042</v>
      </c>
      <c r="B46" s="0" t="str">
        <f aca="false">CRM_Raw!B46</f>
        <v>2025-07-24</v>
      </c>
      <c r="C46" s="0" t="n">
        <f aca="false">CRM_Raw!C46</f>
        <v>0</v>
      </c>
      <c r="D46" s="0" t="str">
        <f aca="false">IF(CRM_Raw!D46="DACH","DACH",IF(ISNUMBER(SEARCH("uk",CRM_Raw!D46)),"UK &amp; Ireland",PROPER(CRM_Raw!D46)))</f>
        <v>North America</v>
      </c>
      <c r="E46" s="0" t="str">
        <f aca="false">CRM_Raw!E46</f>
        <v>Smart Ovens</v>
      </c>
      <c r="F46" s="0" t="str">
        <f aca="false">CRM_Raw!F46</f>
        <v>Retail Referral</v>
      </c>
      <c r="G46" s="0" t="str">
        <f aca="false">IF(TRIM(CRM_Raw!G46)="","Unassigned",CRM_Raw!G46)</f>
        <v>S. Andersson</v>
      </c>
      <c r="H46" s="0" t="str">
        <f aca="false">CRM_Raw!H46</f>
        <v>Proposal Sent</v>
      </c>
      <c r="I46" s="10" t="n">
        <f aca="false">CRM_Raw!I46</f>
        <v>859.33</v>
      </c>
      <c r="J46" s="11" t="n">
        <f aca="false">CRM_Raw!J46</f>
        <v>0.2</v>
      </c>
      <c r="K46" s="10" t="n">
        <f aca="false">I46*(1-J46)</f>
        <v>687.464</v>
      </c>
      <c r="L46" s="12" t="n">
        <f aca="false">CRM_Raw!K46</f>
        <v>0</v>
      </c>
      <c r="M46" s="12" t="n">
        <f aca="false">IF(H46="Closed Won",1,0)</f>
        <v>0</v>
      </c>
    </row>
    <row r="47" customFormat="false" ht="15" hidden="false" customHeight="false" outlineLevel="0" collapsed="false">
      <c r="A47" s="0" t="str">
        <f aca="false">CRM_Raw!A47</f>
        <v>D-10043</v>
      </c>
      <c r="B47" s="0" t="str">
        <f aca="false">CRM_Raw!B47</f>
        <v>2026-02-13</v>
      </c>
      <c r="C47" s="0" t="str">
        <f aca="false">CRM_Raw!C47</f>
        <v>2026-03-21</v>
      </c>
      <c r="D47" s="0" t="str">
        <f aca="false">IF(CRM_Raw!D47="DACH","DACH",IF(ISNUMBER(SEARCH("uk",CRM_Raw!D47)),"UK &amp; Ireland",PROPER(CRM_Raw!D47)))</f>
        <v>North America</v>
      </c>
      <c r="E47" s="0" t="str">
        <f aca="false">CRM_Raw!E47</f>
        <v>Coffee Systems</v>
      </c>
      <c r="F47" s="0" t="str">
        <f aca="false">CRM_Raw!F47</f>
        <v>Web-shop Organic</v>
      </c>
      <c r="G47" s="0" t="str">
        <f aca="false">IF(TRIM(CRM_Raw!G47)="","Unassigned",CRM_Raw!G47)</f>
        <v>S. Andersson</v>
      </c>
      <c r="H47" s="0" t="str">
        <f aca="false">CRM_Raw!H47</f>
        <v>Closed Won</v>
      </c>
      <c r="I47" s="10" t="n">
        <f aca="false">CRM_Raw!I47</f>
        <v>1505.69</v>
      </c>
      <c r="J47" s="11" t="n">
        <f aca="false">CRM_Raw!J47</f>
        <v>0.05</v>
      </c>
      <c r="K47" s="10" t="n">
        <f aca="false">I47*(1-J47)</f>
        <v>1430.4055</v>
      </c>
      <c r="L47" s="12" t="n">
        <f aca="false">CRM_Raw!K47</f>
        <v>36</v>
      </c>
      <c r="M47" s="12" t="n">
        <f aca="false">IF(H47="Closed Won",1,0)</f>
        <v>1</v>
      </c>
    </row>
    <row r="48" customFormat="false" ht="15" hidden="false" customHeight="false" outlineLevel="0" collapsed="false">
      <c r="A48" s="0" t="str">
        <f aca="false">CRM_Raw!A48</f>
        <v>D-10044</v>
      </c>
      <c r="B48" s="0" t="str">
        <f aca="false">CRM_Raw!B48</f>
        <v>2025-04-29</v>
      </c>
      <c r="C48" s="0" t="n">
        <f aca="false">CRM_Raw!C48</f>
        <v>0</v>
      </c>
      <c r="D48" s="0" t="str">
        <f aca="false">IF(CRM_Raw!D48="DACH","DACH",IF(ISNUMBER(SEARCH("uk",CRM_Raw!D48)),"UK &amp; Ireland",PROPER(CRM_Raw!D48)))</f>
        <v>Southern Europe</v>
      </c>
      <c r="E48" s="0" t="str">
        <f aca="false">CRM_Raw!E48</f>
        <v>Washing Machines</v>
      </c>
      <c r="F48" s="0" t="str">
        <f aca="false">CRM_Raw!F48</f>
        <v>Paid Search</v>
      </c>
      <c r="G48" s="0" t="str">
        <f aca="false">IF(TRIM(CRM_Raw!G48)="","Unassigned",CRM_Raw!G48)</f>
        <v>A. Becker</v>
      </c>
      <c r="H48" s="0" t="str">
        <f aca="false">CRM_Raw!H48</f>
        <v>Proposal Sent</v>
      </c>
      <c r="I48" s="10" t="n">
        <f aca="false">CRM_Raw!I48</f>
        <v>1908.44</v>
      </c>
      <c r="J48" s="11" t="n">
        <f aca="false">CRM_Raw!J48</f>
        <v>0</v>
      </c>
      <c r="K48" s="10" t="n">
        <f aca="false">I48*(1-J48)</f>
        <v>1908.44</v>
      </c>
      <c r="L48" s="12" t="n">
        <f aca="false">CRM_Raw!K48</f>
        <v>0</v>
      </c>
      <c r="M48" s="12" t="n">
        <f aca="false">IF(H48="Closed Won",1,0)</f>
        <v>0</v>
      </c>
    </row>
    <row r="49" customFormat="false" ht="15" hidden="false" customHeight="false" outlineLevel="0" collapsed="false">
      <c r="A49" s="0" t="str">
        <f aca="false">CRM_Raw!A49</f>
        <v>D-10045</v>
      </c>
      <c r="B49" s="0" t="str">
        <f aca="false">CRM_Raw!B49</f>
        <v>2025-11-18</v>
      </c>
      <c r="C49" s="0" t="str">
        <f aca="false">CRM_Raw!C49</f>
        <v>2025-11-21</v>
      </c>
      <c r="D49" s="0" t="str">
        <f aca="false">IF(CRM_Raw!D49="DACH","DACH",IF(ISNUMBER(SEARCH("uk",CRM_Raw!D49)),"UK &amp; Ireland",PROPER(CRM_Raw!D49)))</f>
        <v>DACH</v>
      </c>
      <c r="E49" s="0" t="str">
        <f aca="false">CRM_Raw!E49</f>
        <v>Smart Ovens</v>
      </c>
      <c r="F49" s="0" t="str">
        <f aca="false">CRM_Raw!F49</f>
        <v>Social Media Ads</v>
      </c>
      <c r="G49" s="0" t="str">
        <f aca="false">IF(TRIM(CRM_Raw!G49)="","Unassigned",CRM_Raw!G49)</f>
        <v>P. Rossi</v>
      </c>
      <c r="H49" s="0" t="str">
        <f aca="false">CRM_Raw!H49</f>
        <v>Closed Lost</v>
      </c>
      <c r="I49" s="10" t="n">
        <f aca="false">CRM_Raw!I49</f>
        <v>967.66</v>
      </c>
      <c r="J49" s="11" t="n">
        <f aca="false">CRM_Raw!J49</f>
        <v>0.05</v>
      </c>
      <c r="K49" s="10" t="n">
        <f aca="false">I49*(1-J49)</f>
        <v>919.277</v>
      </c>
      <c r="L49" s="12" t="n">
        <f aca="false">CRM_Raw!K49</f>
        <v>3</v>
      </c>
      <c r="M49" s="12" t="n">
        <f aca="false">IF(H49="Closed Won",1,0)</f>
        <v>0</v>
      </c>
    </row>
    <row r="50" customFormat="false" ht="15" hidden="false" customHeight="false" outlineLevel="0" collapsed="false">
      <c r="A50" s="0" t="str">
        <f aca="false">CRM_Raw!A50</f>
        <v>D-10046</v>
      </c>
      <c r="B50" s="0" t="str">
        <f aca="false">CRM_Raw!B50</f>
        <v>2025-01-02</v>
      </c>
      <c r="C50" s="0" t="str">
        <f aca="false">CRM_Raw!C50</f>
        <v>2025-01-27</v>
      </c>
      <c r="D50" s="0" t="str">
        <f aca="false">IF(CRM_Raw!D50="DACH","DACH",IF(ISNUMBER(SEARCH("uk",CRM_Raw!D50)),"UK &amp; Ireland",PROPER(CRM_Raw!D50)))</f>
        <v>Nordics</v>
      </c>
      <c r="E50" s="0" t="str">
        <f aca="false">CRM_Raw!E50</f>
        <v>Coffee Systems</v>
      </c>
      <c r="F50" s="0" t="str">
        <f aca="false">CRM_Raw!F50</f>
        <v>Paid Search</v>
      </c>
      <c r="G50" s="0" t="str">
        <f aca="false">IF(TRIM(CRM_Raw!G50)="","Unassigned",CRM_Raw!G50)</f>
        <v>K. Nilsson</v>
      </c>
      <c r="H50" s="0" t="str">
        <f aca="false">CRM_Raw!H50</f>
        <v>Closed Lost</v>
      </c>
      <c r="I50" s="10" t="n">
        <f aca="false">CRM_Raw!I50</f>
        <v>585.38</v>
      </c>
      <c r="J50" s="11" t="n">
        <f aca="false">CRM_Raw!J50</f>
        <v>0</v>
      </c>
      <c r="K50" s="10" t="n">
        <f aca="false">I50*(1-J50)</f>
        <v>585.38</v>
      </c>
      <c r="L50" s="12" t="n">
        <f aca="false">CRM_Raw!K50</f>
        <v>25</v>
      </c>
      <c r="M50" s="12" t="n">
        <f aca="false">IF(H50="Closed Won",1,0)</f>
        <v>0</v>
      </c>
    </row>
    <row r="51" customFormat="false" ht="15" hidden="false" customHeight="false" outlineLevel="0" collapsed="false">
      <c r="A51" s="0" t="str">
        <f aca="false">CRM_Raw!A51</f>
        <v>D-10047</v>
      </c>
      <c r="B51" s="0" t="str">
        <f aca="false">CRM_Raw!B51</f>
        <v>2025-11-18</v>
      </c>
      <c r="C51" s="0" t="n">
        <f aca="false">CRM_Raw!C51</f>
        <v>0</v>
      </c>
      <c r="D51" s="0" t="str">
        <f aca="false">IF(CRM_Raw!D51="DACH","DACH",IF(ISNUMBER(SEARCH("uk",CRM_Raw!D51)),"UK &amp; Ireland",PROPER(CRM_Raw!D51)))</f>
        <v>Benelux</v>
      </c>
      <c r="E51" s="0" t="str">
        <f aca="false">CRM_Raw!E51</f>
        <v>Smart Ovens</v>
      </c>
      <c r="F51" s="0" t="str">
        <f aca="false">CRM_Raw!F51</f>
        <v>Retail Referral</v>
      </c>
      <c r="G51" s="0" t="str">
        <f aca="false">IF(TRIM(CRM_Raw!G51)="","Unassigned",CRM_Raw!G51)</f>
        <v>P. Rossi</v>
      </c>
      <c r="H51" s="0" t="str">
        <f aca="false">CRM_Raw!H51</f>
        <v>Negotiation</v>
      </c>
      <c r="I51" s="10" t="n">
        <f aca="false">CRM_Raw!I51</f>
        <v>789.92</v>
      </c>
      <c r="J51" s="11" t="n">
        <f aca="false">CRM_Raw!J51</f>
        <v>0.1</v>
      </c>
      <c r="K51" s="10" t="n">
        <f aca="false">I51*(1-J51)</f>
        <v>710.928</v>
      </c>
      <c r="L51" s="12" t="n">
        <f aca="false">CRM_Raw!K51</f>
        <v>0</v>
      </c>
      <c r="M51" s="12" t="n">
        <f aca="false">IF(H51="Closed Won",1,0)</f>
        <v>0</v>
      </c>
    </row>
    <row r="52" customFormat="false" ht="15" hidden="false" customHeight="false" outlineLevel="0" collapsed="false">
      <c r="A52" s="0" t="str">
        <f aca="false">CRM_Raw!A52</f>
        <v>D-10048</v>
      </c>
      <c r="B52" s="0" t="str">
        <f aca="false">CRM_Raw!B52</f>
        <v>2025-10-30</v>
      </c>
      <c r="C52" s="0" t="str">
        <f aca="false">CRM_Raw!C52</f>
        <v>2025-11-07</v>
      </c>
      <c r="D52" s="0" t="str">
        <f aca="false">IF(CRM_Raw!D52="DACH","DACH",IF(ISNUMBER(SEARCH("uk",CRM_Raw!D52)),"UK &amp; Ireland",PROPER(CRM_Raw!D52)))</f>
        <v>France</v>
      </c>
      <c r="E52" s="0" t="str">
        <f aca="false">CRM_Raw!E52</f>
        <v>Small Kitchen Appliances</v>
      </c>
      <c r="F52" s="0" t="str">
        <f aca="false">CRM_Raw!F52</f>
        <v>Paid Search</v>
      </c>
      <c r="G52" s="0" t="str">
        <f aca="false">IF(TRIM(CRM_Raw!G52)="","Unassigned",CRM_Raw!G52)</f>
        <v>K. Nilsson</v>
      </c>
      <c r="H52" s="0" t="str">
        <f aca="false">CRM_Raw!H52</f>
        <v>Closed Lost</v>
      </c>
      <c r="I52" s="10" t="n">
        <f aca="false">CRM_Raw!I52</f>
        <v>230.68</v>
      </c>
      <c r="J52" s="11" t="n">
        <f aca="false">CRM_Raw!J52</f>
        <v>0.15</v>
      </c>
      <c r="K52" s="10" t="n">
        <f aca="false">I52*(1-J52)</f>
        <v>196.078</v>
      </c>
      <c r="L52" s="12" t="n">
        <f aca="false">CRM_Raw!K52</f>
        <v>8</v>
      </c>
      <c r="M52" s="12" t="n">
        <f aca="false">IF(H52="Closed Won",1,0)</f>
        <v>0</v>
      </c>
    </row>
    <row r="53" customFormat="false" ht="15" hidden="false" customHeight="false" outlineLevel="0" collapsed="false">
      <c r="A53" s="0" t="str">
        <f aca="false">CRM_Raw!A53</f>
        <v>D-10049</v>
      </c>
      <c r="B53" s="0" t="str">
        <f aca="false">CRM_Raw!B53</f>
        <v>2026-02-20</v>
      </c>
      <c r="C53" s="0" t="str">
        <f aca="false">CRM_Raw!C53</f>
        <v>2026-03-20</v>
      </c>
      <c r="D53" s="0" t="str">
        <f aca="false">IF(CRM_Raw!D53="DACH","DACH",IF(ISNUMBER(SEARCH("uk",CRM_Raw!D53)),"UK &amp; Ireland",PROPER(CRM_Raw!D53)))</f>
        <v>Southern Europe</v>
      </c>
      <c r="E53" s="0" t="str">
        <f aca="false">CRM_Raw!E53</f>
        <v>Coffee Systems</v>
      </c>
      <c r="F53" s="0" t="str">
        <f aca="false">CRM_Raw!F53</f>
        <v>Social Media Ads</v>
      </c>
      <c r="G53" s="0" t="str">
        <f aca="false">IF(TRIM(CRM_Raw!G53)="","Unassigned",CRM_Raw!G53)</f>
        <v>J. Murphy</v>
      </c>
      <c r="H53" s="0" t="str">
        <f aca="false">CRM_Raw!H53</f>
        <v>Closed Lost</v>
      </c>
      <c r="I53" s="10" t="n">
        <f aca="false">CRM_Raw!I53</f>
        <v>1562.8</v>
      </c>
      <c r="J53" s="11" t="n">
        <f aca="false">CRM_Raw!J53</f>
        <v>0.1</v>
      </c>
      <c r="K53" s="10" t="n">
        <f aca="false">I53*(1-J53)</f>
        <v>1406.52</v>
      </c>
      <c r="L53" s="12" t="n">
        <f aca="false">CRM_Raw!K53</f>
        <v>28</v>
      </c>
      <c r="M53" s="12" t="n">
        <f aca="false">IF(H53="Closed Won",1,0)</f>
        <v>0</v>
      </c>
    </row>
    <row r="54" customFormat="false" ht="15" hidden="false" customHeight="false" outlineLevel="0" collapsed="false">
      <c r="A54" s="0" t="str">
        <f aca="false">CRM_Raw!A54</f>
        <v>D-10050</v>
      </c>
      <c r="B54" s="0" t="str">
        <f aca="false">CRM_Raw!B54</f>
        <v>2025-08-07</v>
      </c>
      <c r="C54" s="0" t="str">
        <f aca="false">CRM_Raw!C54</f>
        <v>2025-08-28</v>
      </c>
      <c r="D54" s="0" t="str">
        <f aca="false">IF(CRM_Raw!D54="DACH","DACH",IF(ISNUMBER(SEARCH("uk",CRM_Raw!D54)),"UK &amp; Ireland",PROPER(CRM_Raw!D54)))</f>
        <v>Southern Europe</v>
      </c>
      <c r="E54" s="0" t="str">
        <f aca="false">CRM_Raw!E54</f>
        <v>Cordless Vacuums</v>
      </c>
      <c r="F54" s="0" t="str">
        <f aca="false">CRM_Raw!F54</f>
        <v>Social Media Ads</v>
      </c>
      <c r="G54" s="0" t="str">
        <f aca="false">IF(TRIM(CRM_Raw!G54)="","Unassigned",CRM_Raw!G54)</f>
        <v>T. Wagner</v>
      </c>
      <c r="H54" s="0" t="str">
        <f aca="false">CRM_Raw!H54</f>
        <v>Closed Lost</v>
      </c>
      <c r="I54" s="10" t="n">
        <f aca="false">CRM_Raw!I54</f>
        <v>391.34</v>
      </c>
      <c r="J54" s="11" t="n">
        <f aca="false">CRM_Raw!J54</f>
        <v>0.15</v>
      </c>
      <c r="K54" s="10" t="n">
        <f aca="false">I54*(1-J54)</f>
        <v>332.639</v>
      </c>
      <c r="L54" s="12" t="n">
        <f aca="false">CRM_Raw!K54</f>
        <v>21</v>
      </c>
      <c r="M54" s="12" t="n">
        <f aca="false">IF(H54="Closed Won",1,0)</f>
        <v>0</v>
      </c>
    </row>
    <row r="55" customFormat="false" ht="15" hidden="false" customHeight="false" outlineLevel="0" collapsed="false">
      <c r="A55" s="0" t="str">
        <f aca="false">CRM_Raw!A55</f>
        <v>D-10051</v>
      </c>
      <c r="B55" s="0" t="str">
        <f aca="false">CRM_Raw!B55</f>
        <v>2025-04-06</v>
      </c>
      <c r="C55" s="0" t="n">
        <f aca="false">CRM_Raw!C55</f>
        <v>0</v>
      </c>
      <c r="D55" s="0" t="str">
        <f aca="false">IF(CRM_Raw!D55="DACH","DACH",IF(ISNUMBER(SEARCH("uk",CRM_Raw!D55)),"UK &amp; Ireland",PROPER(CRM_Raw!D55)))</f>
        <v>DACH</v>
      </c>
      <c r="E55" s="0" t="str">
        <f aca="false">CRM_Raw!E55</f>
        <v>Cordless Vacuums</v>
      </c>
      <c r="F55" s="0" t="str">
        <f aca="false">CRM_Raw!F55</f>
        <v>Social Media Ads</v>
      </c>
      <c r="G55" s="0" t="str">
        <f aca="false">IF(TRIM(CRM_Raw!G55)="","Unassigned",CRM_Raw!G55)</f>
        <v>P. Rossi</v>
      </c>
      <c r="H55" s="0" t="str">
        <f aca="false">CRM_Raw!H55</f>
        <v>Proposal Sent</v>
      </c>
      <c r="I55" s="10" t="n">
        <f aca="false">CRM_Raw!I55</f>
        <v>387.63</v>
      </c>
      <c r="J55" s="11" t="n">
        <f aca="false">CRM_Raw!J55</f>
        <v>0</v>
      </c>
      <c r="K55" s="10" t="n">
        <f aca="false">I55*(1-J55)</f>
        <v>387.63</v>
      </c>
      <c r="L55" s="12" t="n">
        <f aca="false">CRM_Raw!K55</f>
        <v>0</v>
      </c>
      <c r="M55" s="12" t="n">
        <f aca="false">IF(H55="Closed Won",1,0)</f>
        <v>0</v>
      </c>
    </row>
    <row r="56" customFormat="false" ht="15" hidden="false" customHeight="false" outlineLevel="0" collapsed="false">
      <c r="A56" s="0" t="str">
        <f aca="false">CRM_Raw!A56</f>
        <v>D-10052</v>
      </c>
      <c r="B56" s="0" t="str">
        <f aca="false">CRM_Raw!B56</f>
        <v>2025-09-08</v>
      </c>
      <c r="C56" s="0" t="n">
        <f aca="false">CRM_Raw!C56</f>
        <v>0</v>
      </c>
      <c r="D56" s="0" t="str">
        <f aca="false">IF(CRM_Raw!D56="DACH","DACH",IF(ISNUMBER(SEARCH("uk",CRM_Raw!D56)),"UK &amp; Ireland",PROPER(CRM_Raw!D56)))</f>
        <v>North America</v>
      </c>
      <c r="E56" s="0" t="str">
        <f aca="false">CRM_Raw!E56</f>
        <v>Coffee Systems</v>
      </c>
      <c r="F56" s="0" t="str">
        <f aca="false">CRM_Raw!F56</f>
        <v>Web-shop Organic</v>
      </c>
      <c r="G56" s="0" t="str">
        <f aca="false">IF(TRIM(CRM_Raw!G56)="","Unassigned",CRM_Raw!G56)</f>
        <v>A. Becker</v>
      </c>
      <c r="H56" s="0" t="str">
        <f aca="false">CRM_Raw!H56</f>
        <v>Qualified</v>
      </c>
      <c r="I56" s="10" t="n">
        <f aca="false">CRM_Raw!I56</f>
        <v>543.84</v>
      </c>
      <c r="J56" s="11" t="n">
        <f aca="false">CRM_Raw!J56</f>
        <v>0.05</v>
      </c>
      <c r="K56" s="10" t="n">
        <f aca="false">I56*(1-J56)</f>
        <v>516.648</v>
      </c>
      <c r="L56" s="12" t="n">
        <f aca="false">CRM_Raw!K56</f>
        <v>0</v>
      </c>
      <c r="M56" s="12" t="n">
        <f aca="false">IF(H56="Closed Won",1,0)</f>
        <v>0</v>
      </c>
    </row>
    <row r="57" customFormat="false" ht="15" hidden="false" customHeight="false" outlineLevel="0" collapsed="false">
      <c r="A57" s="0" t="str">
        <f aca="false">CRM_Raw!A57</f>
        <v>D-10053</v>
      </c>
      <c r="B57" s="0" t="str">
        <f aca="false">CRM_Raw!B57</f>
        <v>2026-05-22</v>
      </c>
      <c r="C57" s="0" t="str">
        <f aca="false">CRM_Raw!C57</f>
        <v>2026-06-01</v>
      </c>
      <c r="D57" s="0" t="str">
        <f aca="false">IF(CRM_Raw!D57="DACH","DACH",IF(ISNUMBER(SEARCH("uk",CRM_Raw!D57)),"UK &amp; Ireland",PROPER(CRM_Raw!D57)))</f>
        <v>Benelux</v>
      </c>
      <c r="E57" s="0" t="str">
        <f aca="false">CRM_Raw!E57</f>
        <v>Small Kitchen Appliances</v>
      </c>
      <c r="F57" s="0" t="str">
        <f aca="false">CRM_Raw!F57</f>
        <v>Social Media Ads</v>
      </c>
      <c r="G57" s="0" t="str">
        <f aca="false">IF(TRIM(CRM_Raw!G57)="","Unassigned",CRM_Raw!G57)</f>
        <v>K. Nilsson</v>
      </c>
      <c r="H57" s="0" t="str">
        <f aca="false">CRM_Raw!H57</f>
        <v>Closed Lost</v>
      </c>
      <c r="I57" s="10" t="n">
        <f aca="false">CRM_Raw!I57</f>
        <v>136.14</v>
      </c>
      <c r="J57" s="11" t="n">
        <f aca="false">CRM_Raw!J57</f>
        <v>0.2</v>
      </c>
      <c r="K57" s="10" t="n">
        <f aca="false">I57*(1-J57)</f>
        <v>108.912</v>
      </c>
      <c r="L57" s="12" t="n">
        <f aca="false">CRM_Raw!K57</f>
        <v>29</v>
      </c>
      <c r="M57" s="12" t="n">
        <f aca="false">IF(H57="Closed Won",1,0)</f>
        <v>0</v>
      </c>
    </row>
    <row r="58" customFormat="false" ht="15" hidden="false" customHeight="false" outlineLevel="0" collapsed="false">
      <c r="A58" s="0" t="str">
        <f aca="false">CRM_Raw!A58</f>
        <v>D-10054</v>
      </c>
      <c r="B58" s="0" t="str">
        <f aca="false">CRM_Raw!B58</f>
        <v>2025-02-21</v>
      </c>
      <c r="C58" s="0" t="str">
        <f aca="false">CRM_Raw!C58</f>
        <v>2025-03-24</v>
      </c>
      <c r="D58" s="0" t="str">
        <f aca="false">IF(CRM_Raw!D58="DACH","DACH",IF(ISNUMBER(SEARCH("uk",CRM_Raw!D58)),"UK &amp; Ireland",PROPER(CRM_Raw!D58)))</f>
        <v>Benelux</v>
      </c>
      <c r="E58" s="0" t="str">
        <f aca="false">CRM_Raw!E58</f>
        <v>Coffee Systems</v>
      </c>
      <c r="F58" s="0" t="str">
        <f aca="false">CRM_Raw!F58</f>
        <v>Web-shop Organic</v>
      </c>
      <c r="G58" s="0" t="str">
        <f aca="false">IF(TRIM(CRM_Raw!G58)="","Unassigned",CRM_Raw!G58)</f>
        <v>T. Wagner</v>
      </c>
      <c r="H58" s="0" t="str">
        <f aca="false">CRM_Raw!H58</f>
        <v>Closed Lost</v>
      </c>
      <c r="I58" s="10" t="n">
        <f aca="false">CRM_Raw!I58</f>
        <v>582.5</v>
      </c>
      <c r="J58" s="11" t="n">
        <f aca="false">CRM_Raw!J58</f>
        <v>0.05</v>
      </c>
      <c r="K58" s="10" t="n">
        <f aca="false">I58*(1-J58)</f>
        <v>553.375</v>
      </c>
      <c r="L58" s="12" t="n">
        <f aca="false">CRM_Raw!K58</f>
        <v>31</v>
      </c>
      <c r="M58" s="12" t="n">
        <f aca="false">IF(H58="Closed Won",1,0)</f>
        <v>0</v>
      </c>
    </row>
    <row r="59" customFormat="false" ht="15" hidden="false" customHeight="false" outlineLevel="0" collapsed="false">
      <c r="A59" s="0" t="str">
        <f aca="false">CRM_Raw!A59</f>
        <v>D-10055</v>
      </c>
      <c r="B59" s="0" t="str">
        <f aca="false">CRM_Raw!B59</f>
        <v>2026-03-30</v>
      </c>
      <c r="C59" s="0" t="str">
        <f aca="false">CRM_Raw!C59</f>
        <v>2026-04-17</v>
      </c>
      <c r="D59" s="0" t="str">
        <f aca="false">IF(CRM_Raw!D59="DACH","DACH",IF(ISNUMBER(SEARCH("uk",CRM_Raw!D59)),"UK &amp; Ireland",PROPER(CRM_Raw!D59)))</f>
        <v>UK &amp; Ireland</v>
      </c>
      <c r="E59" s="0" t="str">
        <f aca="false">CRM_Raw!E59</f>
        <v>Dishwashers</v>
      </c>
      <c r="F59" s="0" t="str">
        <f aca="false">CRM_Raw!F59</f>
        <v>Affiliate Partner</v>
      </c>
      <c r="G59" s="0" t="str">
        <f aca="false">IF(TRIM(CRM_Raw!G59)="","Unassigned",CRM_Raw!G59)</f>
        <v>P. Rossi</v>
      </c>
      <c r="H59" s="0" t="str">
        <f aca="false">CRM_Raw!H59</f>
        <v>Closed Lost</v>
      </c>
      <c r="I59" s="10" t="n">
        <f aca="false">CRM_Raw!I59</f>
        <v>2339.2</v>
      </c>
      <c r="J59" s="11" t="n">
        <f aca="false">CRM_Raw!J59</f>
        <v>0.05</v>
      </c>
      <c r="K59" s="10" t="n">
        <f aca="false">I59*(1-J59)</f>
        <v>2222.24</v>
      </c>
      <c r="L59" s="12" t="n">
        <f aca="false">CRM_Raw!K59</f>
        <v>18</v>
      </c>
      <c r="M59" s="12" t="n">
        <f aca="false">IF(H59="Closed Won",1,0)</f>
        <v>0</v>
      </c>
    </row>
    <row r="60" customFormat="false" ht="15" hidden="false" customHeight="false" outlineLevel="0" collapsed="false">
      <c r="A60" s="0" t="str">
        <f aca="false">CRM_Raw!A60</f>
        <v>D-10056</v>
      </c>
      <c r="B60" s="0" t="str">
        <f aca="false">CRM_Raw!B60</f>
        <v>2025-09-23</v>
      </c>
      <c r="C60" s="0" t="n">
        <f aca="false">CRM_Raw!C60</f>
        <v>0</v>
      </c>
      <c r="D60" s="0" t="str">
        <f aca="false">IF(CRM_Raw!D60="DACH","DACH",IF(ISNUMBER(SEARCH("uk",CRM_Raw!D60)),"UK &amp; Ireland",PROPER(CRM_Raw!D60)))</f>
        <v>UK &amp; Ireland</v>
      </c>
      <c r="E60" s="0" t="str">
        <f aca="false">CRM_Raw!E60</f>
        <v>Small Kitchen Appliances</v>
      </c>
      <c r="F60" s="0" t="str">
        <f aca="false">CRM_Raw!F60</f>
        <v>Retail Referral</v>
      </c>
      <c r="G60" s="0" t="str">
        <f aca="false">IF(TRIM(CRM_Raw!G60)="","Unassigned",CRM_Raw!G60)</f>
        <v>T. Wagner</v>
      </c>
      <c r="H60" s="0" t="str">
        <f aca="false">CRM_Raw!H60</f>
        <v>Proposal Sent</v>
      </c>
      <c r="I60" s="10" t="n">
        <f aca="false">CRM_Raw!I60</f>
        <v>134.57</v>
      </c>
      <c r="J60" s="11" t="n">
        <f aca="false">CRM_Raw!J60</f>
        <v>0.2</v>
      </c>
      <c r="K60" s="10" t="n">
        <f aca="false">I60*(1-J60)</f>
        <v>107.656</v>
      </c>
      <c r="L60" s="12" t="n">
        <f aca="false">CRM_Raw!K60</f>
        <v>0</v>
      </c>
      <c r="M60" s="12" t="n">
        <f aca="false">IF(H60="Closed Won",1,0)</f>
        <v>0</v>
      </c>
    </row>
    <row r="61" customFormat="false" ht="15" hidden="false" customHeight="false" outlineLevel="0" collapsed="false">
      <c r="A61" s="0" t="str">
        <f aca="false">CRM_Raw!A61</f>
        <v>D-10057</v>
      </c>
      <c r="B61" s="0" t="str">
        <f aca="false">CRM_Raw!B61</f>
        <v>2025-10-09</v>
      </c>
      <c r="C61" s="0" t="str">
        <f aca="false">CRM_Raw!C61</f>
        <v>2025-10-19</v>
      </c>
      <c r="D61" s="0" t="str">
        <f aca="false">IF(CRM_Raw!D61="DACH","DACH",IF(ISNUMBER(SEARCH("uk",CRM_Raw!D61)),"UK &amp; Ireland",PROPER(CRM_Raw!D61)))</f>
        <v>North America</v>
      </c>
      <c r="E61" s="0" t="str">
        <f aca="false">CRM_Raw!E61</f>
        <v>Washing Machines</v>
      </c>
      <c r="F61" s="0" t="str">
        <f aca="false">CRM_Raw!F61</f>
        <v>Social Media Ads</v>
      </c>
      <c r="G61" s="0" t="str">
        <f aca="false">IF(TRIM(CRM_Raw!G61)="","Unassigned",CRM_Raw!G61)</f>
        <v>S. Andersson</v>
      </c>
      <c r="H61" s="0" t="str">
        <f aca="false">CRM_Raw!H61</f>
        <v>Closed Lost</v>
      </c>
      <c r="I61" s="10" t="n">
        <f aca="false">CRM_Raw!I61</f>
        <v>708.87</v>
      </c>
      <c r="J61" s="11" t="n">
        <f aca="false">CRM_Raw!J61</f>
        <v>0</v>
      </c>
      <c r="K61" s="10" t="n">
        <f aca="false">I61*(1-J61)</f>
        <v>708.87</v>
      </c>
      <c r="L61" s="12" t="n">
        <f aca="false">CRM_Raw!K61</f>
        <v>10</v>
      </c>
      <c r="M61" s="12" t="n">
        <f aca="false">IF(H61="Closed Won",1,0)</f>
        <v>0</v>
      </c>
    </row>
    <row r="62" customFormat="false" ht="15" hidden="false" customHeight="false" outlineLevel="0" collapsed="false">
      <c r="A62" s="0" t="str">
        <f aca="false">CRM_Raw!A62</f>
        <v>D-10058</v>
      </c>
      <c r="B62" s="0" t="str">
        <f aca="false">CRM_Raw!B62</f>
        <v>2025-05-22</v>
      </c>
      <c r="C62" s="0" t="str">
        <f aca="false">CRM_Raw!C62</f>
        <v>2025-06-08</v>
      </c>
      <c r="D62" s="0" t="str">
        <f aca="false">IF(CRM_Raw!D62="DACH","DACH",IF(ISNUMBER(SEARCH("uk",CRM_Raw!D62)),"UK &amp; Ireland",PROPER(CRM_Raw!D62)))</f>
        <v>France</v>
      </c>
      <c r="E62" s="0" t="str">
        <f aca="false">CRM_Raw!E62</f>
        <v>Cordless Vacuums</v>
      </c>
      <c r="F62" s="0" t="str">
        <f aca="false">CRM_Raw!F62</f>
        <v>Retail Referral</v>
      </c>
      <c r="G62" s="0" t="str">
        <f aca="false">IF(TRIM(CRM_Raw!G62)="","Unassigned",CRM_Raw!G62)</f>
        <v>L. Dubois</v>
      </c>
      <c r="H62" s="0" t="str">
        <f aca="false">CRM_Raw!H62</f>
        <v>Closed Won</v>
      </c>
      <c r="I62" s="10" t="n">
        <f aca="false">CRM_Raw!I62</f>
        <v>681.6</v>
      </c>
      <c r="J62" s="11" t="n">
        <f aca="false">CRM_Raw!J62</f>
        <v>0.05</v>
      </c>
      <c r="K62" s="10" t="n">
        <f aca="false">I62*(1-J62)</f>
        <v>647.52</v>
      </c>
      <c r="L62" s="12" t="n">
        <f aca="false">CRM_Raw!K62</f>
        <v>17</v>
      </c>
      <c r="M62" s="12" t="n">
        <f aca="false">IF(H62="Closed Won",1,0)</f>
        <v>1</v>
      </c>
    </row>
    <row r="63" customFormat="false" ht="15" hidden="false" customHeight="false" outlineLevel="0" collapsed="false">
      <c r="A63" s="0" t="str">
        <f aca="false">CRM_Raw!A63</f>
        <v>D-10059</v>
      </c>
      <c r="B63" s="0" t="str">
        <f aca="false">CRM_Raw!B63</f>
        <v>2025-07-31</v>
      </c>
      <c r="C63" s="0" t="n">
        <f aca="false">CRM_Raw!C63</f>
        <v>0</v>
      </c>
      <c r="D63" s="0" t="str">
        <f aca="false">IF(CRM_Raw!D63="DACH","DACH",IF(ISNUMBER(SEARCH("uk",CRM_Raw!D63)),"UK &amp; Ireland",PROPER(CRM_Raw!D63)))</f>
        <v>France</v>
      </c>
      <c r="E63" s="0" t="str">
        <f aca="false">CRM_Raw!E63</f>
        <v>Washing Machines</v>
      </c>
      <c r="F63" s="0" t="str">
        <f aca="false">CRM_Raw!F63</f>
        <v>Social Media Ads</v>
      </c>
      <c r="G63" s="0" t="str">
        <f aca="false">IF(TRIM(CRM_Raw!G63)="","Unassigned",CRM_Raw!G63)</f>
        <v>A. Becker</v>
      </c>
      <c r="H63" s="0" t="str">
        <f aca="false">CRM_Raw!H63</f>
        <v>Proposal Sent</v>
      </c>
      <c r="I63" s="10" t="n">
        <f aca="false">CRM_Raw!I63</f>
        <v>1970.3</v>
      </c>
      <c r="J63" s="11" t="n">
        <f aca="false">CRM_Raw!J63</f>
        <v>0.15</v>
      </c>
      <c r="K63" s="10" t="n">
        <f aca="false">I63*(1-J63)</f>
        <v>1674.755</v>
      </c>
      <c r="L63" s="12" t="n">
        <f aca="false">CRM_Raw!K63</f>
        <v>0</v>
      </c>
      <c r="M63" s="12" t="n">
        <f aca="false">IF(H63="Closed Won",1,0)</f>
        <v>0</v>
      </c>
    </row>
    <row r="64" customFormat="false" ht="15" hidden="false" customHeight="false" outlineLevel="0" collapsed="false">
      <c r="A64" s="0" t="str">
        <f aca="false">CRM_Raw!A64</f>
        <v>D-10060</v>
      </c>
      <c r="B64" s="0" t="str">
        <f aca="false">CRM_Raw!B64</f>
        <v>2025-12-27</v>
      </c>
      <c r="C64" s="0" t="str">
        <f aca="false">CRM_Raw!C64</f>
        <v>2026-01-20</v>
      </c>
      <c r="D64" s="0" t="str">
        <f aca="false">IF(CRM_Raw!D64="DACH","DACH",IF(ISNUMBER(SEARCH("uk",CRM_Raw!D64)),"UK &amp; Ireland",PROPER(CRM_Raw!D64)))</f>
        <v>DACH</v>
      </c>
      <c r="E64" s="0" t="str">
        <f aca="false">CRM_Raw!E64</f>
        <v>Washing Machines</v>
      </c>
      <c r="F64" s="0" t="str">
        <f aca="false">CRM_Raw!F64</f>
        <v>Paid Search</v>
      </c>
      <c r="G64" s="0" t="str">
        <f aca="false">IF(TRIM(CRM_Raw!G64)="","Unassigned",CRM_Raw!G64)</f>
        <v>A. Becker</v>
      </c>
      <c r="H64" s="0" t="str">
        <f aca="false">CRM_Raw!H64</f>
        <v>Closed Won</v>
      </c>
      <c r="I64" s="10" t="n">
        <f aca="false">CRM_Raw!I64</f>
        <v>1313.7</v>
      </c>
      <c r="J64" s="11" t="n">
        <f aca="false">CRM_Raw!J64</f>
        <v>0.1</v>
      </c>
      <c r="K64" s="10" t="n">
        <f aca="false">I64*(1-J64)</f>
        <v>1182.33</v>
      </c>
      <c r="L64" s="12" t="n">
        <f aca="false">CRM_Raw!K64</f>
        <v>24</v>
      </c>
      <c r="M64" s="12" t="n">
        <f aca="false">IF(H64="Closed Won",1,0)</f>
        <v>1</v>
      </c>
    </row>
    <row r="65" customFormat="false" ht="15" hidden="false" customHeight="false" outlineLevel="0" collapsed="false">
      <c r="A65" s="0" t="str">
        <f aca="false">CRM_Raw!A65</f>
        <v>D-10061</v>
      </c>
      <c r="B65" s="0" t="str">
        <f aca="false">CRM_Raw!B65</f>
        <v>2026-05-15</v>
      </c>
      <c r="C65" s="0" t="str">
        <f aca="false">CRM_Raw!C65</f>
        <v>2026-06-01</v>
      </c>
      <c r="D65" s="0" t="str">
        <f aca="false">IF(CRM_Raw!D65="DACH","DACH",IF(ISNUMBER(SEARCH("uk",CRM_Raw!D65)),"UK &amp; Ireland",PROPER(CRM_Raw!D65)))</f>
        <v>Southern Europe</v>
      </c>
      <c r="E65" s="0" t="str">
        <f aca="false">CRM_Raw!E65</f>
        <v>Small Kitchen Appliances</v>
      </c>
      <c r="F65" s="0" t="str">
        <f aca="false">CRM_Raw!F65</f>
        <v>Social Media Ads</v>
      </c>
      <c r="G65" s="0" t="str">
        <f aca="false">IF(TRIM(CRM_Raw!G65)="","Unassigned",CRM_Raw!G65)</f>
        <v>S. Andersson</v>
      </c>
      <c r="H65" s="0" t="str">
        <f aca="false">CRM_Raw!H65</f>
        <v>Closed Won</v>
      </c>
      <c r="I65" s="10" t="n">
        <f aca="false">CRM_Raw!I65</f>
        <v>239.25</v>
      </c>
      <c r="J65" s="11" t="n">
        <f aca="false">CRM_Raw!J65</f>
        <v>0.15</v>
      </c>
      <c r="K65" s="10" t="n">
        <f aca="false">I65*(1-J65)</f>
        <v>203.3625</v>
      </c>
      <c r="L65" s="12" t="n">
        <f aca="false">CRM_Raw!K65</f>
        <v>18</v>
      </c>
      <c r="M65" s="12" t="n">
        <f aca="false">IF(H65="Closed Won",1,0)</f>
        <v>1</v>
      </c>
    </row>
    <row r="66" customFormat="false" ht="15" hidden="false" customHeight="false" outlineLevel="0" collapsed="false">
      <c r="A66" s="0" t="str">
        <f aca="false">CRM_Raw!A66</f>
        <v>D-10062</v>
      </c>
      <c r="B66" s="0" t="str">
        <f aca="false">CRM_Raw!B66</f>
        <v>2026-02-08</v>
      </c>
      <c r="C66" s="0" t="str">
        <f aca="false">CRM_Raw!C66</f>
        <v>2026-03-01</v>
      </c>
      <c r="D66" s="0" t="str">
        <f aca="false">IF(CRM_Raw!D66="DACH","DACH",IF(ISNUMBER(SEARCH("uk",CRM_Raw!D66)),"UK &amp; Ireland",PROPER(CRM_Raw!D66)))</f>
        <v>UK &amp; Ireland</v>
      </c>
      <c r="E66" s="0" t="str">
        <f aca="false">CRM_Raw!E66</f>
        <v>Dishwashers</v>
      </c>
      <c r="F66" s="0" t="str">
        <f aca="false">CRM_Raw!F66</f>
        <v>Retail Referral</v>
      </c>
      <c r="G66" s="0" t="str">
        <f aca="false">IF(TRIM(CRM_Raw!G66)="","Unassigned",CRM_Raw!G66)</f>
        <v>A. Becker</v>
      </c>
      <c r="H66" s="0" t="str">
        <f aca="false">CRM_Raw!H66</f>
        <v>Closed Lost</v>
      </c>
      <c r="I66" s="10" t="n">
        <f aca="false">CRM_Raw!I66</f>
        <v>750.86</v>
      </c>
      <c r="J66" s="11" t="n">
        <f aca="false">CRM_Raw!J66</f>
        <v>0.15</v>
      </c>
      <c r="K66" s="10" t="n">
        <f aca="false">I66*(1-J66)</f>
        <v>638.231</v>
      </c>
      <c r="L66" s="12" t="n">
        <f aca="false">CRM_Raw!K66</f>
        <v>21</v>
      </c>
      <c r="M66" s="12" t="n">
        <f aca="false">IF(H66="Closed Won",1,0)</f>
        <v>0</v>
      </c>
    </row>
    <row r="67" customFormat="false" ht="15" hidden="false" customHeight="false" outlineLevel="0" collapsed="false">
      <c r="A67" s="0" t="str">
        <f aca="false">CRM_Raw!A67</f>
        <v>D-10063</v>
      </c>
      <c r="B67" s="0" t="str">
        <f aca="false">CRM_Raw!B67</f>
        <v>2025-02-21</v>
      </c>
      <c r="C67" s="0" t="str">
        <f aca="false">CRM_Raw!C67</f>
        <v>2025-03-09</v>
      </c>
      <c r="D67" s="0" t="str">
        <f aca="false">IF(CRM_Raw!D67="DACH","DACH",IF(ISNUMBER(SEARCH("uk",CRM_Raw!D67)),"UK &amp; Ireland",PROPER(CRM_Raw!D67)))</f>
        <v>Benelux</v>
      </c>
      <c r="E67" s="0" t="str">
        <f aca="false">CRM_Raw!E67</f>
        <v>Coffee Systems</v>
      </c>
      <c r="F67" s="0" t="str">
        <f aca="false">CRM_Raw!F67</f>
        <v>Retail Referral</v>
      </c>
      <c r="G67" s="0" t="str">
        <f aca="false">IF(TRIM(CRM_Raw!G67)="","Unassigned",CRM_Raw!G67)</f>
        <v>M. Hoffmann</v>
      </c>
      <c r="H67" s="0" t="str">
        <f aca="false">CRM_Raw!H67</f>
        <v>Closed Won</v>
      </c>
      <c r="I67" s="10" t="n">
        <f aca="false">CRM_Raw!I67</f>
        <v>1018.53</v>
      </c>
      <c r="J67" s="11" t="n">
        <f aca="false">CRM_Raw!J67</f>
        <v>0</v>
      </c>
      <c r="K67" s="10" t="n">
        <f aca="false">I67*(1-J67)</f>
        <v>1018.53</v>
      </c>
      <c r="L67" s="12" t="n">
        <f aca="false">CRM_Raw!K67</f>
        <v>16</v>
      </c>
      <c r="M67" s="12" t="n">
        <f aca="false">IF(H67="Closed Won",1,0)</f>
        <v>1</v>
      </c>
    </row>
    <row r="68" customFormat="false" ht="15" hidden="false" customHeight="false" outlineLevel="0" collapsed="false">
      <c r="A68" s="0" t="str">
        <f aca="false">CRM_Raw!A68</f>
        <v>D-10064</v>
      </c>
      <c r="B68" s="0" t="str">
        <f aca="false">CRM_Raw!B68</f>
        <v>2026-04-27</v>
      </c>
      <c r="C68" s="0" t="str">
        <f aca="false">CRM_Raw!C68</f>
        <v>2026-05-26</v>
      </c>
      <c r="D68" s="0" t="str">
        <f aca="false">IF(CRM_Raw!D68="DACH","DACH",IF(ISNUMBER(SEARCH("uk",CRM_Raw!D68)),"UK &amp; Ireland",PROPER(CRM_Raw!D68)))</f>
        <v>North America</v>
      </c>
      <c r="E68" s="0" t="str">
        <f aca="false">CRM_Raw!E68</f>
        <v>Dishwashers</v>
      </c>
      <c r="F68" s="0" t="str">
        <f aca="false">CRM_Raw!F68</f>
        <v>Paid Search</v>
      </c>
      <c r="G68" s="0" t="str">
        <f aca="false">IF(TRIM(CRM_Raw!G68)="","Unassigned",CRM_Raw!G68)</f>
        <v>L. Dubois</v>
      </c>
      <c r="H68" s="0" t="str">
        <f aca="false">CRM_Raw!H68</f>
        <v>Closed Won</v>
      </c>
      <c r="I68" s="10" t="n">
        <f aca="false">CRM_Raw!I68</f>
        <v>729.58</v>
      </c>
      <c r="J68" s="11" t="n">
        <f aca="false">CRM_Raw!J68</f>
        <v>0</v>
      </c>
      <c r="K68" s="10" t="n">
        <f aca="false">I68*(1-J68)</f>
        <v>729.58</v>
      </c>
      <c r="L68" s="12" t="n">
        <f aca="false">CRM_Raw!K68</f>
        <v>29</v>
      </c>
      <c r="M68" s="12" t="n">
        <f aca="false">IF(H68="Closed Won",1,0)</f>
        <v>1</v>
      </c>
    </row>
    <row r="69" customFormat="false" ht="15" hidden="false" customHeight="false" outlineLevel="0" collapsed="false">
      <c r="A69" s="0" t="str">
        <f aca="false">CRM_Raw!A69</f>
        <v>D-10065</v>
      </c>
      <c r="B69" s="0" t="str">
        <f aca="false">CRM_Raw!B69</f>
        <v>2025-02-01</v>
      </c>
      <c r="C69" s="0" t="n">
        <f aca="false">CRM_Raw!C69</f>
        <v>0</v>
      </c>
      <c r="D69" s="0" t="str">
        <f aca="false">IF(CRM_Raw!D69="DACH","DACH",IF(ISNUMBER(SEARCH("uk",CRM_Raw!D69)),"UK &amp; Ireland",PROPER(CRM_Raw!D69)))</f>
        <v>Southern Europe</v>
      </c>
      <c r="E69" s="0" t="str">
        <f aca="false">CRM_Raw!E69</f>
        <v>Smart Ovens</v>
      </c>
      <c r="F69" s="0" t="str">
        <f aca="false">CRM_Raw!F69</f>
        <v>Email Campaign</v>
      </c>
      <c r="G69" s="0" t="str">
        <f aca="false">IF(TRIM(CRM_Raw!G69)="","Unassigned",CRM_Raw!G69)</f>
        <v>A. Becker</v>
      </c>
      <c r="H69" s="0" t="str">
        <f aca="false">CRM_Raw!H69</f>
        <v>Qualified</v>
      </c>
      <c r="I69" s="10" t="n">
        <f aca="false">CRM_Raw!I69</f>
        <v>805.37</v>
      </c>
      <c r="J69" s="11" t="n">
        <f aca="false">CRM_Raw!J69</f>
        <v>0.1</v>
      </c>
      <c r="K69" s="10" t="n">
        <f aca="false">I69*(1-J69)</f>
        <v>724.833</v>
      </c>
      <c r="L69" s="12" t="n">
        <f aca="false">CRM_Raw!K69</f>
        <v>0</v>
      </c>
      <c r="M69" s="12" t="n">
        <f aca="false">IF(H69="Closed Won",1,0)</f>
        <v>0</v>
      </c>
    </row>
    <row r="70" customFormat="false" ht="15" hidden="false" customHeight="false" outlineLevel="0" collapsed="false">
      <c r="A70" s="0" t="str">
        <f aca="false">CRM_Raw!A70</f>
        <v>D-10066</v>
      </c>
      <c r="B70" s="0" t="str">
        <f aca="false">CRM_Raw!B70</f>
        <v>2025-08-12</v>
      </c>
      <c r="C70" s="0" t="str">
        <f aca="false">CRM_Raw!C70</f>
        <v>2025-09-01</v>
      </c>
      <c r="D70" s="0" t="str">
        <f aca="false">IF(CRM_Raw!D70="DACH","DACH",IF(ISNUMBER(SEARCH("uk",CRM_Raw!D70)),"UK &amp; Ireland",PROPER(CRM_Raw!D70)))</f>
        <v>UK &amp; Ireland</v>
      </c>
      <c r="E70" s="0" t="str">
        <f aca="false">CRM_Raw!E70</f>
        <v>Coffee Systems</v>
      </c>
      <c r="F70" s="0" t="str">
        <f aca="false">CRM_Raw!F70</f>
        <v>Web-shop Organic</v>
      </c>
      <c r="G70" s="0" t="str">
        <f aca="false">IF(TRIM(CRM_Raw!G70)="","Unassigned",CRM_Raw!G70)</f>
        <v>L. Dubois</v>
      </c>
      <c r="H70" s="0" t="str">
        <f aca="false">CRM_Raw!H70</f>
        <v>Closed Lost</v>
      </c>
      <c r="I70" s="10" t="n">
        <f aca="false">CRM_Raw!I70</f>
        <v>543.16</v>
      </c>
      <c r="J70" s="11" t="n">
        <f aca="false">CRM_Raw!J70</f>
        <v>0.2</v>
      </c>
      <c r="K70" s="10" t="n">
        <f aca="false">I70*(1-J70)</f>
        <v>434.528</v>
      </c>
      <c r="L70" s="12" t="n">
        <f aca="false">CRM_Raw!K70</f>
        <v>20</v>
      </c>
      <c r="M70" s="12" t="n">
        <f aca="false">IF(H70="Closed Won",1,0)</f>
        <v>0</v>
      </c>
    </row>
    <row r="71" customFormat="false" ht="15" hidden="false" customHeight="false" outlineLevel="0" collapsed="false">
      <c r="A71" s="0" t="str">
        <f aca="false">CRM_Raw!A71</f>
        <v>D-10067</v>
      </c>
      <c r="B71" s="0" t="str">
        <f aca="false">CRM_Raw!B71</f>
        <v>2025-01-27</v>
      </c>
      <c r="C71" s="0" t="n">
        <f aca="false">CRM_Raw!C71</f>
        <v>0</v>
      </c>
      <c r="D71" s="0" t="str">
        <f aca="false">IF(CRM_Raw!D71="DACH","DACH",IF(ISNUMBER(SEARCH("uk",CRM_Raw!D71)),"UK &amp; Ireland",PROPER(CRM_Raw!D71)))</f>
        <v>North America</v>
      </c>
      <c r="E71" s="0" t="str">
        <f aca="false">CRM_Raw!E71</f>
        <v>Coffee Systems</v>
      </c>
      <c r="F71" s="0" t="str">
        <f aca="false">CRM_Raw!F71</f>
        <v>Trade Show</v>
      </c>
      <c r="G71" s="0" t="str">
        <f aca="false">IF(TRIM(CRM_Raw!G71)="","Unassigned",CRM_Raw!G71)</f>
        <v>L. Dubois</v>
      </c>
      <c r="H71" s="0" t="str">
        <f aca="false">CRM_Raw!H71</f>
        <v>Qualified</v>
      </c>
      <c r="I71" s="10" t="n">
        <f aca="false">CRM_Raw!I71</f>
        <v>1078.71</v>
      </c>
      <c r="J71" s="11" t="n">
        <f aca="false">CRM_Raw!J71</f>
        <v>0.05</v>
      </c>
      <c r="K71" s="10" t="n">
        <f aca="false">I71*(1-J71)</f>
        <v>1024.7745</v>
      </c>
      <c r="L71" s="12" t="n">
        <f aca="false">CRM_Raw!K71</f>
        <v>0</v>
      </c>
      <c r="M71" s="12" t="n">
        <f aca="false">IF(H71="Closed Won",1,0)</f>
        <v>0</v>
      </c>
    </row>
    <row r="72" customFormat="false" ht="15" hidden="false" customHeight="false" outlineLevel="0" collapsed="false">
      <c r="A72" s="0" t="str">
        <f aca="false">CRM_Raw!A72</f>
        <v>D-10068</v>
      </c>
      <c r="B72" s="0" t="str">
        <f aca="false">CRM_Raw!B72</f>
        <v>2025-04-15</v>
      </c>
      <c r="C72" s="0" t="n">
        <f aca="false">CRM_Raw!C72</f>
        <v>0</v>
      </c>
      <c r="D72" s="0" t="str">
        <f aca="false">IF(CRM_Raw!D72="DACH","DACH",IF(ISNUMBER(SEARCH("uk",CRM_Raw!D72)),"UK &amp; Ireland",PROPER(CRM_Raw!D72)))</f>
        <v>Southern Europe</v>
      </c>
      <c r="E72" s="0" t="str">
        <f aca="false">CRM_Raw!E72</f>
        <v>Coffee Systems</v>
      </c>
      <c r="F72" s="0" t="str">
        <f aca="false">CRM_Raw!F72</f>
        <v>Web-shop Organic</v>
      </c>
      <c r="G72" s="0" t="str">
        <f aca="false">IF(TRIM(CRM_Raw!G72)="","Unassigned",CRM_Raw!G72)</f>
        <v>S. Andersson</v>
      </c>
      <c r="H72" s="0" t="str">
        <f aca="false">CRM_Raw!H72</f>
        <v>Negotiation</v>
      </c>
      <c r="I72" s="10" t="n">
        <f aca="false">CRM_Raw!I72</f>
        <v>1514.19</v>
      </c>
      <c r="J72" s="11" t="n">
        <f aca="false">CRM_Raw!J72</f>
        <v>0.2</v>
      </c>
      <c r="K72" s="10" t="n">
        <f aca="false">I72*(1-J72)</f>
        <v>1211.352</v>
      </c>
      <c r="L72" s="12" t="n">
        <f aca="false">CRM_Raw!K72</f>
        <v>0</v>
      </c>
      <c r="M72" s="12" t="n">
        <f aca="false">IF(H72="Closed Won",1,0)</f>
        <v>0</v>
      </c>
    </row>
    <row r="73" customFormat="false" ht="15" hidden="false" customHeight="false" outlineLevel="0" collapsed="false">
      <c r="A73" s="0" t="str">
        <f aca="false">CRM_Raw!A73</f>
        <v>D-10069</v>
      </c>
      <c r="B73" s="0" t="str">
        <f aca="false">CRM_Raw!B73</f>
        <v>2026-03-15</v>
      </c>
      <c r="C73" s="0" t="n">
        <f aca="false">CRM_Raw!C73</f>
        <v>0</v>
      </c>
      <c r="D73" s="0" t="str">
        <f aca="false">IF(CRM_Raw!D73="DACH","DACH",IF(ISNUMBER(SEARCH("uk",CRM_Raw!D73)),"UK &amp; Ireland",PROPER(CRM_Raw!D73)))</f>
        <v>DACH</v>
      </c>
      <c r="E73" s="0" t="str">
        <f aca="false">CRM_Raw!E73</f>
        <v>Washing Machines</v>
      </c>
      <c r="F73" s="0" t="str">
        <f aca="false">CRM_Raw!F73</f>
        <v>Email Campaign</v>
      </c>
      <c r="G73" s="0" t="str">
        <f aca="false">IF(TRIM(CRM_Raw!G73)="","Unassigned",CRM_Raw!G73)</f>
        <v>P. Rossi</v>
      </c>
      <c r="H73" s="0" t="str">
        <f aca="false">CRM_Raw!H73</f>
        <v>Negotiation</v>
      </c>
      <c r="I73" s="10" t="n">
        <f aca="false">CRM_Raw!I73</f>
        <v>605.24</v>
      </c>
      <c r="J73" s="11" t="n">
        <f aca="false">CRM_Raw!J73</f>
        <v>0</v>
      </c>
      <c r="K73" s="10" t="n">
        <f aca="false">I73*(1-J73)</f>
        <v>605.24</v>
      </c>
      <c r="L73" s="12" t="n">
        <f aca="false">CRM_Raw!K73</f>
        <v>0</v>
      </c>
      <c r="M73" s="12" t="n">
        <f aca="false">IF(H73="Closed Won",1,0)</f>
        <v>0</v>
      </c>
    </row>
    <row r="74" customFormat="false" ht="15" hidden="false" customHeight="false" outlineLevel="0" collapsed="false">
      <c r="A74" s="0" t="str">
        <f aca="false">CRM_Raw!A74</f>
        <v>D-10070</v>
      </c>
      <c r="B74" s="0" t="str">
        <f aca="false">CRM_Raw!B74</f>
        <v>2026-03-20</v>
      </c>
      <c r="C74" s="0" t="n">
        <f aca="false">CRM_Raw!C74</f>
        <v>0</v>
      </c>
      <c r="D74" s="0" t="str">
        <f aca="false">IF(CRM_Raw!D74="DACH","DACH",IF(ISNUMBER(SEARCH("uk",CRM_Raw!D74)),"UK &amp; Ireland",PROPER(CRM_Raw!D74)))</f>
        <v>North America</v>
      </c>
      <c r="E74" s="0" t="str">
        <f aca="false">CRM_Raw!E74</f>
        <v>Dishwashers</v>
      </c>
      <c r="F74" s="0" t="str">
        <f aca="false">CRM_Raw!F74</f>
        <v>Email Campaign</v>
      </c>
      <c r="G74" s="0" t="str">
        <f aca="false">IF(TRIM(CRM_Raw!G74)="","Unassigned",CRM_Raw!G74)</f>
        <v>L. Dubois</v>
      </c>
      <c r="H74" s="0" t="str">
        <f aca="false">CRM_Raw!H74</f>
        <v>Qualified</v>
      </c>
      <c r="I74" s="10" t="n">
        <f aca="false">CRM_Raw!I74</f>
        <v>1492.28</v>
      </c>
      <c r="J74" s="11" t="n">
        <f aca="false">CRM_Raw!J74</f>
        <v>0.15</v>
      </c>
      <c r="K74" s="10" t="n">
        <f aca="false">I74*(1-J74)</f>
        <v>1268.438</v>
      </c>
      <c r="L74" s="12" t="n">
        <f aca="false">CRM_Raw!K74</f>
        <v>0</v>
      </c>
      <c r="M74" s="12" t="n">
        <f aca="false">IF(H74="Closed Won",1,0)</f>
        <v>0</v>
      </c>
    </row>
    <row r="75" customFormat="false" ht="15" hidden="false" customHeight="false" outlineLevel="0" collapsed="false">
      <c r="A75" s="0" t="str">
        <f aca="false">CRM_Raw!A75</f>
        <v>D-10071</v>
      </c>
      <c r="B75" s="0" t="str">
        <f aca="false">CRM_Raw!B75</f>
        <v>2026-05-11</v>
      </c>
      <c r="C75" s="0" t="str">
        <f aca="false">CRM_Raw!C75</f>
        <v>2026-06-01</v>
      </c>
      <c r="D75" s="0" t="str">
        <f aca="false">IF(CRM_Raw!D75="DACH","DACH",IF(ISNUMBER(SEARCH("uk",CRM_Raw!D75)),"UK &amp; Ireland",PROPER(CRM_Raw!D75)))</f>
        <v>UK &amp; Ireland</v>
      </c>
      <c r="E75" s="0" t="str">
        <f aca="false">CRM_Raw!E75</f>
        <v>Dishwashers</v>
      </c>
      <c r="F75" s="0" t="str">
        <f aca="false">CRM_Raw!F75</f>
        <v>Web-shop Organic</v>
      </c>
      <c r="G75" s="0" t="str">
        <f aca="false">IF(TRIM(CRM_Raw!G75)="","Unassigned",CRM_Raw!G75)</f>
        <v>J. Murphy</v>
      </c>
      <c r="H75" s="0" t="str">
        <f aca="false">CRM_Raw!H75</f>
        <v>Closed Lost</v>
      </c>
      <c r="I75" s="10" t="n">
        <f aca="false">CRM_Raw!I75</f>
        <v>2336.7</v>
      </c>
      <c r="J75" s="11" t="n">
        <f aca="false">CRM_Raw!J75</f>
        <v>0</v>
      </c>
      <c r="K75" s="10" t="n">
        <f aca="false">I75*(1-J75)</f>
        <v>2336.7</v>
      </c>
      <c r="L75" s="12" t="n">
        <f aca="false">CRM_Raw!K75</f>
        <v>29</v>
      </c>
      <c r="M75" s="12" t="n">
        <f aca="false">IF(H75="Closed Won",1,0)</f>
        <v>0</v>
      </c>
    </row>
    <row r="76" customFormat="false" ht="15" hidden="false" customHeight="false" outlineLevel="0" collapsed="false">
      <c r="A76" s="0" t="str">
        <f aca="false">CRM_Raw!A76</f>
        <v>D-10072</v>
      </c>
      <c r="B76" s="0" t="str">
        <f aca="false">CRM_Raw!B76</f>
        <v>2025-10-13</v>
      </c>
      <c r="C76" s="0" t="n">
        <f aca="false">CRM_Raw!C76</f>
        <v>0</v>
      </c>
      <c r="D76" s="0" t="str">
        <f aca="false">IF(CRM_Raw!D76="DACH","DACH",IF(ISNUMBER(SEARCH("uk",CRM_Raw!D76)),"UK &amp; Ireland",PROPER(CRM_Raw!D76)))</f>
        <v>France</v>
      </c>
      <c r="E76" s="0" t="str">
        <f aca="false">CRM_Raw!E76</f>
        <v>Coffee Systems</v>
      </c>
      <c r="F76" s="0" t="str">
        <f aca="false">CRM_Raw!F76</f>
        <v>Email Campaign</v>
      </c>
      <c r="G76" s="0" t="str">
        <f aca="false">IF(TRIM(CRM_Raw!G76)="","Unassigned",CRM_Raw!G76)</f>
        <v>L. Dubois</v>
      </c>
      <c r="H76" s="0" t="str">
        <f aca="false">CRM_Raw!H76</f>
        <v>Qualified</v>
      </c>
      <c r="I76" s="10" t="n">
        <f aca="false">CRM_Raw!I76</f>
        <v>994.89</v>
      </c>
      <c r="J76" s="11" t="n">
        <f aca="false">CRM_Raw!J76</f>
        <v>0.1</v>
      </c>
      <c r="K76" s="10" t="n">
        <f aca="false">I76*(1-J76)</f>
        <v>895.401</v>
      </c>
      <c r="L76" s="12" t="n">
        <f aca="false">CRM_Raw!K76</f>
        <v>0</v>
      </c>
      <c r="M76" s="12" t="n">
        <f aca="false">IF(H76="Closed Won",1,0)</f>
        <v>0</v>
      </c>
    </row>
    <row r="77" customFormat="false" ht="15" hidden="false" customHeight="false" outlineLevel="0" collapsed="false">
      <c r="A77" s="0" t="str">
        <f aca="false">CRM_Raw!A77</f>
        <v>D-10073</v>
      </c>
      <c r="B77" s="0" t="str">
        <f aca="false">CRM_Raw!B77</f>
        <v>2026-05-22</v>
      </c>
      <c r="C77" s="0" t="n">
        <f aca="false">CRM_Raw!C77</f>
        <v>0</v>
      </c>
      <c r="D77" s="0" t="str">
        <f aca="false">IF(CRM_Raw!D77="DACH","DACH",IF(ISNUMBER(SEARCH("uk",CRM_Raw!D77)),"UK &amp; Ireland",PROPER(CRM_Raw!D77)))</f>
        <v>Nordics</v>
      </c>
      <c r="E77" s="0" t="str">
        <f aca="false">CRM_Raw!E77</f>
        <v>Small Kitchen Appliances</v>
      </c>
      <c r="F77" s="0" t="str">
        <f aca="false">CRM_Raw!F77</f>
        <v>Paid Search</v>
      </c>
      <c r="G77" s="0" t="str">
        <f aca="false">IF(TRIM(CRM_Raw!G77)="","Unassigned",CRM_Raw!G77)</f>
        <v>A. Becker</v>
      </c>
      <c r="H77" s="0" t="str">
        <f aca="false">CRM_Raw!H77</f>
        <v>Proposal Sent</v>
      </c>
      <c r="I77" s="10" t="n">
        <f aca="false">CRM_Raw!I77</f>
        <v>115.05</v>
      </c>
      <c r="J77" s="11" t="n">
        <f aca="false">CRM_Raw!J77</f>
        <v>0</v>
      </c>
      <c r="K77" s="10" t="n">
        <f aca="false">I77*(1-J77)</f>
        <v>115.05</v>
      </c>
      <c r="L77" s="12" t="n">
        <f aca="false">CRM_Raw!K77</f>
        <v>0</v>
      </c>
      <c r="M77" s="12" t="n">
        <f aca="false">IF(H77="Closed Won",1,0)</f>
        <v>0</v>
      </c>
    </row>
    <row r="78" customFormat="false" ht="15" hidden="false" customHeight="false" outlineLevel="0" collapsed="false">
      <c r="A78" s="0" t="str">
        <f aca="false">CRM_Raw!A78</f>
        <v>D-10074</v>
      </c>
      <c r="B78" s="0" t="str">
        <f aca="false">CRM_Raw!B78</f>
        <v>2025-01-11</v>
      </c>
      <c r="C78" s="0" t="str">
        <f aca="false">CRM_Raw!C78</f>
        <v>2025-02-03</v>
      </c>
      <c r="D78" s="0" t="str">
        <f aca="false">IF(CRM_Raw!D78="DACH","DACH",IF(ISNUMBER(SEARCH("uk",CRM_Raw!D78)),"UK &amp; Ireland",PROPER(CRM_Raw!D78)))</f>
        <v>North America</v>
      </c>
      <c r="E78" s="0" t="str">
        <f aca="false">CRM_Raw!E78</f>
        <v>Cordless Vacuums</v>
      </c>
      <c r="F78" s="0" t="str">
        <f aca="false">CRM_Raw!F78</f>
        <v>Paid Search</v>
      </c>
      <c r="G78" s="0" t="str">
        <f aca="false">IF(TRIM(CRM_Raw!G78)="","Unassigned",CRM_Raw!G78)</f>
        <v>J. Murphy</v>
      </c>
      <c r="H78" s="0" t="str">
        <f aca="false">CRM_Raw!H78</f>
        <v>Closed Lost</v>
      </c>
      <c r="I78" s="10" t="n">
        <f aca="false">CRM_Raw!I78</f>
        <v>1072.74</v>
      </c>
      <c r="J78" s="11" t="n">
        <f aca="false">CRM_Raw!J78</f>
        <v>0.2</v>
      </c>
      <c r="K78" s="10" t="n">
        <f aca="false">I78*(1-J78)</f>
        <v>858.192</v>
      </c>
      <c r="L78" s="12" t="n">
        <f aca="false">CRM_Raw!K78</f>
        <v>23</v>
      </c>
      <c r="M78" s="12" t="n">
        <f aca="false">IF(H78="Closed Won",1,0)</f>
        <v>0</v>
      </c>
    </row>
    <row r="79" customFormat="false" ht="15" hidden="false" customHeight="false" outlineLevel="0" collapsed="false">
      <c r="A79" s="0" t="str">
        <f aca="false">CRM_Raw!A79</f>
        <v>D-10075</v>
      </c>
      <c r="B79" s="0" t="str">
        <f aca="false">CRM_Raw!B79</f>
        <v>2026-04-04</v>
      </c>
      <c r="C79" s="0" t="n">
        <f aca="false">CRM_Raw!C79</f>
        <v>0</v>
      </c>
      <c r="D79" s="0" t="str">
        <f aca="false">IF(CRM_Raw!D79="DACH","DACH",IF(ISNUMBER(SEARCH("uk",CRM_Raw!D79)),"UK &amp; Ireland",PROPER(CRM_Raw!D79)))</f>
        <v>UK &amp; Ireland</v>
      </c>
      <c r="E79" s="0" t="str">
        <f aca="false">CRM_Raw!E79</f>
        <v>Small Kitchen Appliances</v>
      </c>
      <c r="F79" s="0" t="str">
        <f aca="false">CRM_Raw!F79</f>
        <v>Social Media Ads</v>
      </c>
      <c r="G79" s="0" t="str">
        <f aca="false">IF(TRIM(CRM_Raw!G79)="","Unassigned",CRM_Raw!G79)</f>
        <v>T. Wagner</v>
      </c>
      <c r="H79" s="0" t="str">
        <f aca="false">CRM_Raw!H79</f>
        <v>Proposal Sent</v>
      </c>
      <c r="I79" s="10" t="n">
        <f aca="false">CRM_Raw!I79</f>
        <v>112.41</v>
      </c>
      <c r="J79" s="11" t="n">
        <f aca="false">CRM_Raw!J79</f>
        <v>0.05</v>
      </c>
      <c r="K79" s="10" t="n">
        <f aca="false">I79*(1-J79)</f>
        <v>106.7895</v>
      </c>
      <c r="L79" s="12" t="n">
        <f aca="false">CRM_Raw!K79</f>
        <v>0</v>
      </c>
      <c r="M79" s="12" t="n">
        <f aca="false">IF(H79="Closed Won",1,0)</f>
        <v>0</v>
      </c>
    </row>
    <row r="80" customFormat="false" ht="15" hidden="false" customHeight="false" outlineLevel="0" collapsed="false">
      <c r="A80" s="0" t="str">
        <f aca="false">CRM_Raw!A80</f>
        <v>D-10076</v>
      </c>
      <c r="B80" s="0" t="str">
        <f aca="false">CRM_Raw!B80</f>
        <v>2026-04-30</v>
      </c>
      <c r="C80" s="0" t="str">
        <f aca="false">CRM_Raw!C80</f>
        <v>2026-05-27</v>
      </c>
      <c r="D80" s="0" t="str">
        <f aca="false">IF(CRM_Raw!D80="DACH","DACH",IF(ISNUMBER(SEARCH("uk",CRM_Raw!D80)),"UK &amp; Ireland",PROPER(CRM_Raw!D80)))</f>
        <v>Southern Europe</v>
      </c>
      <c r="E80" s="0" t="str">
        <f aca="false">CRM_Raw!E80</f>
        <v>Coffee Systems</v>
      </c>
      <c r="F80" s="0" t="str">
        <f aca="false">CRM_Raw!F80</f>
        <v>Paid Search</v>
      </c>
      <c r="G80" s="0" t="str">
        <f aca="false">IF(TRIM(CRM_Raw!G80)="","Unassigned",CRM_Raw!G80)</f>
        <v>P. Rossi</v>
      </c>
      <c r="H80" s="0" t="str">
        <f aca="false">CRM_Raw!H80</f>
        <v>Closed Lost</v>
      </c>
      <c r="I80" s="10" t="n">
        <f aca="false">CRM_Raw!I80</f>
        <v>1530.17</v>
      </c>
      <c r="J80" s="11" t="n">
        <f aca="false">CRM_Raw!J80</f>
        <v>0</v>
      </c>
      <c r="K80" s="10" t="n">
        <f aca="false">I80*(1-J80)</f>
        <v>1530.17</v>
      </c>
      <c r="L80" s="12" t="n">
        <f aca="false">CRM_Raw!K80</f>
        <v>27</v>
      </c>
      <c r="M80" s="12" t="n">
        <f aca="false">IF(H80="Closed Won",1,0)</f>
        <v>0</v>
      </c>
    </row>
    <row r="81" customFormat="false" ht="15" hidden="false" customHeight="false" outlineLevel="0" collapsed="false">
      <c r="A81" s="0" t="str">
        <f aca="false">CRM_Raw!A81</f>
        <v>D-10077</v>
      </c>
      <c r="B81" s="0" t="str">
        <f aca="false">CRM_Raw!B81</f>
        <v>2025-09-15</v>
      </c>
      <c r="C81" s="0" t="str">
        <f aca="false">CRM_Raw!C81</f>
        <v>2025-10-04</v>
      </c>
      <c r="D81" s="0" t="str">
        <f aca="false">IF(CRM_Raw!D81="DACH","DACH",IF(ISNUMBER(SEARCH("uk",CRM_Raw!D81)),"UK &amp; Ireland",PROPER(CRM_Raw!D81)))</f>
        <v>France</v>
      </c>
      <c r="E81" s="0" t="str">
        <f aca="false">CRM_Raw!E81</f>
        <v>Small Kitchen Appliances</v>
      </c>
      <c r="F81" s="0" t="str">
        <f aca="false">CRM_Raw!F81</f>
        <v>Social Media Ads</v>
      </c>
      <c r="G81" s="0" t="str">
        <f aca="false">IF(TRIM(CRM_Raw!G81)="","Unassigned",CRM_Raw!G81)</f>
        <v>J. Murphy</v>
      </c>
      <c r="H81" s="0" t="str">
        <f aca="false">CRM_Raw!H81</f>
        <v>Closed Won</v>
      </c>
      <c r="I81" s="10" t="n">
        <f aca="false">CRM_Raw!I81</f>
        <v>131.69</v>
      </c>
      <c r="J81" s="11" t="n">
        <f aca="false">CRM_Raw!J81</f>
        <v>0</v>
      </c>
      <c r="K81" s="10" t="n">
        <f aca="false">I81*(1-J81)</f>
        <v>131.69</v>
      </c>
      <c r="L81" s="12" t="n">
        <f aca="false">CRM_Raw!K81</f>
        <v>19</v>
      </c>
      <c r="M81" s="12" t="n">
        <f aca="false">IF(H81="Closed Won",1,0)</f>
        <v>1</v>
      </c>
    </row>
    <row r="82" customFormat="false" ht="15" hidden="false" customHeight="false" outlineLevel="0" collapsed="false">
      <c r="A82" s="0" t="str">
        <f aca="false">CRM_Raw!A82</f>
        <v>D-10078</v>
      </c>
      <c r="B82" s="0" t="str">
        <f aca="false">CRM_Raw!B82</f>
        <v>2025-04-13</v>
      </c>
      <c r="C82" s="0" t="n">
        <f aca="false">CRM_Raw!C82</f>
        <v>0</v>
      </c>
      <c r="D82" s="0" t="str">
        <f aca="false">IF(CRM_Raw!D82="DACH","DACH",IF(ISNUMBER(SEARCH("uk",CRM_Raw!D82)),"UK &amp; Ireland",PROPER(CRM_Raw!D82)))</f>
        <v>UK &amp; Ireland</v>
      </c>
      <c r="E82" s="0" t="str">
        <f aca="false">CRM_Raw!E82</f>
        <v>Small Kitchen Appliances</v>
      </c>
      <c r="F82" s="0" t="str">
        <f aca="false">CRM_Raw!F82</f>
        <v>Social Media Ads</v>
      </c>
      <c r="G82" s="0" t="str">
        <f aca="false">IF(TRIM(CRM_Raw!G82)="","Unassigned",CRM_Raw!G82)</f>
        <v>J. Murphy</v>
      </c>
      <c r="H82" s="0" t="str">
        <f aca="false">CRM_Raw!H82</f>
        <v>Proposal Sent</v>
      </c>
      <c r="I82" s="10" t="n">
        <f aca="false">CRM_Raw!I82</f>
        <v>118.44</v>
      </c>
      <c r="J82" s="11" t="n">
        <f aca="false">CRM_Raw!J82</f>
        <v>0</v>
      </c>
      <c r="K82" s="10" t="n">
        <f aca="false">I82*(1-J82)</f>
        <v>118.44</v>
      </c>
      <c r="L82" s="12" t="n">
        <f aca="false">CRM_Raw!K82</f>
        <v>0</v>
      </c>
      <c r="M82" s="12" t="n">
        <f aca="false">IF(H82="Closed Won",1,0)</f>
        <v>0</v>
      </c>
    </row>
    <row r="83" customFormat="false" ht="15" hidden="false" customHeight="false" outlineLevel="0" collapsed="false">
      <c r="A83" s="0" t="str">
        <f aca="false">CRM_Raw!A83</f>
        <v>D-10079</v>
      </c>
      <c r="B83" s="0" t="str">
        <f aca="false">CRM_Raw!B83</f>
        <v>2025-10-08</v>
      </c>
      <c r="C83" s="0" t="str">
        <f aca="false">CRM_Raw!C83</f>
        <v>2025-10-21</v>
      </c>
      <c r="D83" s="0" t="str">
        <f aca="false">IF(CRM_Raw!D83="DACH","DACH",IF(ISNUMBER(SEARCH("uk",CRM_Raw!D83)),"UK &amp; Ireland",PROPER(CRM_Raw!D83)))</f>
        <v>France</v>
      </c>
      <c r="E83" s="0" t="str">
        <f aca="false">CRM_Raw!E83</f>
        <v>Smart Ovens</v>
      </c>
      <c r="F83" s="0" t="str">
        <f aca="false">CRM_Raw!F83</f>
        <v>Affiliate Partner</v>
      </c>
      <c r="G83" s="0" t="str">
        <f aca="false">IF(TRIM(CRM_Raw!G83)="","Unassigned",CRM_Raw!G83)</f>
        <v>M. Hoffmann</v>
      </c>
      <c r="H83" s="0" t="str">
        <f aca="false">CRM_Raw!H83</f>
        <v>Closed Won</v>
      </c>
      <c r="I83" s="10" t="n">
        <f aca="false">CRM_Raw!I83</f>
        <v>775.42</v>
      </c>
      <c r="J83" s="11" t="n">
        <f aca="false">CRM_Raw!J83</f>
        <v>0.15</v>
      </c>
      <c r="K83" s="10" t="n">
        <f aca="false">I83*(1-J83)</f>
        <v>659.107</v>
      </c>
      <c r="L83" s="12" t="n">
        <f aca="false">CRM_Raw!K83</f>
        <v>13</v>
      </c>
      <c r="M83" s="12" t="n">
        <f aca="false">IF(H83="Closed Won",1,0)</f>
        <v>1</v>
      </c>
    </row>
    <row r="84" customFormat="false" ht="15" hidden="false" customHeight="false" outlineLevel="0" collapsed="false">
      <c r="A84" s="0" t="str">
        <f aca="false">CRM_Raw!A84</f>
        <v>D-10080</v>
      </c>
      <c r="B84" s="0" t="str">
        <f aca="false">CRM_Raw!B84</f>
        <v>2025-04-16</v>
      </c>
      <c r="C84" s="0" t="n">
        <f aca="false">CRM_Raw!C84</f>
        <v>0</v>
      </c>
      <c r="D84" s="0" t="str">
        <f aca="false">IF(CRM_Raw!D84="DACH","DACH",IF(ISNUMBER(SEARCH("uk",CRM_Raw!D84)),"UK &amp; Ireland",PROPER(CRM_Raw!D84)))</f>
        <v>UK &amp; Ireland</v>
      </c>
      <c r="E84" s="0" t="str">
        <f aca="false">CRM_Raw!E84</f>
        <v>Small Kitchen Appliances</v>
      </c>
      <c r="F84" s="0" t="str">
        <f aca="false">CRM_Raw!F84</f>
        <v>Retail Referral</v>
      </c>
      <c r="G84" s="0" t="str">
        <f aca="false">IF(TRIM(CRM_Raw!G84)="","Unassigned",CRM_Raw!G84)</f>
        <v>T. Wagner</v>
      </c>
      <c r="H84" s="0" t="str">
        <f aca="false">CRM_Raw!H84</f>
        <v>Proposal Sent</v>
      </c>
      <c r="I84" s="10" t="n">
        <f aca="false">CRM_Raw!I84</f>
        <v>253.36</v>
      </c>
      <c r="J84" s="11" t="n">
        <f aca="false">CRM_Raw!J84</f>
        <v>0.05</v>
      </c>
      <c r="K84" s="10" t="n">
        <f aca="false">I84*(1-J84)</f>
        <v>240.692</v>
      </c>
      <c r="L84" s="12" t="n">
        <f aca="false">CRM_Raw!K84</f>
        <v>0</v>
      </c>
      <c r="M84" s="12" t="n">
        <f aca="false">IF(H84="Closed Won",1,0)</f>
        <v>0</v>
      </c>
    </row>
    <row r="85" customFormat="false" ht="15" hidden="false" customHeight="false" outlineLevel="0" collapsed="false">
      <c r="A85" s="0" t="str">
        <f aca="false">CRM_Raw!A85</f>
        <v>D-10081</v>
      </c>
      <c r="B85" s="0" t="str">
        <f aca="false">CRM_Raw!B85</f>
        <v>2025-09-16</v>
      </c>
      <c r="C85" s="0" t="n">
        <f aca="false">CRM_Raw!C85</f>
        <v>0</v>
      </c>
      <c r="D85" s="0" t="str">
        <f aca="false">IF(CRM_Raw!D85="DACH","DACH",IF(ISNUMBER(SEARCH("uk",CRM_Raw!D85)),"UK &amp; Ireland",PROPER(CRM_Raw!D85)))</f>
        <v>Benelux</v>
      </c>
      <c r="E85" s="0" t="str">
        <f aca="false">CRM_Raw!E85</f>
        <v>Cordless Vacuums</v>
      </c>
      <c r="F85" s="0" t="str">
        <f aca="false">CRM_Raw!F85</f>
        <v>Web-shop Organic</v>
      </c>
      <c r="G85" s="0" t="str">
        <f aca="false">IF(TRIM(CRM_Raw!G85)="","Unassigned",CRM_Raw!G85)</f>
        <v>A. Becker</v>
      </c>
      <c r="H85" s="0" t="str">
        <f aca="false">CRM_Raw!H85</f>
        <v>Qualified</v>
      </c>
      <c r="I85" s="10" t="n">
        <f aca="false">CRM_Raw!I85</f>
        <v>363.79</v>
      </c>
      <c r="J85" s="11" t="n">
        <f aca="false">CRM_Raw!J85</f>
        <v>0.05</v>
      </c>
      <c r="K85" s="10" t="n">
        <f aca="false">I85*(1-J85)</f>
        <v>345.6005</v>
      </c>
      <c r="L85" s="12" t="n">
        <f aca="false">CRM_Raw!K85</f>
        <v>0</v>
      </c>
      <c r="M85" s="12" t="n">
        <f aca="false">IF(H85="Closed Won",1,0)</f>
        <v>0</v>
      </c>
    </row>
    <row r="86" customFormat="false" ht="15" hidden="false" customHeight="false" outlineLevel="0" collapsed="false">
      <c r="A86" s="0" t="str">
        <f aca="false">CRM_Raw!A86</f>
        <v>D-10082</v>
      </c>
      <c r="B86" s="0" t="str">
        <f aca="false">CRM_Raw!B86</f>
        <v>2025-06-05</v>
      </c>
      <c r="C86" s="0" t="str">
        <f aca="false">CRM_Raw!C86</f>
        <v>2025-06-18</v>
      </c>
      <c r="D86" s="0" t="str">
        <f aca="false">IF(CRM_Raw!D86="DACH","DACH",IF(ISNUMBER(SEARCH("uk",CRM_Raw!D86)),"UK &amp; Ireland",PROPER(CRM_Raw!D86)))</f>
        <v>Benelux</v>
      </c>
      <c r="E86" s="0" t="str">
        <f aca="false">CRM_Raw!E86</f>
        <v>Smart Ovens</v>
      </c>
      <c r="F86" s="0" t="str">
        <f aca="false">CRM_Raw!F86</f>
        <v>Social Media Ads</v>
      </c>
      <c r="G86" s="0" t="str">
        <f aca="false">IF(TRIM(CRM_Raw!G86)="","Unassigned",CRM_Raw!G86)</f>
        <v>A. Becker</v>
      </c>
      <c r="H86" s="0" t="str">
        <f aca="false">CRM_Raw!H86</f>
        <v>Closed Won</v>
      </c>
      <c r="I86" s="10" t="n">
        <f aca="false">CRM_Raw!I86</f>
        <v>969.66</v>
      </c>
      <c r="J86" s="11" t="n">
        <f aca="false">CRM_Raw!J86</f>
        <v>0.1</v>
      </c>
      <c r="K86" s="10" t="n">
        <f aca="false">I86*(1-J86)</f>
        <v>872.694</v>
      </c>
      <c r="L86" s="12" t="n">
        <f aca="false">CRM_Raw!K86</f>
        <v>13</v>
      </c>
      <c r="M86" s="12" t="n">
        <f aca="false">IF(H86="Closed Won",1,0)</f>
        <v>1</v>
      </c>
    </row>
    <row r="87" customFormat="false" ht="15" hidden="false" customHeight="false" outlineLevel="0" collapsed="false">
      <c r="A87" s="0" t="str">
        <f aca="false">CRM_Raw!A87</f>
        <v>D-10083</v>
      </c>
      <c r="B87" s="0" t="str">
        <f aca="false">CRM_Raw!B87</f>
        <v>2026-01-25</v>
      </c>
      <c r="C87" s="0" t="str">
        <f aca="false">CRM_Raw!C87</f>
        <v>2026-02-12</v>
      </c>
      <c r="D87" s="0" t="str">
        <f aca="false">IF(CRM_Raw!D87="DACH","DACH",IF(ISNUMBER(SEARCH("uk",CRM_Raw!D87)),"UK &amp; Ireland",PROPER(CRM_Raw!D87)))</f>
        <v>North America</v>
      </c>
      <c r="E87" s="0" t="str">
        <f aca="false">CRM_Raw!E87</f>
        <v>Dishwashers</v>
      </c>
      <c r="F87" s="0" t="str">
        <f aca="false">CRM_Raw!F87</f>
        <v>Social Media Ads</v>
      </c>
      <c r="G87" s="0" t="str">
        <f aca="false">IF(TRIM(CRM_Raw!G87)="","Unassigned",CRM_Raw!G87)</f>
        <v>S. Andersson</v>
      </c>
      <c r="H87" s="0" t="str">
        <f aca="false">CRM_Raw!H87</f>
        <v>Closed Lost</v>
      </c>
      <c r="I87" s="10" t="n">
        <f aca="false">CRM_Raw!I87</f>
        <v>2138.75</v>
      </c>
      <c r="J87" s="11" t="n">
        <f aca="false">CRM_Raw!J87</f>
        <v>0.05</v>
      </c>
      <c r="K87" s="10" t="n">
        <f aca="false">I87*(1-J87)</f>
        <v>2031.8125</v>
      </c>
      <c r="L87" s="12" t="n">
        <f aca="false">CRM_Raw!K87</f>
        <v>18</v>
      </c>
      <c r="M87" s="12" t="n">
        <f aca="false">IF(H87="Closed Won",1,0)</f>
        <v>0</v>
      </c>
    </row>
    <row r="88" customFormat="false" ht="15" hidden="false" customHeight="false" outlineLevel="0" collapsed="false">
      <c r="A88" s="0" t="str">
        <f aca="false">CRM_Raw!A88</f>
        <v>D-10084</v>
      </c>
      <c r="B88" s="0" t="str">
        <f aca="false">CRM_Raw!B88</f>
        <v>2025-08-01</v>
      </c>
      <c r="C88" s="0" t="str">
        <f aca="false">CRM_Raw!C88</f>
        <v>2025-08-21</v>
      </c>
      <c r="D88" s="0" t="str">
        <f aca="false">IF(CRM_Raw!D88="DACH","DACH",IF(ISNUMBER(SEARCH("uk",CRM_Raw!D88)),"UK &amp; Ireland",PROPER(CRM_Raw!D88)))</f>
        <v>France</v>
      </c>
      <c r="E88" s="0" t="str">
        <f aca="false">CRM_Raw!E88</f>
        <v>Washing Machines</v>
      </c>
      <c r="F88" s="0" t="str">
        <f aca="false">CRM_Raw!F88</f>
        <v>Social Media Ads</v>
      </c>
      <c r="G88" s="0" t="str">
        <f aca="false">IF(TRIM(CRM_Raw!G88)="","Unassigned",CRM_Raw!G88)</f>
        <v>L. Dubois</v>
      </c>
      <c r="H88" s="0" t="str">
        <f aca="false">CRM_Raw!H88</f>
        <v>Closed Lost</v>
      </c>
      <c r="I88" s="10" t="n">
        <f aca="false">CRM_Raw!I88</f>
        <v>1898.14</v>
      </c>
      <c r="J88" s="11" t="n">
        <f aca="false">CRM_Raw!J88</f>
        <v>0</v>
      </c>
      <c r="K88" s="10" t="n">
        <f aca="false">I88*(1-J88)</f>
        <v>1898.14</v>
      </c>
      <c r="L88" s="12" t="n">
        <f aca="false">CRM_Raw!K88</f>
        <v>20</v>
      </c>
      <c r="M88" s="12" t="n">
        <f aca="false">IF(H88="Closed Won",1,0)</f>
        <v>0</v>
      </c>
    </row>
    <row r="89" customFormat="false" ht="15" hidden="false" customHeight="false" outlineLevel="0" collapsed="false">
      <c r="A89" s="0" t="str">
        <f aca="false">CRM_Raw!A89</f>
        <v>D-10085</v>
      </c>
      <c r="B89" s="0" t="str">
        <f aca="false">CRM_Raw!B89</f>
        <v>2025-10-26</v>
      </c>
      <c r="C89" s="0" t="str">
        <f aca="false">CRM_Raw!C89</f>
        <v>2025-11-19</v>
      </c>
      <c r="D89" s="0" t="str">
        <f aca="false">IF(CRM_Raw!D89="DACH","DACH",IF(ISNUMBER(SEARCH("uk",CRM_Raw!D89)),"UK &amp; Ireland",PROPER(CRM_Raw!D89)))</f>
        <v>UK &amp; Ireland</v>
      </c>
      <c r="E89" s="0" t="str">
        <f aca="false">CRM_Raw!E89</f>
        <v>Smart Ovens</v>
      </c>
      <c r="F89" s="0" t="str">
        <f aca="false">CRM_Raw!F89</f>
        <v>Paid Search</v>
      </c>
      <c r="G89" s="0" t="str">
        <f aca="false">IF(TRIM(CRM_Raw!G89)="","Unassigned",CRM_Raw!G89)</f>
        <v>T. Wagner</v>
      </c>
      <c r="H89" s="0" t="str">
        <f aca="false">CRM_Raw!H89</f>
        <v>Closed Won</v>
      </c>
      <c r="I89" s="10" t="n">
        <f aca="false">CRM_Raw!I89</f>
        <v>823.72</v>
      </c>
      <c r="J89" s="11" t="n">
        <f aca="false">CRM_Raw!J89</f>
        <v>0.15</v>
      </c>
      <c r="K89" s="10" t="n">
        <f aca="false">I89*(1-J89)</f>
        <v>700.162</v>
      </c>
      <c r="L89" s="12" t="n">
        <f aca="false">CRM_Raw!K89</f>
        <v>24</v>
      </c>
      <c r="M89" s="12" t="n">
        <f aca="false">IF(H89="Closed Won",1,0)</f>
        <v>1</v>
      </c>
    </row>
    <row r="90" customFormat="false" ht="15" hidden="false" customHeight="false" outlineLevel="0" collapsed="false">
      <c r="A90" s="0" t="str">
        <f aca="false">CRM_Raw!A90</f>
        <v>D-10086</v>
      </c>
      <c r="B90" s="0" t="str">
        <f aca="false">CRM_Raw!B90</f>
        <v>2025-09-28</v>
      </c>
      <c r="C90" s="0" t="n">
        <f aca="false">CRM_Raw!C90</f>
        <v>0</v>
      </c>
      <c r="D90" s="0" t="str">
        <f aca="false">IF(CRM_Raw!D90="DACH","DACH",IF(ISNUMBER(SEARCH("uk",CRM_Raw!D90)),"UK &amp; Ireland",PROPER(CRM_Raw!D90)))</f>
        <v>North America</v>
      </c>
      <c r="E90" s="0" t="str">
        <f aca="false">CRM_Raw!E90</f>
        <v>Dishwashers</v>
      </c>
      <c r="F90" s="0" t="str">
        <f aca="false">CRM_Raw!F90</f>
        <v>Web-shop Organic</v>
      </c>
      <c r="G90" s="0" t="str">
        <f aca="false">IF(TRIM(CRM_Raw!G90)="","Unassigned",CRM_Raw!G90)</f>
        <v>S. Andersson</v>
      </c>
      <c r="H90" s="0" t="str">
        <f aca="false">CRM_Raw!H90</f>
        <v>Proposal Sent</v>
      </c>
      <c r="I90" s="10" t="n">
        <f aca="false">CRM_Raw!I90</f>
        <v>744.33</v>
      </c>
      <c r="J90" s="11" t="n">
        <f aca="false">CRM_Raw!J90</f>
        <v>0.05</v>
      </c>
      <c r="K90" s="10" t="n">
        <f aca="false">I90*(1-J90)</f>
        <v>707.1135</v>
      </c>
      <c r="L90" s="12" t="n">
        <f aca="false">CRM_Raw!K90</f>
        <v>0</v>
      </c>
      <c r="M90" s="12" t="n">
        <f aca="false">IF(H90="Closed Won",1,0)</f>
        <v>0</v>
      </c>
    </row>
    <row r="91" customFormat="false" ht="15" hidden="false" customHeight="false" outlineLevel="0" collapsed="false">
      <c r="A91" s="0" t="str">
        <f aca="false">CRM_Raw!A91</f>
        <v>D-10087</v>
      </c>
      <c r="B91" s="0" t="str">
        <f aca="false">CRM_Raw!B91</f>
        <v>2025-09-30</v>
      </c>
      <c r="C91" s="0" t="n">
        <f aca="false">CRM_Raw!C91</f>
        <v>0</v>
      </c>
      <c r="D91" s="0" t="str">
        <f aca="false">IF(CRM_Raw!D91="DACH","DACH",IF(ISNUMBER(SEARCH("uk",CRM_Raw!D91)),"UK &amp; Ireland",PROPER(CRM_Raw!D91)))</f>
        <v>DACH</v>
      </c>
      <c r="E91" s="0" t="str">
        <f aca="false">CRM_Raw!E91</f>
        <v>Washing Machines</v>
      </c>
      <c r="F91" s="0" t="str">
        <f aca="false">CRM_Raw!F91</f>
        <v>Web-shop Organic</v>
      </c>
      <c r="G91" s="0" t="str">
        <f aca="false">IF(TRIM(CRM_Raw!G91)="","Unassigned",CRM_Raw!G91)</f>
        <v>M. Hoffmann</v>
      </c>
      <c r="H91" s="0" t="str">
        <f aca="false">CRM_Raw!H91</f>
        <v>Proposal Sent</v>
      </c>
      <c r="I91" s="10" t="n">
        <f aca="false">CRM_Raw!I91</f>
        <v>605.63</v>
      </c>
      <c r="J91" s="11" t="n">
        <f aca="false">CRM_Raw!J91</f>
        <v>0.2</v>
      </c>
      <c r="K91" s="10" t="n">
        <f aca="false">I91*(1-J91)</f>
        <v>484.504</v>
      </c>
      <c r="L91" s="12" t="n">
        <f aca="false">CRM_Raw!K91</f>
        <v>0</v>
      </c>
      <c r="M91" s="12" t="n">
        <f aca="false">IF(H91="Closed Won",1,0)</f>
        <v>0</v>
      </c>
    </row>
    <row r="92" customFormat="false" ht="15" hidden="false" customHeight="false" outlineLevel="0" collapsed="false">
      <c r="A92" s="0" t="str">
        <f aca="false">CRM_Raw!A92</f>
        <v>D-10088</v>
      </c>
      <c r="B92" s="0" t="str">
        <f aca="false">CRM_Raw!B92</f>
        <v>2026-03-26</v>
      </c>
      <c r="C92" s="0" t="str">
        <f aca="false">CRM_Raw!C92</f>
        <v>2026-04-10</v>
      </c>
      <c r="D92" s="0" t="str">
        <f aca="false">IF(CRM_Raw!D92="DACH","DACH",IF(ISNUMBER(SEARCH("uk",CRM_Raw!D92)),"UK &amp; Ireland",PROPER(CRM_Raw!D92)))</f>
        <v>France</v>
      </c>
      <c r="E92" s="0" t="str">
        <f aca="false">CRM_Raw!E92</f>
        <v>Washing Machines</v>
      </c>
      <c r="F92" s="0" t="str">
        <f aca="false">CRM_Raw!F92</f>
        <v>Affiliate Partner</v>
      </c>
      <c r="G92" s="0" t="str">
        <f aca="false">IF(TRIM(CRM_Raw!G92)="","Unassigned",CRM_Raw!G92)</f>
        <v>Unassigned</v>
      </c>
      <c r="H92" s="0" t="str">
        <f aca="false">CRM_Raw!H92</f>
        <v>Closed Won</v>
      </c>
      <c r="I92" s="10" t="n">
        <f aca="false">CRM_Raw!I92</f>
        <v>2237.11</v>
      </c>
      <c r="J92" s="11" t="n">
        <f aca="false">CRM_Raw!J92</f>
        <v>0.1</v>
      </c>
      <c r="K92" s="10" t="n">
        <f aca="false">I92*(1-J92)</f>
        <v>2013.399</v>
      </c>
      <c r="L92" s="12" t="n">
        <f aca="false">CRM_Raw!K92</f>
        <v>15</v>
      </c>
      <c r="M92" s="12" t="n">
        <f aca="false">IF(H92="Closed Won",1,0)</f>
        <v>1</v>
      </c>
    </row>
    <row r="93" customFormat="false" ht="15" hidden="false" customHeight="false" outlineLevel="0" collapsed="false">
      <c r="A93" s="0" t="str">
        <f aca="false">CRM_Raw!A93</f>
        <v>D-10089</v>
      </c>
      <c r="B93" s="0" t="str">
        <f aca="false">CRM_Raw!B93</f>
        <v>2026-03-19</v>
      </c>
      <c r="C93" s="0" t="n">
        <f aca="false">CRM_Raw!C93</f>
        <v>0</v>
      </c>
      <c r="D93" s="0" t="str">
        <f aca="false">IF(CRM_Raw!D93="DACH","DACH",IF(ISNUMBER(SEARCH("uk",CRM_Raw!D93)),"UK &amp; Ireland",PROPER(CRM_Raw!D93)))</f>
        <v>Benelux</v>
      </c>
      <c r="E93" s="0" t="str">
        <f aca="false">CRM_Raw!E93</f>
        <v>Dishwashers</v>
      </c>
      <c r="F93" s="0" t="str">
        <f aca="false">CRM_Raw!F93</f>
        <v>Web-shop Organic</v>
      </c>
      <c r="G93" s="0" t="str">
        <f aca="false">IF(TRIM(CRM_Raw!G93)="","Unassigned",CRM_Raw!G93)</f>
        <v>A. Becker</v>
      </c>
      <c r="H93" s="0" t="str">
        <f aca="false">CRM_Raw!H93</f>
        <v>Negotiation</v>
      </c>
      <c r="I93" s="10" t="n">
        <f aca="false">CRM_Raw!I93</f>
        <v>740.65</v>
      </c>
      <c r="J93" s="11" t="n">
        <f aca="false">CRM_Raw!J93</f>
        <v>0</v>
      </c>
      <c r="K93" s="10" t="n">
        <f aca="false">I93*(1-J93)</f>
        <v>740.65</v>
      </c>
      <c r="L93" s="12" t="n">
        <f aca="false">CRM_Raw!K93</f>
        <v>0</v>
      </c>
      <c r="M93" s="12" t="n">
        <f aca="false">IF(H93="Closed Won",1,0)</f>
        <v>0</v>
      </c>
    </row>
    <row r="94" customFormat="false" ht="15" hidden="false" customHeight="false" outlineLevel="0" collapsed="false">
      <c r="A94" s="0" t="str">
        <f aca="false">CRM_Raw!A94</f>
        <v>D-10090</v>
      </c>
      <c r="B94" s="0" t="str">
        <f aca="false">CRM_Raw!B94</f>
        <v>2025-10-03</v>
      </c>
      <c r="C94" s="0" t="str">
        <f aca="false">CRM_Raw!C94</f>
        <v>2025-10-11</v>
      </c>
      <c r="D94" s="0" t="str">
        <f aca="false">IF(CRM_Raw!D94="DACH","DACH",IF(ISNUMBER(SEARCH("uk",CRM_Raw!D94)),"UK &amp; Ireland",PROPER(CRM_Raw!D94)))</f>
        <v>UK &amp; Ireland</v>
      </c>
      <c r="E94" s="0" t="str">
        <f aca="false">CRM_Raw!E94</f>
        <v>Small Kitchen Appliances</v>
      </c>
      <c r="F94" s="0" t="str">
        <f aca="false">CRM_Raw!F94</f>
        <v>Email Campaign</v>
      </c>
      <c r="G94" s="0" t="str">
        <f aca="false">IF(TRIM(CRM_Raw!G94)="","Unassigned",CRM_Raw!G94)</f>
        <v>A. Becker</v>
      </c>
      <c r="H94" s="0" t="str">
        <f aca="false">CRM_Raw!H94</f>
        <v>Closed Lost</v>
      </c>
      <c r="I94" s="10" t="n">
        <f aca="false">CRM_Raw!I94</f>
        <v>132.29</v>
      </c>
      <c r="J94" s="11" t="n">
        <f aca="false">CRM_Raw!J94</f>
        <v>0.05</v>
      </c>
      <c r="K94" s="10" t="n">
        <f aca="false">I94*(1-J94)</f>
        <v>125.6755</v>
      </c>
      <c r="L94" s="12" t="n">
        <f aca="false">CRM_Raw!K94</f>
        <v>8</v>
      </c>
      <c r="M94" s="12" t="n">
        <f aca="false">IF(H94="Closed Won",1,0)</f>
        <v>0</v>
      </c>
    </row>
    <row r="95" customFormat="false" ht="15" hidden="false" customHeight="false" outlineLevel="0" collapsed="false">
      <c r="A95" s="0" t="str">
        <f aca="false">CRM_Raw!A95</f>
        <v>D-10091</v>
      </c>
      <c r="B95" s="0" t="str">
        <f aca="false">CRM_Raw!B95</f>
        <v>2025-07-05</v>
      </c>
      <c r="C95" s="0" t="n">
        <f aca="false">CRM_Raw!C95</f>
        <v>0</v>
      </c>
      <c r="D95" s="0" t="str">
        <f aca="false">IF(CRM_Raw!D95="DACH","DACH",IF(ISNUMBER(SEARCH("uk",CRM_Raw!D95)),"UK &amp; Ireland",PROPER(CRM_Raw!D95)))</f>
        <v>Nordics</v>
      </c>
      <c r="E95" s="0" t="str">
        <f aca="false">CRM_Raw!E95</f>
        <v>Small Kitchen Appliances</v>
      </c>
      <c r="F95" s="0" t="str">
        <f aca="false">CRM_Raw!F95</f>
        <v>Paid Search</v>
      </c>
      <c r="G95" s="0" t="str">
        <f aca="false">IF(TRIM(CRM_Raw!G95)="","Unassigned",CRM_Raw!G95)</f>
        <v>J. Murphy</v>
      </c>
      <c r="H95" s="0" t="str">
        <f aca="false">CRM_Raw!H95</f>
        <v>Qualified</v>
      </c>
      <c r="I95" s="10" t="n">
        <f aca="false">CRM_Raw!I95</f>
        <v>245.17</v>
      </c>
      <c r="J95" s="11" t="n">
        <f aca="false">CRM_Raw!J95</f>
        <v>0</v>
      </c>
      <c r="K95" s="10" t="n">
        <f aca="false">I95*(1-J95)</f>
        <v>245.17</v>
      </c>
      <c r="L95" s="12" t="n">
        <f aca="false">CRM_Raw!K95</f>
        <v>0</v>
      </c>
      <c r="M95" s="12" t="n">
        <f aca="false">IF(H95="Closed Won",1,0)</f>
        <v>0</v>
      </c>
    </row>
    <row r="96" customFormat="false" ht="15" hidden="false" customHeight="false" outlineLevel="0" collapsed="false">
      <c r="A96" s="0" t="str">
        <f aca="false">CRM_Raw!A96</f>
        <v>D-10092</v>
      </c>
      <c r="B96" s="0" t="str">
        <f aca="false">CRM_Raw!B96</f>
        <v>2025-04-18</v>
      </c>
      <c r="C96" s="0" t="n">
        <f aca="false">CRM_Raw!C96</f>
        <v>0</v>
      </c>
      <c r="D96" s="0" t="str">
        <f aca="false">IF(CRM_Raw!D96="DACH","DACH",IF(ISNUMBER(SEARCH("uk",CRM_Raw!D96)),"UK &amp; Ireland",PROPER(CRM_Raw!D96)))</f>
        <v>Benelux</v>
      </c>
      <c r="E96" s="0" t="str">
        <f aca="false">CRM_Raw!E96</f>
        <v>Cordless Vacuums</v>
      </c>
      <c r="F96" s="0" t="str">
        <f aca="false">CRM_Raw!F96</f>
        <v>Paid Search</v>
      </c>
      <c r="G96" s="0" t="str">
        <f aca="false">IF(TRIM(CRM_Raw!G96)="","Unassigned",CRM_Raw!G96)</f>
        <v>P. Rossi</v>
      </c>
      <c r="H96" s="0" t="str">
        <f aca="false">CRM_Raw!H96</f>
        <v>Proposal Sent</v>
      </c>
      <c r="I96" s="10" t="n">
        <f aca="false">CRM_Raw!I96</f>
        <v>701.8</v>
      </c>
      <c r="J96" s="11" t="n">
        <f aca="false">CRM_Raw!J96</f>
        <v>0</v>
      </c>
      <c r="K96" s="10" t="n">
        <f aca="false">I96*(1-J96)</f>
        <v>701.8</v>
      </c>
      <c r="L96" s="12" t="n">
        <f aca="false">CRM_Raw!K96</f>
        <v>0</v>
      </c>
      <c r="M96" s="12" t="n">
        <f aca="false">IF(H96="Closed Won",1,0)</f>
        <v>0</v>
      </c>
    </row>
    <row r="97" customFormat="false" ht="15" hidden="false" customHeight="false" outlineLevel="0" collapsed="false">
      <c r="A97" s="0" t="str">
        <f aca="false">CRM_Raw!A97</f>
        <v>D-10093</v>
      </c>
      <c r="B97" s="0" t="str">
        <f aca="false">CRM_Raw!B97</f>
        <v>2026-04-11</v>
      </c>
      <c r="C97" s="0" t="str">
        <f aca="false">CRM_Raw!C97</f>
        <v>2026-05-01</v>
      </c>
      <c r="D97" s="0" t="str">
        <f aca="false">IF(CRM_Raw!D97="DACH","DACH",IF(ISNUMBER(SEARCH("uk",CRM_Raw!D97)),"UK &amp; Ireland",PROPER(CRM_Raw!D97)))</f>
        <v>Southern Europe</v>
      </c>
      <c r="E97" s="0" t="str">
        <f aca="false">CRM_Raw!E97</f>
        <v>Dishwashers</v>
      </c>
      <c r="F97" s="0" t="str">
        <f aca="false">CRM_Raw!F97</f>
        <v>Email Campaign</v>
      </c>
      <c r="G97" s="0" t="str">
        <f aca="false">IF(TRIM(CRM_Raw!G97)="","Unassigned",CRM_Raw!G97)</f>
        <v>A. Becker</v>
      </c>
      <c r="H97" s="0" t="str">
        <f aca="false">CRM_Raw!H97</f>
        <v>Closed Won</v>
      </c>
      <c r="I97" s="10" t="n">
        <f aca="false">CRM_Raw!I97</f>
        <v>2309.21</v>
      </c>
      <c r="J97" s="11" t="n">
        <f aca="false">CRM_Raw!J97</f>
        <v>0.2</v>
      </c>
      <c r="K97" s="10" t="n">
        <f aca="false">I97*(1-J97)</f>
        <v>1847.368</v>
      </c>
      <c r="L97" s="12" t="n">
        <f aca="false">CRM_Raw!K97</f>
        <v>20</v>
      </c>
      <c r="M97" s="12" t="n">
        <f aca="false">IF(H97="Closed Won",1,0)</f>
        <v>1</v>
      </c>
    </row>
    <row r="98" customFormat="false" ht="15" hidden="false" customHeight="false" outlineLevel="0" collapsed="false">
      <c r="A98" s="0" t="str">
        <f aca="false">CRM_Raw!A98</f>
        <v>D-10094</v>
      </c>
      <c r="B98" s="0" t="str">
        <f aca="false">CRM_Raw!B98</f>
        <v>2026-02-28</v>
      </c>
      <c r="C98" s="0" t="str">
        <f aca="false">CRM_Raw!C98</f>
        <v>2026-03-25</v>
      </c>
      <c r="D98" s="0" t="str">
        <f aca="false">IF(CRM_Raw!D98="DACH","DACH",IF(ISNUMBER(SEARCH("uk",CRM_Raw!D98)),"UK &amp; Ireland",PROPER(CRM_Raw!D98)))</f>
        <v>DACH</v>
      </c>
      <c r="E98" s="0" t="str">
        <f aca="false">CRM_Raw!E98</f>
        <v>Small Kitchen Appliances</v>
      </c>
      <c r="F98" s="0" t="str">
        <f aca="false">CRM_Raw!F98</f>
        <v>Retail Referral</v>
      </c>
      <c r="G98" s="0" t="str">
        <f aca="false">IF(TRIM(CRM_Raw!G98)="","Unassigned",CRM_Raw!G98)</f>
        <v>T. Wagner</v>
      </c>
      <c r="H98" s="0" t="str">
        <f aca="false">CRM_Raw!H98</f>
        <v>Closed Won</v>
      </c>
      <c r="I98" s="10" t="n">
        <f aca="false">CRM_Raw!I98</f>
        <v>375.1</v>
      </c>
      <c r="J98" s="11" t="n">
        <f aca="false">CRM_Raw!J98</f>
        <v>0.2</v>
      </c>
      <c r="K98" s="10" t="n">
        <f aca="false">I98*(1-J98)</f>
        <v>300.08</v>
      </c>
      <c r="L98" s="12" t="n">
        <f aca="false">CRM_Raw!K98</f>
        <v>25</v>
      </c>
      <c r="M98" s="12" t="n">
        <f aca="false">IF(H98="Closed Won",1,0)</f>
        <v>1</v>
      </c>
    </row>
    <row r="99" customFormat="false" ht="15" hidden="false" customHeight="false" outlineLevel="0" collapsed="false">
      <c r="A99" s="0" t="str">
        <f aca="false">CRM_Raw!A99</f>
        <v>D-10095</v>
      </c>
      <c r="B99" s="0" t="str">
        <f aca="false">CRM_Raw!B99</f>
        <v>2025-07-28</v>
      </c>
      <c r="C99" s="0" t="str">
        <f aca="false">CRM_Raw!C99</f>
        <v>2025-08-23</v>
      </c>
      <c r="D99" s="0" t="str">
        <f aca="false">IF(CRM_Raw!D99="DACH","DACH",IF(ISNUMBER(SEARCH("uk",CRM_Raw!D99)),"UK &amp; Ireland",PROPER(CRM_Raw!D99)))</f>
        <v>Benelux</v>
      </c>
      <c r="E99" s="0" t="str">
        <f aca="false">CRM_Raw!E99</f>
        <v>Small Kitchen Appliances</v>
      </c>
      <c r="F99" s="0" t="str">
        <f aca="false">CRM_Raw!F99</f>
        <v>Paid Search</v>
      </c>
      <c r="G99" s="0" t="str">
        <f aca="false">IF(TRIM(CRM_Raw!G99)="","Unassigned",CRM_Raw!G99)</f>
        <v>A. Becker</v>
      </c>
      <c r="H99" s="0" t="str">
        <f aca="false">CRM_Raw!H99</f>
        <v>Closed Won</v>
      </c>
      <c r="I99" s="10" t="n">
        <f aca="false">CRM_Raw!I99</f>
        <v>271.57</v>
      </c>
      <c r="J99" s="11" t="n">
        <f aca="false">CRM_Raw!J99</f>
        <v>0</v>
      </c>
      <c r="K99" s="10" t="n">
        <f aca="false">I99*(1-J99)</f>
        <v>271.57</v>
      </c>
      <c r="L99" s="12" t="n">
        <f aca="false">CRM_Raw!K99</f>
        <v>26</v>
      </c>
      <c r="M99" s="12" t="n">
        <f aca="false">IF(H99="Closed Won",1,0)</f>
        <v>1</v>
      </c>
    </row>
    <row r="100" customFormat="false" ht="15" hidden="false" customHeight="false" outlineLevel="0" collapsed="false">
      <c r="A100" s="0" t="str">
        <f aca="false">CRM_Raw!A100</f>
        <v>D-10096</v>
      </c>
      <c r="B100" s="0" t="str">
        <f aca="false">CRM_Raw!B100</f>
        <v>2025-06-12</v>
      </c>
      <c r="C100" s="0" t="str">
        <f aca="false">CRM_Raw!C100</f>
        <v>2025-07-08</v>
      </c>
      <c r="D100" s="0" t="str">
        <f aca="false">IF(CRM_Raw!D100="DACH","DACH",IF(ISNUMBER(SEARCH("uk",CRM_Raw!D100)),"UK &amp; Ireland",PROPER(CRM_Raw!D100)))</f>
        <v>DACH</v>
      </c>
      <c r="E100" s="0" t="str">
        <f aca="false">CRM_Raw!E100</f>
        <v>Small Kitchen Appliances</v>
      </c>
      <c r="F100" s="0" t="str">
        <f aca="false">CRM_Raw!F100</f>
        <v>Social Media Ads</v>
      </c>
      <c r="G100" s="0" t="str">
        <f aca="false">IF(TRIM(CRM_Raw!G100)="","Unassigned",CRM_Raw!G100)</f>
        <v>S. Andersson</v>
      </c>
      <c r="H100" s="0" t="str">
        <f aca="false">CRM_Raw!H100</f>
        <v>Closed Won</v>
      </c>
      <c r="I100" s="10" t="n">
        <f aca="false">CRM_Raw!I100</f>
        <v>220.11</v>
      </c>
      <c r="J100" s="11" t="n">
        <f aca="false">CRM_Raw!J100</f>
        <v>0</v>
      </c>
      <c r="K100" s="10" t="n">
        <f aca="false">I100*(1-J100)</f>
        <v>220.11</v>
      </c>
      <c r="L100" s="12" t="n">
        <f aca="false">CRM_Raw!K100</f>
        <v>26</v>
      </c>
      <c r="M100" s="12" t="n">
        <f aca="false">IF(H100="Closed Won",1,0)</f>
        <v>1</v>
      </c>
    </row>
    <row r="101" customFormat="false" ht="15" hidden="false" customHeight="false" outlineLevel="0" collapsed="false">
      <c r="A101" s="0" t="str">
        <f aca="false">CRM_Raw!A101</f>
        <v>D-10097</v>
      </c>
      <c r="B101" s="0" t="str">
        <f aca="false">CRM_Raw!B101</f>
        <v>2025-06-07</v>
      </c>
      <c r="C101" s="0" t="str">
        <f aca="false">CRM_Raw!C101</f>
        <v>2025-06-25</v>
      </c>
      <c r="D101" s="0" t="str">
        <f aca="false">IF(CRM_Raw!D101="DACH","DACH",IF(ISNUMBER(SEARCH("uk",CRM_Raw!D101)),"UK &amp; Ireland",PROPER(CRM_Raw!D101)))</f>
        <v>UK &amp; Ireland</v>
      </c>
      <c r="E101" s="0" t="str">
        <f aca="false">CRM_Raw!E101</f>
        <v>Smart Ovens</v>
      </c>
      <c r="F101" s="0" t="str">
        <f aca="false">CRM_Raw!F101</f>
        <v>Social Media Ads</v>
      </c>
      <c r="G101" s="0" t="str">
        <f aca="false">IF(TRIM(CRM_Raw!G101)="","Unassigned",CRM_Raw!G101)</f>
        <v>Unassigned</v>
      </c>
      <c r="H101" s="0" t="str">
        <f aca="false">CRM_Raw!H101</f>
        <v>Closed Lost</v>
      </c>
      <c r="I101" s="10" t="n">
        <f aca="false">CRM_Raw!I101</f>
        <v>1641.37</v>
      </c>
      <c r="J101" s="11" t="n">
        <f aca="false">CRM_Raw!J101</f>
        <v>0.05</v>
      </c>
      <c r="K101" s="10" t="n">
        <f aca="false">I101*(1-J101)</f>
        <v>1559.3015</v>
      </c>
      <c r="L101" s="12" t="n">
        <f aca="false">CRM_Raw!K101</f>
        <v>18</v>
      </c>
      <c r="M101" s="12" t="n">
        <f aca="false">IF(H101="Closed Won",1,0)</f>
        <v>0</v>
      </c>
    </row>
    <row r="102" customFormat="false" ht="15" hidden="false" customHeight="false" outlineLevel="0" collapsed="false">
      <c r="A102" s="0" t="str">
        <f aca="false">CRM_Raw!A102</f>
        <v>D-10098</v>
      </c>
      <c r="B102" s="0" t="str">
        <f aca="false">CRM_Raw!B102</f>
        <v>2025-07-15</v>
      </c>
      <c r="C102" s="0" t="n">
        <f aca="false">CRM_Raw!C102</f>
        <v>0</v>
      </c>
      <c r="D102" s="0" t="str">
        <f aca="false">IF(CRM_Raw!D102="DACH","DACH",IF(ISNUMBER(SEARCH("uk",CRM_Raw!D102)),"UK &amp; Ireland",PROPER(CRM_Raw!D102)))</f>
        <v>UK &amp; Ireland</v>
      </c>
      <c r="E102" s="0" t="str">
        <f aca="false">CRM_Raw!E102</f>
        <v>Dishwashers</v>
      </c>
      <c r="F102" s="0" t="str">
        <f aca="false">CRM_Raw!F102</f>
        <v>Social Media Ads</v>
      </c>
      <c r="G102" s="0" t="str">
        <f aca="false">IF(TRIM(CRM_Raw!G102)="","Unassigned",CRM_Raw!G102)</f>
        <v>K. Nilsson</v>
      </c>
      <c r="H102" s="0" t="str">
        <f aca="false">CRM_Raw!H102</f>
        <v>Qualified</v>
      </c>
      <c r="I102" s="10" t="n">
        <f aca="false">CRM_Raw!I102</f>
        <v>724.2</v>
      </c>
      <c r="J102" s="11" t="n">
        <f aca="false">CRM_Raw!J102</f>
        <v>0.2</v>
      </c>
      <c r="K102" s="10" t="n">
        <f aca="false">I102*(1-J102)</f>
        <v>579.36</v>
      </c>
      <c r="L102" s="12" t="n">
        <f aca="false">CRM_Raw!K102</f>
        <v>0</v>
      </c>
      <c r="M102" s="12" t="n">
        <f aca="false">IF(H102="Closed Won",1,0)</f>
        <v>0</v>
      </c>
    </row>
    <row r="103" customFormat="false" ht="15" hidden="false" customHeight="false" outlineLevel="0" collapsed="false">
      <c r="A103" s="0" t="str">
        <f aca="false">CRM_Raw!A103</f>
        <v>D-10099</v>
      </c>
      <c r="B103" s="0" t="str">
        <f aca="false">CRM_Raw!B103</f>
        <v>2025-12-15</v>
      </c>
      <c r="C103" s="0" t="n">
        <f aca="false">CRM_Raw!C103</f>
        <v>0</v>
      </c>
      <c r="D103" s="0" t="str">
        <f aca="false">IF(CRM_Raw!D103="DACH","DACH",IF(ISNUMBER(SEARCH("uk",CRM_Raw!D103)),"UK &amp; Ireland",PROPER(CRM_Raw!D103)))</f>
        <v>DACH</v>
      </c>
      <c r="E103" s="0" t="str">
        <f aca="false">CRM_Raw!E103</f>
        <v>Cordless Vacuums</v>
      </c>
      <c r="F103" s="0" t="str">
        <f aca="false">CRM_Raw!F103</f>
        <v>Email Campaign</v>
      </c>
      <c r="G103" s="0" t="str">
        <f aca="false">IF(TRIM(CRM_Raw!G103)="","Unassigned",CRM_Raw!G103)</f>
        <v>K. Nilsson</v>
      </c>
      <c r="H103" s="0" t="str">
        <f aca="false">CRM_Raw!H103</f>
        <v>Qualified</v>
      </c>
      <c r="I103" s="10" t="n">
        <f aca="false">CRM_Raw!I103</f>
        <v>366.41</v>
      </c>
      <c r="J103" s="11" t="n">
        <f aca="false">CRM_Raw!J103</f>
        <v>0</v>
      </c>
      <c r="K103" s="10" t="n">
        <f aca="false">I103*(1-J103)</f>
        <v>366.41</v>
      </c>
      <c r="L103" s="12" t="n">
        <f aca="false">CRM_Raw!K103</f>
        <v>0</v>
      </c>
      <c r="M103" s="12" t="n">
        <f aca="false">IF(H103="Closed Won",1,0)</f>
        <v>0</v>
      </c>
    </row>
    <row r="104" customFormat="false" ht="15" hidden="false" customHeight="false" outlineLevel="0" collapsed="false">
      <c r="A104" s="0" t="str">
        <f aca="false">CRM_Raw!A104</f>
        <v>D-10100</v>
      </c>
      <c r="B104" s="0" t="str">
        <f aca="false">CRM_Raw!B104</f>
        <v>2025-06-02</v>
      </c>
      <c r="C104" s="0" t="str">
        <f aca="false">CRM_Raw!C104</f>
        <v>2025-06-12</v>
      </c>
      <c r="D104" s="0" t="str">
        <f aca="false">IF(CRM_Raw!D104="DACH","DACH",IF(ISNUMBER(SEARCH("uk",CRM_Raw!D104)),"UK &amp; Ireland",PROPER(CRM_Raw!D104)))</f>
        <v>Southern Europe</v>
      </c>
      <c r="E104" s="0" t="str">
        <f aca="false">CRM_Raw!E104</f>
        <v>Cordless Vacuums</v>
      </c>
      <c r="F104" s="0" t="str">
        <f aca="false">CRM_Raw!F104</f>
        <v>Email Campaign</v>
      </c>
      <c r="G104" s="0" t="str">
        <f aca="false">IF(TRIM(CRM_Raw!G104)="","Unassigned",CRM_Raw!G104)</f>
        <v>T. Wagner</v>
      </c>
      <c r="H104" s="0" t="str">
        <f aca="false">CRM_Raw!H104</f>
        <v>Closed Lost</v>
      </c>
      <c r="I104" s="10" t="n">
        <f aca="false">CRM_Raw!I104</f>
        <v>364.37</v>
      </c>
      <c r="J104" s="11" t="n">
        <f aca="false">CRM_Raw!J104</f>
        <v>0.1</v>
      </c>
      <c r="K104" s="10" t="n">
        <f aca="false">I104*(1-J104)</f>
        <v>327.933</v>
      </c>
      <c r="L104" s="12" t="n">
        <f aca="false">CRM_Raw!K104</f>
        <v>10</v>
      </c>
      <c r="M104" s="12" t="n">
        <f aca="false">IF(H104="Closed Won",1,0)</f>
        <v>0</v>
      </c>
    </row>
    <row r="105" customFormat="false" ht="15" hidden="false" customHeight="false" outlineLevel="0" collapsed="false">
      <c r="A105" s="0" t="str">
        <f aca="false">CRM_Raw!A105</f>
        <v>D-10101</v>
      </c>
      <c r="B105" s="0" t="str">
        <f aca="false">CRM_Raw!B105</f>
        <v>2025-07-13</v>
      </c>
      <c r="C105" s="0" t="n">
        <f aca="false">CRM_Raw!C105</f>
        <v>0</v>
      </c>
      <c r="D105" s="0" t="str">
        <f aca="false">IF(CRM_Raw!D105="DACH","DACH",IF(ISNUMBER(SEARCH("uk",CRM_Raw!D105)),"UK &amp; Ireland",PROPER(CRM_Raw!D105)))</f>
        <v>North America</v>
      </c>
      <c r="E105" s="0" t="str">
        <f aca="false">CRM_Raw!E105</f>
        <v>Washing Machines</v>
      </c>
      <c r="F105" s="0" t="str">
        <f aca="false">CRM_Raw!F105</f>
        <v>Paid Search</v>
      </c>
      <c r="G105" s="0" t="str">
        <f aca="false">IF(TRIM(CRM_Raw!G105)="","Unassigned",CRM_Raw!G105)</f>
        <v>P. Rossi</v>
      </c>
      <c r="H105" s="0" t="str">
        <f aca="false">CRM_Raw!H105</f>
        <v>Qualified</v>
      </c>
      <c r="I105" s="10" t="n">
        <f aca="false">CRM_Raw!I105</f>
        <v>1265.09</v>
      </c>
      <c r="J105" s="11" t="n">
        <f aca="false">CRM_Raw!J105</f>
        <v>0</v>
      </c>
      <c r="K105" s="10" t="n">
        <f aca="false">I105*(1-J105)</f>
        <v>1265.09</v>
      </c>
      <c r="L105" s="12" t="n">
        <f aca="false">CRM_Raw!K105</f>
        <v>0</v>
      </c>
      <c r="M105" s="12" t="n">
        <f aca="false">IF(H105="Closed Won",1,0)</f>
        <v>0</v>
      </c>
    </row>
    <row r="106" customFormat="false" ht="15" hidden="false" customHeight="false" outlineLevel="0" collapsed="false">
      <c r="A106" s="0" t="str">
        <f aca="false">CRM_Raw!A106</f>
        <v>D-10102</v>
      </c>
      <c r="B106" s="0" t="str">
        <f aca="false">CRM_Raw!B106</f>
        <v>2026-01-26</v>
      </c>
      <c r="C106" s="0" t="str">
        <f aca="false">CRM_Raw!C106</f>
        <v>2026-02-07</v>
      </c>
      <c r="D106" s="0" t="str">
        <f aca="false">IF(CRM_Raw!D106="DACH","DACH",IF(ISNUMBER(SEARCH("uk",CRM_Raw!D106)),"UK &amp; Ireland",PROPER(CRM_Raw!D106)))</f>
        <v>North America</v>
      </c>
      <c r="E106" s="0" t="str">
        <f aca="false">CRM_Raw!E106</f>
        <v>Dishwashers</v>
      </c>
      <c r="F106" s="0" t="str">
        <f aca="false">CRM_Raw!F106</f>
        <v>Web-shop Organic</v>
      </c>
      <c r="G106" s="0" t="str">
        <f aca="false">IF(TRIM(CRM_Raw!G106)="","Unassigned",CRM_Raw!G106)</f>
        <v>T. Wagner</v>
      </c>
      <c r="H106" s="0" t="str">
        <f aca="false">CRM_Raw!H106</f>
        <v>Closed Lost</v>
      </c>
      <c r="I106" s="10" t="n">
        <f aca="false">CRM_Raw!I106</f>
        <v>1611.23</v>
      </c>
      <c r="J106" s="11" t="n">
        <f aca="false">CRM_Raw!J106</f>
        <v>0</v>
      </c>
      <c r="K106" s="10" t="n">
        <f aca="false">I106*(1-J106)</f>
        <v>1611.23</v>
      </c>
      <c r="L106" s="12" t="n">
        <f aca="false">CRM_Raw!K106</f>
        <v>12</v>
      </c>
      <c r="M106" s="12" t="n">
        <f aca="false">IF(H106="Closed Won",1,0)</f>
        <v>0</v>
      </c>
    </row>
    <row r="107" customFormat="false" ht="15" hidden="false" customHeight="false" outlineLevel="0" collapsed="false">
      <c r="A107" s="0" t="str">
        <f aca="false">CRM_Raw!A107</f>
        <v>D-10103</v>
      </c>
      <c r="B107" s="0" t="str">
        <f aca="false">CRM_Raw!B107</f>
        <v>2025-04-13</v>
      </c>
      <c r="C107" s="0" t="n">
        <f aca="false">CRM_Raw!C107</f>
        <v>0</v>
      </c>
      <c r="D107" s="0" t="str">
        <f aca="false">IF(CRM_Raw!D107="DACH","DACH",IF(ISNUMBER(SEARCH("uk",CRM_Raw!D107)),"UK &amp; Ireland",PROPER(CRM_Raw!D107)))</f>
        <v>UK &amp; Ireland</v>
      </c>
      <c r="E107" s="0" t="str">
        <f aca="false">CRM_Raw!E107</f>
        <v>Washing Machines</v>
      </c>
      <c r="F107" s="0" t="str">
        <f aca="false">CRM_Raw!F107</f>
        <v>Trade Show</v>
      </c>
      <c r="G107" s="0" t="str">
        <f aca="false">IF(TRIM(CRM_Raw!G107)="","Unassigned",CRM_Raw!G107)</f>
        <v>P. Rossi</v>
      </c>
      <c r="H107" s="0" t="str">
        <f aca="false">CRM_Raw!H107</f>
        <v>Proposal Sent</v>
      </c>
      <c r="I107" s="10" t="n">
        <f aca="false">CRM_Raw!I107</f>
        <v>1994.81</v>
      </c>
      <c r="J107" s="11" t="n">
        <f aca="false">CRM_Raw!J107</f>
        <v>0.05</v>
      </c>
      <c r="K107" s="10" t="n">
        <f aca="false">I107*(1-J107)</f>
        <v>1895.0695</v>
      </c>
      <c r="L107" s="12" t="n">
        <f aca="false">CRM_Raw!K107</f>
        <v>0</v>
      </c>
      <c r="M107" s="12" t="n">
        <f aca="false">IF(H107="Closed Won",1,0)</f>
        <v>0</v>
      </c>
    </row>
    <row r="108" customFormat="false" ht="15" hidden="false" customHeight="false" outlineLevel="0" collapsed="false">
      <c r="A108" s="0" t="str">
        <f aca="false">CRM_Raw!A108</f>
        <v>D-10104</v>
      </c>
      <c r="B108" s="0" t="str">
        <f aca="false">CRM_Raw!B108</f>
        <v>2025-03-18</v>
      </c>
      <c r="C108" s="0" t="str">
        <f aca="false">CRM_Raw!C108</f>
        <v>2025-03-24</v>
      </c>
      <c r="D108" s="0" t="str">
        <f aca="false">IF(CRM_Raw!D108="DACH","DACH",IF(ISNUMBER(SEARCH("uk",CRM_Raw!D108)),"UK &amp; Ireland",PROPER(CRM_Raw!D108)))</f>
        <v>DACH</v>
      </c>
      <c r="E108" s="0" t="str">
        <f aca="false">CRM_Raw!E108</f>
        <v>Small Kitchen Appliances</v>
      </c>
      <c r="F108" s="0" t="str">
        <f aca="false">CRM_Raw!F108</f>
        <v>Web-shop Organic</v>
      </c>
      <c r="G108" s="0" t="str">
        <f aca="false">IF(TRIM(CRM_Raw!G108)="","Unassigned",CRM_Raw!G108)</f>
        <v>M. Hoffmann</v>
      </c>
      <c r="H108" s="0" t="str">
        <f aca="false">CRM_Raw!H108</f>
        <v>Closed Lost</v>
      </c>
      <c r="I108" s="10" t="n">
        <f aca="false">CRM_Raw!I108</f>
        <v>138.41</v>
      </c>
      <c r="J108" s="11" t="n">
        <f aca="false">CRM_Raw!J108</f>
        <v>0.1</v>
      </c>
      <c r="K108" s="10" t="n">
        <f aca="false">I108*(1-J108)</f>
        <v>124.569</v>
      </c>
      <c r="L108" s="12" t="n">
        <f aca="false">CRM_Raw!K108</f>
        <v>6</v>
      </c>
      <c r="M108" s="12" t="n">
        <f aca="false">IF(H108="Closed Won",1,0)</f>
        <v>0</v>
      </c>
    </row>
    <row r="109" customFormat="false" ht="15" hidden="false" customHeight="false" outlineLevel="0" collapsed="false">
      <c r="A109" s="0" t="str">
        <f aca="false">CRM_Raw!A109</f>
        <v>D-10105</v>
      </c>
      <c r="B109" s="0" t="str">
        <f aca="false">CRM_Raw!B109</f>
        <v>2026-01-25</v>
      </c>
      <c r="C109" s="0" t="n">
        <f aca="false">CRM_Raw!C109</f>
        <v>0</v>
      </c>
      <c r="D109" s="0" t="str">
        <f aca="false">IF(CRM_Raw!D109="DACH","DACH",IF(ISNUMBER(SEARCH("uk",CRM_Raw!D109)),"UK &amp; Ireland",PROPER(CRM_Raw!D109)))</f>
        <v>Southern Europe</v>
      </c>
      <c r="E109" s="0" t="str">
        <f aca="false">CRM_Raw!E109</f>
        <v>Dishwashers</v>
      </c>
      <c r="F109" s="0" t="str">
        <f aca="false">CRM_Raw!F109</f>
        <v>Affiliate Partner</v>
      </c>
      <c r="G109" s="0" t="str">
        <f aca="false">IF(TRIM(CRM_Raw!G109)="","Unassigned",CRM_Raw!G109)</f>
        <v>P. Rossi</v>
      </c>
      <c r="H109" s="0" t="str">
        <f aca="false">CRM_Raw!H109</f>
        <v>Qualified</v>
      </c>
      <c r="I109" s="10" t="n">
        <f aca="false">CRM_Raw!I109</f>
        <v>1489.26</v>
      </c>
      <c r="J109" s="11" t="n">
        <f aca="false">CRM_Raw!J109</f>
        <v>0.2</v>
      </c>
      <c r="K109" s="10" t="n">
        <f aca="false">I109*(1-J109)</f>
        <v>1191.408</v>
      </c>
      <c r="L109" s="12" t="n">
        <f aca="false">CRM_Raw!K109</f>
        <v>0</v>
      </c>
      <c r="M109" s="12" t="n">
        <f aca="false">IF(H109="Closed Won",1,0)</f>
        <v>0</v>
      </c>
    </row>
    <row r="110" customFormat="false" ht="15" hidden="false" customHeight="false" outlineLevel="0" collapsed="false">
      <c r="A110" s="0" t="str">
        <f aca="false">CRM_Raw!A110</f>
        <v>D-10106</v>
      </c>
      <c r="B110" s="0" t="str">
        <f aca="false">CRM_Raw!B110</f>
        <v>2025-10-22</v>
      </c>
      <c r="C110" s="0" t="n">
        <f aca="false">CRM_Raw!C110</f>
        <v>0</v>
      </c>
      <c r="D110" s="0" t="str">
        <f aca="false">IF(CRM_Raw!D110="DACH","DACH",IF(ISNUMBER(SEARCH("uk",CRM_Raw!D110)),"UK &amp; Ireland",PROPER(CRM_Raw!D110)))</f>
        <v>Nordics</v>
      </c>
      <c r="E110" s="0" t="str">
        <f aca="false">CRM_Raw!E110</f>
        <v>Smart Ovens</v>
      </c>
      <c r="F110" s="0" t="str">
        <f aca="false">CRM_Raw!F110</f>
        <v>Social Media Ads</v>
      </c>
      <c r="G110" s="0" t="str">
        <f aca="false">IF(TRIM(CRM_Raw!G110)="","Unassigned",CRM_Raw!G110)</f>
        <v>S. Andersson</v>
      </c>
      <c r="H110" s="0" t="str">
        <f aca="false">CRM_Raw!H110</f>
        <v>Qualified</v>
      </c>
      <c r="I110" s="10" t="n">
        <f aca="false">CRM_Raw!I110</f>
        <v>1837.12</v>
      </c>
      <c r="J110" s="11" t="n">
        <f aca="false">CRM_Raw!J110</f>
        <v>0</v>
      </c>
      <c r="K110" s="10" t="n">
        <f aca="false">I110*(1-J110)</f>
        <v>1837.12</v>
      </c>
      <c r="L110" s="12" t="n">
        <f aca="false">CRM_Raw!K110</f>
        <v>0</v>
      </c>
      <c r="M110" s="12" t="n">
        <f aca="false">IF(H110="Closed Won",1,0)</f>
        <v>0</v>
      </c>
    </row>
    <row r="111" customFormat="false" ht="15" hidden="false" customHeight="false" outlineLevel="0" collapsed="false">
      <c r="A111" s="0" t="str">
        <f aca="false">CRM_Raw!A111</f>
        <v>D-10107</v>
      </c>
      <c r="B111" s="0" t="str">
        <f aca="false">CRM_Raw!B111</f>
        <v>2026-03-31</v>
      </c>
      <c r="C111" s="0" t="str">
        <f aca="false">CRM_Raw!C111</f>
        <v>2026-04-20</v>
      </c>
      <c r="D111" s="0" t="str">
        <f aca="false">IF(CRM_Raw!D111="DACH","DACH",IF(ISNUMBER(SEARCH("uk",CRM_Raw!D111)),"UK &amp; Ireland",PROPER(CRM_Raw!D111)))</f>
        <v>North America</v>
      </c>
      <c r="E111" s="0" t="str">
        <f aca="false">CRM_Raw!E111</f>
        <v>Small Kitchen Appliances</v>
      </c>
      <c r="F111" s="0" t="str">
        <f aca="false">CRM_Raw!F111</f>
        <v>Affiliate Partner</v>
      </c>
      <c r="G111" s="0" t="str">
        <f aca="false">IF(TRIM(CRM_Raw!G111)="","Unassigned",CRM_Raw!G111)</f>
        <v>L. Dubois</v>
      </c>
      <c r="H111" s="0" t="str">
        <f aca="false">CRM_Raw!H111</f>
        <v>Closed Won</v>
      </c>
      <c r="I111" s="10" t="n">
        <f aca="false">CRM_Raw!I111</f>
        <v>119.27</v>
      </c>
      <c r="J111" s="11" t="n">
        <f aca="false">CRM_Raw!J111</f>
        <v>0</v>
      </c>
      <c r="K111" s="10" t="n">
        <f aca="false">I111*(1-J111)</f>
        <v>119.27</v>
      </c>
      <c r="L111" s="12" t="n">
        <f aca="false">CRM_Raw!K111</f>
        <v>20</v>
      </c>
      <c r="M111" s="12" t="n">
        <f aca="false">IF(H111="Closed Won",1,0)</f>
        <v>1</v>
      </c>
    </row>
    <row r="112" customFormat="false" ht="15" hidden="false" customHeight="false" outlineLevel="0" collapsed="false">
      <c r="A112" s="0" t="str">
        <f aca="false">CRM_Raw!A112</f>
        <v>D-10108</v>
      </c>
      <c r="B112" s="0" t="str">
        <f aca="false">CRM_Raw!B112</f>
        <v>2026-02-26</v>
      </c>
      <c r="C112" s="0" t="str">
        <f aca="false">CRM_Raw!C112</f>
        <v>2026-03-21</v>
      </c>
      <c r="D112" s="0" t="str">
        <f aca="false">IF(CRM_Raw!D112="DACH","DACH",IF(ISNUMBER(SEARCH("uk",CRM_Raw!D112)),"UK &amp; Ireland",PROPER(CRM_Raw!D112)))</f>
        <v>France</v>
      </c>
      <c r="E112" s="0" t="str">
        <f aca="false">CRM_Raw!E112</f>
        <v>Cordless Vacuums</v>
      </c>
      <c r="F112" s="0" t="str">
        <f aca="false">CRM_Raw!F112</f>
        <v>Paid Search</v>
      </c>
      <c r="G112" s="0" t="str">
        <f aca="false">IF(TRIM(CRM_Raw!G112)="","Unassigned",CRM_Raw!G112)</f>
        <v>S. Andersson</v>
      </c>
      <c r="H112" s="0" t="str">
        <f aca="false">CRM_Raw!H112</f>
        <v>Closed Lost</v>
      </c>
      <c r="I112" s="10" t="n">
        <f aca="false">CRM_Raw!I112</f>
        <v>391.23</v>
      </c>
      <c r="J112" s="11" t="n">
        <f aca="false">CRM_Raw!J112</f>
        <v>0</v>
      </c>
      <c r="K112" s="10" t="n">
        <f aca="false">I112*(1-J112)</f>
        <v>391.23</v>
      </c>
      <c r="L112" s="12" t="n">
        <f aca="false">CRM_Raw!K112</f>
        <v>23</v>
      </c>
      <c r="M112" s="12" t="n">
        <f aca="false">IF(H112="Closed Won",1,0)</f>
        <v>0</v>
      </c>
    </row>
    <row r="113" customFormat="false" ht="15" hidden="false" customHeight="false" outlineLevel="0" collapsed="false">
      <c r="A113" s="0" t="str">
        <f aca="false">CRM_Raw!A113</f>
        <v>D-10109</v>
      </c>
      <c r="B113" s="0" t="str">
        <f aca="false">CRM_Raw!B113</f>
        <v>2026-05-25</v>
      </c>
      <c r="C113" s="0" t="n">
        <f aca="false">CRM_Raw!C113</f>
        <v>0</v>
      </c>
      <c r="D113" s="0" t="str">
        <f aca="false">IF(CRM_Raw!D113="DACH","DACH",IF(ISNUMBER(SEARCH("uk",CRM_Raw!D113)),"UK &amp; Ireland",PROPER(CRM_Raw!D113)))</f>
        <v>DACH</v>
      </c>
      <c r="E113" s="0" t="str">
        <f aca="false">CRM_Raw!E113</f>
        <v>Washing Machines</v>
      </c>
      <c r="F113" s="0" t="str">
        <f aca="false">CRM_Raw!F113</f>
        <v>Retail Referral</v>
      </c>
      <c r="G113" s="0" t="str">
        <f aca="false">IF(TRIM(CRM_Raw!G113)="","Unassigned",CRM_Raw!G113)</f>
        <v>S. Andersson</v>
      </c>
      <c r="H113" s="0" t="str">
        <f aca="false">CRM_Raw!H113</f>
        <v>Qualified</v>
      </c>
      <c r="I113" s="10" t="n">
        <f aca="false">CRM_Raw!I113</f>
        <v>1234.32</v>
      </c>
      <c r="J113" s="11" t="n">
        <f aca="false">CRM_Raw!J113</f>
        <v>0.15</v>
      </c>
      <c r="K113" s="10" t="n">
        <f aca="false">I113*(1-J113)</f>
        <v>1049.172</v>
      </c>
      <c r="L113" s="12" t="n">
        <f aca="false">CRM_Raw!K113</f>
        <v>0</v>
      </c>
      <c r="M113" s="12" t="n">
        <f aca="false">IF(H113="Closed Won",1,0)</f>
        <v>0</v>
      </c>
    </row>
    <row r="114" customFormat="false" ht="15" hidden="false" customHeight="false" outlineLevel="0" collapsed="false">
      <c r="A114" s="0" t="str">
        <f aca="false">CRM_Raw!A114</f>
        <v>D-10110</v>
      </c>
      <c r="B114" s="0" t="str">
        <f aca="false">CRM_Raw!B114</f>
        <v>2026-04-22</v>
      </c>
      <c r="C114" s="0" t="n">
        <f aca="false">CRM_Raw!C114</f>
        <v>0</v>
      </c>
      <c r="D114" s="0" t="str">
        <f aca="false">IF(CRM_Raw!D114="DACH","DACH",IF(ISNUMBER(SEARCH("uk",CRM_Raw!D114)),"UK &amp; Ireland",PROPER(CRM_Raw!D114)))</f>
        <v>France</v>
      </c>
      <c r="E114" s="0" t="str">
        <f aca="false">CRM_Raw!E114</f>
        <v>Dishwashers</v>
      </c>
      <c r="F114" s="0" t="str">
        <f aca="false">CRM_Raw!F114</f>
        <v>Paid Search</v>
      </c>
      <c r="G114" s="0" t="str">
        <f aca="false">IF(TRIM(CRM_Raw!G114)="","Unassigned",CRM_Raw!G114)</f>
        <v>A. Becker</v>
      </c>
      <c r="H114" s="0" t="str">
        <f aca="false">CRM_Raw!H114</f>
        <v>Qualified</v>
      </c>
      <c r="I114" s="10" t="n">
        <f aca="false">CRM_Raw!I114</f>
        <v>753.38</v>
      </c>
      <c r="J114" s="11" t="n">
        <f aca="false">CRM_Raw!J114</f>
        <v>0</v>
      </c>
      <c r="K114" s="10" t="n">
        <f aca="false">I114*(1-J114)</f>
        <v>753.38</v>
      </c>
      <c r="L114" s="12" t="n">
        <f aca="false">CRM_Raw!K114</f>
        <v>0</v>
      </c>
      <c r="M114" s="12" t="n">
        <f aca="false">IF(H114="Closed Won",1,0)</f>
        <v>0</v>
      </c>
    </row>
    <row r="115" customFormat="false" ht="15" hidden="false" customHeight="false" outlineLevel="0" collapsed="false">
      <c r="A115" s="0" t="str">
        <f aca="false">CRM_Raw!A115</f>
        <v>D-10111</v>
      </c>
      <c r="B115" s="0" t="str">
        <f aca="false">CRM_Raw!B115</f>
        <v>2026-03-11</v>
      </c>
      <c r="C115" s="0" t="n">
        <f aca="false">CRM_Raw!C115</f>
        <v>0</v>
      </c>
      <c r="D115" s="0" t="str">
        <f aca="false">IF(CRM_Raw!D115="DACH","DACH",IF(ISNUMBER(SEARCH("uk",CRM_Raw!D115)),"UK &amp; Ireland",PROPER(CRM_Raw!D115)))</f>
        <v>Benelux</v>
      </c>
      <c r="E115" s="0" t="str">
        <f aca="false">CRM_Raw!E115</f>
        <v>Cordless Vacuums</v>
      </c>
      <c r="F115" s="0" t="str">
        <f aca="false">CRM_Raw!F115</f>
        <v>Trade Show</v>
      </c>
      <c r="G115" s="0" t="str">
        <f aca="false">IF(TRIM(CRM_Raw!G115)="","Unassigned",CRM_Raw!G115)</f>
        <v>J. Murphy</v>
      </c>
      <c r="H115" s="0" t="str">
        <f aca="false">CRM_Raw!H115</f>
        <v>Negotiation</v>
      </c>
      <c r="I115" s="10" t="n">
        <f aca="false">CRM_Raw!I115</f>
        <v>361.97</v>
      </c>
      <c r="J115" s="11" t="n">
        <f aca="false">CRM_Raw!J115</f>
        <v>0</v>
      </c>
      <c r="K115" s="10" t="n">
        <f aca="false">I115*(1-J115)</f>
        <v>361.97</v>
      </c>
      <c r="L115" s="12" t="n">
        <f aca="false">CRM_Raw!K115</f>
        <v>0</v>
      </c>
      <c r="M115" s="12" t="n">
        <f aca="false">IF(H115="Closed Won",1,0)</f>
        <v>0</v>
      </c>
    </row>
    <row r="116" customFormat="false" ht="15" hidden="false" customHeight="false" outlineLevel="0" collapsed="false">
      <c r="A116" s="0" t="str">
        <f aca="false">CRM_Raw!A116</f>
        <v>D-10112</v>
      </c>
      <c r="B116" s="0" t="str">
        <f aca="false">CRM_Raw!B116</f>
        <v>2026-01-03</v>
      </c>
      <c r="C116" s="0" t="str">
        <f aca="false">CRM_Raw!C116</f>
        <v>2026-01-31</v>
      </c>
      <c r="D116" s="0" t="str">
        <f aca="false">IF(CRM_Raw!D116="DACH","DACH",IF(ISNUMBER(SEARCH("uk",CRM_Raw!D116)),"UK &amp; Ireland",PROPER(CRM_Raw!D116)))</f>
        <v>Benelux</v>
      </c>
      <c r="E116" s="0" t="str">
        <f aca="false">CRM_Raw!E116</f>
        <v>Dishwashers</v>
      </c>
      <c r="F116" s="0" t="str">
        <f aca="false">CRM_Raw!F116</f>
        <v>Web-shop Organic</v>
      </c>
      <c r="G116" s="0" t="str">
        <f aca="false">IF(TRIM(CRM_Raw!G116)="","Unassigned",CRM_Raw!G116)</f>
        <v>K. Nilsson</v>
      </c>
      <c r="H116" s="0" t="str">
        <f aca="false">CRM_Raw!H116</f>
        <v>Closed Lost</v>
      </c>
      <c r="I116" s="10" t="n">
        <f aca="false">CRM_Raw!I116</f>
        <v>1610.24</v>
      </c>
      <c r="J116" s="11" t="n">
        <f aca="false">CRM_Raw!J116</f>
        <v>0</v>
      </c>
      <c r="K116" s="10" t="n">
        <f aca="false">I116*(1-J116)</f>
        <v>1610.24</v>
      </c>
      <c r="L116" s="12" t="n">
        <f aca="false">CRM_Raw!K116</f>
        <v>28</v>
      </c>
      <c r="M116" s="12" t="n">
        <f aca="false">IF(H116="Closed Won",1,0)</f>
        <v>0</v>
      </c>
    </row>
    <row r="117" customFormat="false" ht="15" hidden="false" customHeight="false" outlineLevel="0" collapsed="false">
      <c r="A117" s="0" t="str">
        <f aca="false">CRM_Raw!A117</f>
        <v>D-10113</v>
      </c>
      <c r="B117" s="0" t="str">
        <f aca="false">CRM_Raw!B117</f>
        <v>2026-05-24</v>
      </c>
      <c r="C117" s="0" t="n">
        <f aca="false">CRM_Raw!C117</f>
        <v>0</v>
      </c>
      <c r="D117" s="0" t="str">
        <f aca="false">IF(CRM_Raw!D117="DACH","DACH",IF(ISNUMBER(SEARCH("uk",CRM_Raw!D117)),"UK &amp; Ireland",PROPER(CRM_Raw!D117)))</f>
        <v>DACH</v>
      </c>
      <c r="E117" s="0" t="str">
        <f aca="false">CRM_Raw!E117</f>
        <v>Washing Machines</v>
      </c>
      <c r="F117" s="0" t="str">
        <f aca="false">CRM_Raw!F117</f>
        <v>Retail Referral</v>
      </c>
      <c r="G117" s="0" t="str">
        <f aca="false">IF(TRIM(CRM_Raw!G117)="","Unassigned",CRM_Raw!G117)</f>
        <v>A. Becker</v>
      </c>
      <c r="H117" s="0" t="str">
        <f aca="false">CRM_Raw!H117</f>
        <v>Proposal Sent</v>
      </c>
      <c r="I117" s="10" t="n">
        <f aca="false">CRM_Raw!I117</f>
        <v>739.31</v>
      </c>
      <c r="J117" s="11" t="n">
        <f aca="false">CRM_Raw!J117</f>
        <v>0.1</v>
      </c>
      <c r="K117" s="10" t="n">
        <f aca="false">I117*(1-J117)</f>
        <v>665.379</v>
      </c>
      <c r="L117" s="12" t="n">
        <f aca="false">CRM_Raw!K117</f>
        <v>0</v>
      </c>
      <c r="M117" s="12" t="n">
        <f aca="false">IF(H117="Closed Won",1,0)</f>
        <v>0</v>
      </c>
    </row>
    <row r="118" customFormat="false" ht="15" hidden="false" customHeight="false" outlineLevel="0" collapsed="false">
      <c r="A118" s="0" t="str">
        <f aca="false">CRM_Raw!A118</f>
        <v>D-10114</v>
      </c>
      <c r="B118" s="0" t="str">
        <f aca="false">CRM_Raw!B118</f>
        <v>2025-09-14</v>
      </c>
      <c r="C118" s="0" t="n">
        <f aca="false">CRM_Raw!C118</f>
        <v>0</v>
      </c>
      <c r="D118" s="0" t="str">
        <f aca="false">IF(CRM_Raw!D118="DACH","DACH",IF(ISNUMBER(SEARCH("uk",CRM_Raw!D118)),"UK &amp; Ireland",PROPER(CRM_Raw!D118)))</f>
        <v>North America</v>
      </c>
      <c r="E118" s="0" t="str">
        <f aca="false">CRM_Raw!E118</f>
        <v>Cordless Vacuums</v>
      </c>
      <c r="F118" s="0" t="str">
        <f aca="false">CRM_Raw!F118</f>
        <v>Web-shop Organic</v>
      </c>
      <c r="G118" s="0" t="str">
        <f aca="false">IF(TRIM(CRM_Raw!G118)="","Unassigned",CRM_Raw!G118)</f>
        <v>S. Andersson</v>
      </c>
      <c r="H118" s="0" t="str">
        <f aca="false">CRM_Raw!H118</f>
        <v>Negotiation</v>
      </c>
      <c r="I118" s="10" t="n">
        <f aca="false">CRM_Raw!I118</f>
        <v>384.99</v>
      </c>
      <c r="J118" s="11" t="n">
        <f aca="false">CRM_Raw!J118</f>
        <v>0.15</v>
      </c>
      <c r="K118" s="10" t="n">
        <f aca="false">I118*(1-J118)</f>
        <v>327.2415</v>
      </c>
      <c r="L118" s="12" t="n">
        <f aca="false">CRM_Raw!K118</f>
        <v>0</v>
      </c>
      <c r="M118" s="12" t="n">
        <f aca="false">IF(H118="Closed Won",1,0)</f>
        <v>0</v>
      </c>
    </row>
    <row r="119" customFormat="false" ht="15" hidden="false" customHeight="false" outlineLevel="0" collapsed="false">
      <c r="A119" s="0" t="str">
        <f aca="false">CRM_Raw!A119</f>
        <v>D-10115</v>
      </c>
      <c r="B119" s="0" t="str">
        <f aca="false">CRM_Raw!B119</f>
        <v>2026-03-28</v>
      </c>
      <c r="C119" s="0" t="str">
        <f aca="false">CRM_Raw!C119</f>
        <v>2026-04-17</v>
      </c>
      <c r="D119" s="0" t="str">
        <f aca="false">IF(CRM_Raw!D119="DACH","DACH",IF(ISNUMBER(SEARCH("uk",CRM_Raw!D119)),"UK &amp; Ireland",PROPER(CRM_Raw!D119)))</f>
        <v>DACH</v>
      </c>
      <c r="E119" s="0" t="str">
        <f aca="false">CRM_Raw!E119</f>
        <v>Small Kitchen Appliances</v>
      </c>
      <c r="F119" s="0" t="str">
        <f aca="false">CRM_Raw!F119</f>
        <v>Affiliate Partner</v>
      </c>
      <c r="G119" s="0" t="str">
        <f aca="false">IF(TRIM(CRM_Raw!G119)="","Unassigned",CRM_Raw!G119)</f>
        <v>J. Murphy</v>
      </c>
      <c r="H119" s="0" t="str">
        <f aca="false">CRM_Raw!H119</f>
        <v>Closed Won</v>
      </c>
      <c r="I119" s="10" t="n">
        <f aca="false">CRM_Raw!I119</f>
        <v>120.48</v>
      </c>
      <c r="J119" s="11" t="n">
        <f aca="false">CRM_Raw!J119</f>
        <v>0</v>
      </c>
      <c r="K119" s="10" t="n">
        <f aca="false">I119*(1-J119)</f>
        <v>120.48</v>
      </c>
      <c r="L119" s="12" t="n">
        <f aca="false">CRM_Raw!K119</f>
        <v>20</v>
      </c>
      <c r="M119" s="12" t="n">
        <f aca="false">IF(H119="Closed Won",1,0)</f>
        <v>1</v>
      </c>
    </row>
    <row r="120" customFormat="false" ht="15" hidden="false" customHeight="false" outlineLevel="0" collapsed="false">
      <c r="A120" s="0" t="str">
        <f aca="false">CRM_Raw!A120</f>
        <v>D-10116</v>
      </c>
      <c r="B120" s="0" t="str">
        <f aca="false">CRM_Raw!B120</f>
        <v>2025-07-25</v>
      </c>
      <c r="C120" s="0" t="str">
        <f aca="false">CRM_Raw!C120</f>
        <v>2025-07-28</v>
      </c>
      <c r="D120" s="0" t="str">
        <f aca="false">IF(CRM_Raw!D120="DACH","DACH",IF(ISNUMBER(SEARCH("uk",CRM_Raw!D120)),"UK &amp; Ireland",PROPER(CRM_Raw!D120)))</f>
        <v>France</v>
      </c>
      <c r="E120" s="0" t="str">
        <f aca="false">CRM_Raw!E120</f>
        <v>Cordless Vacuums</v>
      </c>
      <c r="F120" s="0" t="str">
        <f aca="false">CRM_Raw!F120</f>
        <v>Affiliate Partner</v>
      </c>
      <c r="G120" s="0" t="str">
        <f aca="false">IF(TRIM(CRM_Raw!G120)="","Unassigned",CRM_Raw!G120)</f>
        <v>M. Hoffmann</v>
      </c>
      <c r="H120" s="0" t="str">
        <f aca="false">CRM_Raw!H120</f>
        <v>Closed Won</v>
      </c>
      <c r="I120" s="10" t="n">
        <f aca="false">CRM_Raw!I120</f>
        <v>368.42</v>
      </c>
      <c r="J120" s="11" t="n">
        <f aca="false">CRM_Raw!J120</f>
        <v>0.2</v>
      </c>
      <c r="K120" s="10" t="n">
        <f aca="false">I120*(1-J120)</f>
        <v>294.736</v>
      </c>
      <c r="L120" s="12" t="n">
        <f aca="false">CRM_Raw!K120</f>
        <v>3</v>
      </c>
      <c r="M120" s="12" t="n">
        <f aca="false">IF(H120="Closed Won",1,0)</f>
        <v>1</v>
      </c>
    </row>
    <row r="121" customFormat="false" ht="15" hidden="false" customHeight="false" outlineLevel="0" collapsed="false">
      <c r="A121" s="0" t="str">
        <f aca="false">CRM_Raw!A121</f>
        <v>D-10117</v>
      </c>
      <c r="B121" s="0" t="str">
        <f aca="false">CRM_Raw!B121</f>
        <v>2025-10-30</v>
      </c>
      <c r="C121" s="0" t="n">
        <f aca="false">CRM_Raw!C121</f>
        <v>0</v>
      </c>
      <c r="D121" s="0" t="str">
        <f aca="false">IF(CRM_Raw!D121="DACH","DACH",IF(ISNUMBER(SEARCH("uk",CRM_Raw!D121)),"UK &amp; Ireland",PROPER(CRM_Raw!D121)))</f>
        <v>UK &amp; Ireland</v>
      </c>
      <c r="E121" s="0" t="str">
        <f aca="false">CRM_Raw!E121</f>
        <v>Cordless Vacuums</v>
      </c>
      <c r="F121" s="0" t="str">
        <f aca="false">CRM_Raw!F121</f>
        <v>Retail Referral</v>
      </c>
      <c r="G121" s="0" t="str">
        <f aca="false">IF(TRIM(CRM_Raw!G121)="","Unassigned",CRM_Raw!G121)</f>
        <v>T. Wagner</v>
      </c>
      <c r="H121" s="0" t="str">
        <f aca="false">CRM_Raw!H121</f>
        <v>Negotiation</v>
      </c>
      <c r="I121" s="10" t="n">
        <f aca="false">CRM_Raw!I121</f>
        <v>351.68</v>
      </c>
      <c r="J121" s="11" t="n">
        <f aca="false">CRM_Raw!J121</f>
        <v>0.05</v>
      </c>
      <c r="K121" s="10" t="n">
        <f aca="false">I121*(1-J121)</f>
        <v>334.096</v>
      </c>
      <c r="L121" s="12" t="n">
        <f aca="false">CRM_Raw!K121</f>
        <v>0</v>
      </c>
      <c r="M121" s="12" t="n">
        <f aca="false">IF(H121="Closed Won",1,0)</f>
        <v>0</v>
      </c>
    </row>
    <row r="122" customFormat="false" ht="15" hidden="false" customHeight="false" outlineLevel="0" collapsed="false">
      <c r="A122" s="0" t="str">
        <f aca="false">CRM_Raw!A122</f>
        <v>D-10118</v>
      </c>
      <c r="B122" s="0" t="str">
        <f aca="false">CRM_Raw!B122</f>
        <v>2026-02-11</v>
      </c>
      <c r="C122" s="0" t="n">
        <f aca="false">CRM_Raw!C122</f>
        <v>0</v>
      </c>
      <c r="D122" s="0" t="str">
        <f aca="false">IF(CRM_Raw!D122="DACH","DACH",IF(ISNUMBER(SEARCH("uk",CRM_Raw!D122)),"UK &amp; Ireland",PROPER(CRM_Raw!D122)))</f>
        <v>DACH</v>
      </c>
      <c r="E122" s="0" t="str">
        <f aca="false">CRM_Raw!E122</f>
        <v>Coffee Systems</v>
      </c>
      <c r="F122" s="0" t="str">
        <f aca="false">CRM_Raw!F122</f>
        <v>Email Campaign</v>
      </c>
      <c r="G122" s="0" t="str">
        <f aca="false">IF(TRIM(CRM_Raw!G122)="","Unassigned",CRM_Raw!G122)</f>
        <v>S. Andersson</v>
      </c>
      <c r="H122" s="0" t="str">
        <f aca="false">CRM_Raw!H122</f>
        <v>Qualified</v>
      </c>
      <c r="I122" s="10" t="n">
        <f aca="false">CRM_Raw!I122</f>
        <v>568.25</v>
      </c>
      <c r="J122" s="11" t="n">
        <f aca="false">CRM_Raw!J122</f>
        <v>0</v>
      </c>
      <c r="K122" s="10" t="n">
        <f aca="false">I122*(1-J122)</f>
        <v>568.25</v>
      </c>
      <c r="L122" s="12" t="n">
        <f aca="false">CRM_Raw!K122</f>
        <v>0</v>
      </c>
      <c r="M122" s="12" t="n">
        <f aca="false">IF(H122="Closed Won",1,0)</f>
        <v>0</v>
      </c>
    </row>
    <row r="123" customFormat="false" ht="15" hidden="false" customHeight="false" outlineLevel="0" collapsed="false">
      <c r="A123" s="0" t="str">
        <f aca="false">CRM_Raw!A123</f>
        <v>D-10119</v>
      </c>
      <c r="B123" s="0" t="str">
        <f aca="false">CRM_Raw!B123</f>
        <v>2026-04-11</v>
      </c>
      <c r="C123" s="0" t="str">
        <f aca="false">CRM_Raw!C123</f>
        <v>2026-04-26</v>
      </c>
      <c r="D123" s="0" t="str">
        <f aca="false">IF(CRM_Raw!D123="DACH","DACH",IF(ISNUMBER(SEARCH("uk",CRM_Raw!D123)),"UK &amp; Ireland",PROPER(CRM_Raw!D123)))</f>
        <v>North America</v>
      </c>
      <c r="E123" s="0" t="str">
        <f aca="false">CRM_Raw!E123</f>
        <v>Dishwashers</v>
      </c>
      <c r="F123" s="0" t="str">
        <f aca="false">CRM_Raw!F123</f>
        <v>Web-shop Organic</v>
      </c>
      <c r="G123" s="0" t="str">
        <f aca="false">IF(TRIM(CRM_Raw!G123)="","Unassigned",CRM_Raw!G123)</f>
        <v>L. Dubois</v>
      </c>
      <c r="H123" s="0" t="str">
        <f aca="false">CRM_Raw!H123</f>
        <v>Closed Won</v>
      </c>
      <c r="I123" s="10" t="n">
        <f aca="false">CRM_Raw!I123</f>
        <v>765.68</v>
      </c>
      <c r="J123" s="11" t="n">
        <f aca="false">CRM_Raw!J123</f>
        <v>0.1</v>
      </c>
      <c r="K123" s="10" t="n">
        <f aca="false">I123*(1-J123)</f>
        <v>689.112</v>
      </c>
      <c r="L123" s="12" t="n">
        <f aca="false">CRM_Raw!K123</f>
        <v>15</v>
      </c>
      <c r="M123" s="12" t="n">
        <f aca="false">IF(H123="Closed Won",1,0)</f>
        <v>1</v>
      </c>
    </row>
    <row r="124" customFormat="false" ht="15" hidden="false" customHeight="false" outlineLevel="0" collapsed="false">
      <c r="A124" s="0" t="str">
        <f aca="false">CRM_Raw!A124</f>
        <v>D-10120</v>
      </c>
      <c r="B124" s="0" t="str">
        <f aca="false">CRM_Raw!B124</f>
        <v>2025-08-28</v>
      </c>
      <c r="C124" s="0" t="str">
        <f aca="false">CRM_Raw!C124</f>
        <v>2025-09-02</v>
      </c>
      <c r="D124" s="0" t="str">
        <f aca="false">IF(CRM_Raw!D124="DACH","DACH",IF(ISNUMBER(SEARCH("uk",CRM_Raw!D124)),"UK &amp; Ireland",PROPER(CRM_Raw!D124)))</f>
        <v>Benelux</v>
      </c>
      <c r="E124" s="0" t="str">
        <f aca="false">CRM_Raw!E124</f>
        <v>Small Kitchen Appliances</v>
      </c>
      <c r="F124" s="0" t="str">
        <f aca="false">CRM_Raw!F124</f>
        <v>Retail Referral</v>
      </c>
      <c r="G124" s="0" t="str">
        <f aca="false">IF(TRIM(CRM_Raw!G124)="","Unassigned",CRM_Raw!G124)</f>
        <v>L. Dubois</v>
      </c>
      <c r="H124" s="0" t="str">
        <f aca="false">CRM_Raw!H124</f>
        <v>Closed Lost</v>
      </c>
      <c r="I124" s="10" t="n">
        <f aca="false">CRM_Raw!I124</f>
        <v>358.15</v>
      </c>
      <c r="J124" s="11" t="n">
        <f aca="false">CRM_Raw!J124</f>
        <v>0</v>
      </c>
      <c r="K124" s="10" t="n">
        <f aca="false">I124*(1-J124)</f>
        <v>358.15</v>
      </c>
      <c r="L124" s="12" t="n">
        <f aca="false">CRM_Raw!K124</f>
        <v>5</v>
      </c>
      <c r="M124" s="12" t="n">
        <f aca="false">IF(H124="Closed Won",1,0)</f>
        <v>0</v>
      </c>
    </row>
    <row r="125" customFormat="false" ht="15" hidden="false" customHeight="false" outlineLevel="0" collapsed="false">
      <c r="A125" s="0" t="str">
        <f aca="false">CRM_Raw!A125</f>
        <v>D-10121</v>
      </c>
      <c r="B125" s="0" t="str">
        <f aca="false">CRM_Raw!B125</f>
        <v>2025-11-06</v>
      </c>
      <c r="C125" s="0" t="n">
        <f aca="false">CRM_Raw!C125</f>
        <v>0</v>
      </c>
      <c r="D125" s="0" t="str">
        <f aca="false">IF(CRM_Raw!D125="DACH","DACH",IF(ISNUMBER(SEARCH("uk",CRM_Raw!D125)),"UK &amp; Ireland",PROPER(CRM_Raw!D125)))</f>
        <v>Southern Europe</v>
      </c>
      <c r="E125" s="0" t="str">
        <f aca="false">CRM_Raw!E125</f>
        <v>Smart Ovens</v>
      </c>
      <c r="F125" s="0" t="str">
        <f aca="false">CRM_Raw!F125</f>
        <v>Affiliate Partner</v>
      </c>
      <c r="G125" s="0" t="str">
        <f aca="false">IF(TRIM(CRM_Raw!G125)="","Unassigned",CRM_Raw!G125)</f>
        <v>Unassigned</v>
      </c>
      <c r="H125" s="0" t="str">
        <f aca="false">CRM_Raw!H125</f>
        <v>Negotiation</v>
      </c>
      <c r="I125" s="10" t="n">
        <f aca="false">CRM_Raw!I125</f>
        <v>788.28</v>
      </c>
      <c r="J125" s="11" t="n">
        <f aca="false">CRM_Raw!J125</f>
        <v>0</v>
      </c>
      <c r="K125" s="10" t="n">
        <f aca="false">I125*(1-J125)</f>
        <v>788.28</v>
      </c>
      <c r="L125" s="12" t="n">
        <f aca="false">CRM_Raw!K125</f>
        <v>0</v>
      </c>
      <c r="M125" s="12" t="n">
        <f aca="false">IF(H125="Closed Won",1,0)</f>
        <v>0</v>
      </c>
    </row>
    <row r="126" customFormat="false" ht="15" hidden="false" customHeight="false" outlineLevel="0" collapsed="false">
      <c r="A126" s="0" t="str">
        <f aca="false">CRM_Raw!A126</f>
        <v>D-10122</v>
      </c>
      <c r="B126" s="0" t="str">
        <f aca="false">CRM_Raw!B126</f>
        <v>2025-05-19</v>
      </c>
      <c r="C126" s="0" t="str">
        <f aca="false">CRM_Raw!C126</f>
        <v>2025-05-25</v>
      </c>
      <c r="D126" s="0" t="str">
        <f aca="false">IF(CRM_Raw!D126="DACH","DACH",IF(ISNUMBER(SEARCH("uk",CRM_Raw!D126)),"UK &amp; Ireland",PROPER(CRM_Raw!D126)))</f>
        <v>France</v>
      </c>
      <c r="E126" s="0" t="str">
        <f aca="false">CRM_Raw!E126</f>
        <v>Dishwashers</v>
      </c>
      <c r="F126" s="0" t="str">
        <f aca="false">CRM_Raw!F126</f>
        <v>Web-shop Organic</v>
      </c>
      <c r="G126" s="0" t="str">
        <f aca="false">IF(TRIM(CRM_Raw!G126)="","Unassigned",CRM_Raw!G126)</f>
        <v>S. Andersson</v>
      </c>
      <c r="H126" s="0" t="str">
        <f aca="false">CRM_Raw!H126</f>
        <v>Closed Lost</v>
      </c>
      <c r="I126" s="10" t="n">
        <f aca="false">CRM_Raw!I126</f>
        <v>2101.69</v>
      </c>
      <c r="J126" s="11" t="n">
        <f aca="false">CRM_Raw!J126</f>
        <v>0.05</v>
      </c>
      <c r="K126" s="10" t="n">
        <f aca="false">I126*(1-J126)</f>
        <v>1996.6055</v>
      </c>
      <c r="L126" s="12" t="n">
        <f aca="false">CRM_Raw!K126</f>
        <v>6</v>
      </c>
      <c r="M126" s="12" t="n">
        <f aca="false">IF(H126="Closed Won",1,0)</f>
        <v>0</v>
      </c>
    </row>
    <row r="127" customFormat="false" ht="15" hidden="false" customHeight="false" outlineLevel="0" collapsed="false">
      <c r="A127" s="0" t="str">
        <f aca="false">CRM_Raw!A127</f>
        <v>D-10123</v>
      </c>
      <c r="B127" s="0" t="str">
        <f aca="false">CRM_Raw!B127</f>
        <v>2025-04-12</v>
      </c>
      <c r="C127" s="0" t="n">
        <f aca="false">CRM_Raw!C127</f>
        <v>0</v>
      </c>
      <c r="D127" s="0" t="str">
        <f aca="false">IF(CRM_Raw!D127="DACH","DACH",IF(ISNUMBER(SEARCH("uk",CRM_Raw!D127)),"UK &amp; Ireland",PROPER(CRM_Raw!D127)))</f>
        <v>Nordics</v>
      </c>
      <c r="E127" s="0" t="str">
        <f aca="false">CRM_Raw!E127</f>
        <v>Small Kitchen Appliances</v>
      </c>
      <c r="F127" s="0" t="str">
        <f aca="false">CRM_Raw!F127</f>
        <v>Affiliate Partner</v>
      </c>
      <c r="G127" s="0" t="str">
        <f aca="false">IF(TRIM(CRM_Raw!G127)="","Unassigned",CRM_Raw!G127)</f>
        <v>K. Nilsson</v>
      </c>
      <c r="H127" s="0" t="str">
        <f aca="false">CRM_Raw!H127</f>
        <v>Proposal Sent</v>
      </c>
      <c r="I127" s="10" t="n">
        <f aca="false">CRM_Raw!I127</f>
        <v>127.92</v>
      </c>
      <c r="J127" s="11" t="n">
        <f aca="false">CRM_Raw!J127</f>
        <v>0</v>
      </c>
      <c r="K127" s="10" t="n">
        <f aca="false">I127*(1-J127)</f>
        <v>127.92</v>
      </c>
      <c r="L127" s="12" t="n">
        <f aca="false">CRM_Raw!K127</f>
        <v>0</v>
      </c>
      <c r="M127" s="12" t="n">
        <f aca="false">IF(H127="Closed Won",1,0)</f>
        <v>0</v>
      </c>
    </row>
    <row r="128" customFormat="false" ht="15" hidden="false" customHeight="false" outlineLevel="0" collapsed="false">
      <c r="A128" s="0" t="str">
        <f aca="false">CRM_Raw!A128</f>
        <v>D-10124</v>
      </c>
      <c r="B128" s="0" t="str">
        <f aca="false">CRM_Raw!B128</f>
        <v>2025-08-30</v>
      </c>
      <c r="C128" s="0" t="n">
        <f aca="false">CRM_Raw!C128</f>
        <v>0</v>
      </c>
      <c r="D128" s="0" t="str">
        <f aca="false">IF(CRM_Raw!D128="DACH","DACH",IF(ISNUMBER(SEARCH("uk",CRM_Raw!D128)),"UK &amp; Ireland",PROPER(CRM_Raw!D128)))</f>
        <v>Southern Europe</v>
      </c>
      <c r="E128" s="0" t="str">
        <f aca="false">CRM_Raw!E128</f>
        <v>Cordless Vacuums</v>
      </c>
      <c r="F128" s="0" t="str">
        <f aca="false">CRM_Raw!F128</f>
        <v>Web-shop Organic</v>
      </c>
      <c r="G128" s="0" t="str">
        <f aca="false">IF(TRIM(CRM_Raw!G128)="","Unassigned",CRM_Raw!G128)</f>
        <v>T. Wagner</v>
      </c>
      <c r="H128" s="0" t="str">
        <f aca="false">CRM_Raw!H128</f>
        <v>Proposal Sent</v>
      </c>
      <c r="I128" s="10" t="n">
        <f aca="false">CRM_Raw!I128</f>
        <v>330.81</v>
      </c>
      <c r="J128" s="11" t="n">
        <f aca="false">CRM_Raw!J128</f>
        <v>0.1</v>
      </c>
      <c r="K128" s="10" t="n">
        <f aca="false">I128*(1-J128)</f>
        <v>297.729</v>
      </c>
      <c r="L128" s="12" t="n">
        <f aca="false">CRM_Raw!K128</f>
        <v>0</v>
      </c>
      <c r="M128" s="12" t="n">
        <f aca="false">IF(H128="Closed Won",1,0)</f>
        <v>0</v>
      </c>
    </row>
    <row r="129" customFormat="false" ht="15" hidden="false" customHeight="false" outlineLevel="0" collapsed="false">
      <c r="A129" s="0" t="str">
        <f aca="false">CRM_Raw!A129</f>
        <v>D-10125</v>
      </c>
      <c r="B129" s="0" t="str">
        <f aca="false">CRM_Raw!B129</f>
        <v>2025-07-14</v>
      </c>
      <c r="C129" s="0" t="n">
        <f aca="false">CRM_Raw!C129</f>
        <v>0</v>
      </c>
      <c r="D129" s="0" t="str">
        <f aca="false">IF(CRM_Raw!D129="DACH","DACH",IF(ISNUMBER(SEARCH("uk",CRM_Raw!D129)),"UK &amp; Ireland",PROPER(CRM_Raw!D129)))</f>
        <v>Southern Europe</v>
      </c>
      <c r="E129" s="0" t="str">
        <f aca="false">CRM_Raw!E129</f>
        <v>Cordless Vacuums</v>
      </c>
      <c r="F129" s="0" t="str">
        <f aca="false">CRM_Raw!F129</f>
        <v>Web-shop Organic</v>
      </c>
      <c r="G129" s="0" t="str">
        <f aca="false">IF(TRIM(CRM_Raw!G129)="","Unassigned",CRM_Raw!G129)</f>
        <v>J. Murphy</v>
      </c>
      <c r="H129" s="0" t="str">
        <f aca="false">CRM_Raw!H129</f>
        <v>Qualified</v>
      </c>
      <c r="I129" s="10" t="n">
        <f aca="false">CRM_Raw!I129</f>
        <v>809.75</v>
      </c>
      <c r="J129" s="11" t="n">
        <f aca="false">CRM_Raw!J129</f>
        <v>0</v>
      </c>
      <c r="K129" s="10" t="n">
        <f aca="false">I129*(1-J129)</f>
        <v>809.75</v>
      </c>
      <c r="L129" s="12" t="n">
        <f aca="false">CRM_Raw!K129</f>
        <v>0</v>
      </c>
      <c r="M129" s="12" t="n">
        <f aca="false">IF(H129="Closed Won",1,0)</f>
        <v>0</v>
      </c>
    </row>
    <row r="130" customFormat="false" ht="15" hidden="false" customHeight="false" outlineLevel="0" collapsed="false">
      <c r="A130" s="0" t="str">
        <f aca="false">CRM_Raw!A130</f>
        <v>D-10126</v>
      </c>
      <c r="B130" s="0" t="str">
        <f aca="false">CRM_Raw!B130</f>
        <v>2025-02-21</v>
      </c>
      <c r="C130" s="0" t="n">
        <f aca="false">CRM_Raw!C130</f>
        <v>0</v>
      </c>
      <c r="D130" s="0" t="str">
        <f aca="false">IF(CRM_Raw!D130="DACH","DACH",IF(ISNUMBER(SEARCH("uk",CRM_Raw!D130)),"UK &amp; Ireland",PROPER(CRM_Raw!D130)))</f>
        <v>Southern Europe</v>
      </c>
      <c r="E130" s="0" t="str">
        <f aca="false">CRM_Raw!E130</f>
        <v>Coffee Systems</v>
      </c>
      <c r="F130" s="0" t="str">
        <f aca="false">CRM_Raw!F130</f>
        <v>Affiliate Partner</v>
      </c>
      <c r="G130" s="0" t="str">
        <f aca="false">IF(TRIM(CRM_Raw!G130)="","Unassigned",CRM_Raw!G130)</f>
        <v>A. Becker</v>
      </c>
      <c r="H130" s="0" t="str">
        <f aca="false">CRM_Raw!H130</f>
        <v>Proposal Sent</v>
      </c>
      <c r="I130" s="10" t="n">
        <f aca="false">CRM_Raw!I130</f>
        <v>497.41</v>
      </c>
      <c r="J130" s="11" t="n">
        <f aca="false">CRM_Raw!J130</f>
        <v>0.2</v>
      </c>
      <c r="K130" s="10" t="n">
        <f aca="false">I130*(1-J130)</f>
        <v>397.928</v>
      </c>
      <c r="L130" s="12" t="n">
        <f aca="false">CRM_Raw!K130</f>
        <v>0</v>
      </c>
      <c r="M130" s="12" t="n">
        <f aca="false">IF(H130="Closed Won",1,0)</f>
        <v>0</v>
      </c>
    </row>
    <row r="131" customFormat="false" ht="15" hidden="false" customHeight="false" outlineLevel="0" collapsed="false">
      <c r="A131" s="0" t="str">
        <f aca="false">CRM_Raw!A131</f>
        <v>D-10127</v>
      </c>
      <c r="B131" s="0" t="str">
        <f aca="false">CRM_Raw!B131</f>
        <v>2025-08-10</v>
      </c>
      <c r="C131" s="0" t="n">
        <f aca="false">CRM_Raw!C131</f>
        <v>0</v>
      </c>
      <c r="D131" s="0" t="str">
        <f aca="false">IF(CRM_Raw!D131="DACH","DACH",IF(ISNUMBER(SEARCH("uk",CRM_Raw!D131)),"UK &amp; Ireland",PROPER(CRM_Raw!D131)))</f>
        <v>Nordics</v>
      </c>
      <c r="E131" s="0" t="str">
        <f aca="false">CRM_Raw!E131</f>
        <v>Coffee Systems</v>
      </c>
      <c r="F131" s="0" t="str">
        <f aca="false">CRM_Raw!F131</f>
        <v>Web-shop Organic</v>
      </c>
      <c r="G131" s="0" t="str">
        <f aca="false">IF(TRIM(CRM_Raw!G131)="","Unassigned",CRM_Raw!G131)</f>
        <v>S. Andersson</v>
      </c>
      <c r="H131" s="0" t="str">
        <f aca="false">CRM_Raw!H131</f>
        <v>Proposal Sent</v>
      </c>
      <c r="I131" s="10" t="n">
        <f aca="false">CRM_Raw!I131</f>
        <v>496.07</v>
      </c>
      <c r="J131" s="11" t="n">
        <f aca="false">CRM_Raw!J131</f>
        <v>0.2</v>
      </c>
      <c r="K131" s="10" t="n">
        <f aca="false">I131*(1-J131)</f>
        <v>396.856</v>
      </c>
      <c r="L131" s="12" t="n">
        <f aca="false">CRM_Raw!K131</f>
        <v>0</v>
      </c>
      <c r="M131" s="12" t="n">
        <f aca="false">IF(H131="Closed Won",1,0)</f>
        <v>0</v>
      </c>
    </row>
    <row r="132" customFormat="false" ht="15" hidden="false" customHeight="false" outlineLevel="0" collapsed="false">
      <c r="A132" s="0" t="str">
        <f aca="false">CRM_Raw!A132</f>
        <v>D-10128</v>
      </c>
      <c r="B132" s="0" t="str">
        <f aca="false">CRM_Raw!B132</f>
        <v>2025-05-14</v>
      </c>
      <c r="C132" s="0" t="str">
        <f aca="false">CRM_Raw!C132</f>
        <v>2025-06-05</v>
      </c>
      <c r="D132" s="0" t="str">
        <f aca="false">IF(CRM_Raw!D132="DACH","DACH",IF(ISNUMBER(SEARCH("uk",CRM_Raw!D132)),"UK &amp; Ireland",PROPER(CRM_Raw!D132)))</f>
        <v>Nordics</v>
      </c>
      <c r="E132" s="0" t="str">
        <f aca="false">CRM_Raw!E132</f>
        <v>Smart Ovens</v>
      </c>
      <c r="F132" s="0" t="str">
        <f aca="false">CRM_Raw!F132</f>
        <v>Paid Search</v>
      </c>
      <c r="G132" s="0" t="str">
        <f aca="false">IF(TRIM(CRM_Raw!G132)="","Unassigned",CRM_Raw!G132)</f>
        <v>M. Hoffmann</v>
      </c>
      <c r="H132" s="0" t="str">
        <f aca="false">CRM_Raw!H132</f>
        <v>Closed Lost</v>
      </c>
      <c r="I132" s="10" t="n">
        <f aca="false">CRM_Raw!I132</f>
        <v>943.31</v>
      </c>
      <c r="J132" s="11" t="n">
        <f aca="false">CRM_Raw!J132</f>
        <v>0</v>
      </c>
      <c r="K132" s="10" t="n">
        <f aca="false">I132*(1-J132)</f>
        <v>943.31</v>
      </c>
      <c r="L132" s="12" t="n">
        <f aca="false">CRM_Raw!K132</f>
        <v>22</v>
      </c>
      <c r="M132" s="12" t="n">
        <f aca="false">IF(H132="Closed Won",1,0)</f>
        <v>0</v>
      </c>
    </row>
    <row r="133" customFormat="false" ht="15" hidden="false" customHeight="false" outlineLevel="0" collapsed="false">
      <c r="A133" s="0" t="str">
        <f aca="false">CRM_Raw!A133</f>
        <v>D-10129</v>
      </c>
      <c r="B133" s="0" t="str">
        <f aca="false">CRM_Raw!B133</f>
        <v>2025-06-28</v>
      </c>
      <c r="C133" s="0" t="str">
        <f aca="false">CRM_Raw!C133</f>
        <v>2025-07-14</v>
      </c>
      <c r="D133" s="0" t="str">
        <f aca="false">IF(CRM_Raw!D133="DACH","DACH",IF(ISNUMBER(SEARCH("uk",CRM_Raw!D133)),"UK &amp; Ireland",PROPER(CRM_Raw!D133)))</f>
        <v>France</v>
      </c>
      <c r="E133" s="0" t="str">
        <f aca="false">CRM_Raw!E133</f>
        <v>Coffee Systems</v>
      </c>
      <c r="F133" s="0" t="str">
        <f aca="false">CRM_Raw!F133</f>
        <v>Social Media Ads</v>
      </c>
      <c r="G133" s="0" t="str">
        <f aca="false">IF(TRIM(CRM_Raw!G133)="","Unassigned",CRM_Raw!G133)</f>
        <v>A. Becker</v>
      </c>
      <c r="H133" s="0" t="str">
        <f aca="false">CRM_Raw!H133</f>
        <v>Closed Won</v>
      </c>
      <c r="I133" s="10" t="n">
        <f aca="false">CRM_Raw!I133</f>
        <v>965.31</v>
      </c>
      <c r="J133" s="11" t="n">
        <f aca="false">CRM_Raw!J133</f>
        <v>0.1</v>
      </c>
      <c r="K133" s="10" t="n">
        <f aca="false">I133*(1-J133)</f>
        <v>868.779</v>
      </c>
      <c r="L133" s="12" t="n">
        <f aca="false">CRM_Raw!K133</f>
        <v>16</v>
      </c>
      <c r="M133" s="12" t="n">
        <f aca="false">IF(H133="Closed Won",1,0)</f>
        <v>1</v>
      </c>
    </row>
    <row r="134" customFormat="false" ht="15" hidden="false" customHeight="false" outlineLevel="0" collapsed="false">
      <c r="A134" s="0" t="str">
        <f aca="false">CRM_Raw!A134</f>
        <v>D-10130</v>
      </c>
      <c r="B134" s="0" t="str">
        <f aca="false">CRM_Raw!B134</f>
        <v>2026-01-06</v>
      </c>
      <c r="C134" s="0" t="str">
        <f aca="false">CRM_Raw!C134</f>
        <v>2026-02-04</v>
      </c>
      <c r="D134" s="0" t="str">
        <f aca="false">IF(CRM_Raw!D134="DACH","DACH",IF(ISNUMBER(SEARCH("uk",CRM_Raw!D134)),"UK &amp; Ireland",PROPER(CRM_Raw!D134)))</f>
        <v>DACH</v>
      </c>
      <c r="E134" s="0" t="str">
        <f aca="false">CRM_Raw!E134</f>
        <v>Small Kitchen Appliances</v>
      </c>
      <c r="F134" s="0" t="str">
        <f aca="false">CRM_Raw!F134</f>
        <v>Web-shop Organic</v>
      </c>
      <c r="G134" s="0" t="str">
        <f aca="false">IF(TRIM(CRM_Raw!G134)="","Unassigned",CRM_Raw!G134)</f>
        <v>T. Wagner</v>
      </c>
      <c r="H134" s="0" t="str">
        <f aca="false">CRM_Raw!H134</f>
        <v>Closed Lost</v>
      </c>
      <c r="I134" s="10" t="n">
        <f aca="false">CRM_Raw!I134</f>
        <v>137.7</v>
      </c>
      <c r="J134" s="11" t="n">
        <f aca="false">CRM_Raw!J134</f>
        <v>0.15</v>
      </c>
      <c r="K134" s="10" t="n">
        <f aca="false">I134*(1-J134)</f>
        <v>117.045</v>
      </c>
      <c r="L134" s="12" t="n">
        <f aca="false">CRM_Raw!K134</f>
        <v>29</v>
      </c>
      <c r="M134" s="12" t="n">
        <f aca="false">IF(H134="Closed Won",1,0)</f>
        <v>0</v>
      </c>
    </row>
    <row r="135" customFormat="false" ht="15" hidden="false" customHeight="false" outlineLevel="0" collapsed="false">
      <c r="A135" s="0" t="str">
        <f aca="false">CRM_Raw!A135</f>
        <v>D-10131</v>
      </c>
      <c r="B135" s="0" t="str">
        <f aca="false">CRM_Raw!B135</f>
        <v>2025-02-01</v>
      </c>
      <c r="C135" s="0" t="str">
        <f aca="false">CRM_Raw!C135</f>
        <v>2025-02-28</v>
      </c>
      <c r="D135" s="0" t="str">
        <f aca="false">IF(CRM_Raw!D135="DACH","DACH",IF(ISNUMBER(SEARCH("uk",CRM_Raw!D135)),"UK &amp; Ireland",PROPER(CRM_Raw!D135)))</f>
        <v>North America</v>
      </c>
      <c r="E135" s="0" t="str">
        <f aca="false">CRM_Raw!E135</f>
        <v>Small Kitchen Appliances</v>
      </c>
      <c r="F135" s="0" t="str">
        <f aca="false">CRM_Raw!F135</f>
        <v>Social Media Ads</v>
      </c>
      <c r="G135" s="0" t="str">
        <f aca="false">IF(TRIM(CRM_Raw!G135)="","Unassigned",CRM_Raw!G135)</f>
        <v>T. Wagner</v>
      </c>
      <c r="H135" s="0" t="str">
        <f aca="false">CRM_Raw!H135</f>
        <v>Closed Won</v>
      </c>
      <c r="I135" s="10" t="n">
        <f aca="false">CRM_Raw!I135</f>
        <v>247.72</v>
      </c>
      <c r="J135" s="11" t="n">
        <f aca="false">CRM_Raw!J135</f>
        <v>0.05</v>
      </c>
      <c r="K135" s="10" t="n">
        <f aca="false">I135*(1-J135)</f>
        <v>235.334</v>
      </c>
      <c r="L135" s="12" t="n">
        <f aca="false">CRM_Raw!K135</f>
        <v>27</v>
      </c>
      <c r="M135" s="12" t="n">
        <f aca="false">IF(H135="Closed Won",1,0)</f>
        <v>1</v>
      </c>
    </row>
    <row r="136" customFormat="false" ht="15" hidden="false" customHeight="false" outlineLevel="0" collapsed="false">
      <c r="A136" s="0" t="str">
        <f aca="false">CRM_Raw!A136</f>
        <v>D-10132</v>
      </c>
      <c r="B136" s="0" t="str">
        <f aca="false">CRM_Raw!B136</f>
        <v>2025-03-17</v>
      </c>
      <c r="C136" s="0" t="n">
        <f aca="false">CRM_Raw!C136</f>
        <v>0</v>
      </c>
      <c r="D136" s="0" t="str">
        <f aca="false">IF(CRM_Raw!D136="DACH","DACH",IF(ISNUMBER(SEARCH("uk",CRM_Raw!D136)),"UK &amp; Ireland",PROPER(CRM_Raw!D136)))</f>
        <v>Southern Europe</v>
      </c>
      <c r="E136" s="0" t="str">
        <f aca="false">CRM_Raw!E136</f>
        <v>Smart Ovens</v>
      </c>
      <c r="F136" s="0" t="str">
        <f aca="false">CRM_Raw!F136</f>
        <v>Social Media Ads</v>
      </c>
      <c r="G136" s="0" t="str">
        <f aca="false">IF(TRIM(CRM_Raw!G136)="","Unassigned",CRM_Raw!G136)</f>
        <v>T. Wagner</v>
      </c>
      <c r="H136" s="0" t="str">
        <f aca="false">CRM_Raw!H136</f>
        <v>Qualified</v>
      </c>
      <c r="I136" s="10" t="n">
        <f aca="false">CRM_Raw!I136</f>
        <v>830.75</v>
      </c>
      <c r="J136" s="11" t="n">
        <f aca="false">CRM_Raw!J136</f>
        <v>0</v>
      </c>
      <c r="K136" s="10" t="n">
        <f aca="false">I136*(1-J136)</f>
        <v>830.75</v>
      </c>
      <c r="L136" s="12" t="n">
        <f aca="false">CRM_Raw!K136</f>
        <v>0</v>
      </c>
      <c r="M136" s="12" t="n">
        <f aca="false">IF(H136="Closed Won",1,0)</f>
        <v>0</v>
      </c>
    </row>
    <row r="137" customFormat="false" ht="15" hidden="false" customHeight="false" outlineLevel="0" collapsed="false">
      <c r="A137" s="0" t="str">
        <f aca="false">CRM_Raw!A137</f>
        <v>D-10133</v>
      </c>
      <c r="B137" s="0" t="str">
        <f aca="false">CRM_Raw!B137</f>
        <v>2026-01-26</v>
      </c>
      <c r="C137" s="0" t="n">
        <f aca="false">CRM_Raw!C137</f>
        <v>0</v>
      </c>
      <c r="D137" s="0" t="str">
        <f aca="false">IF(CRM_Raw!D137="DACH","DACH",IF(ISNUMBER(SEARCH("uk",CRM_Raw!D137)),"UK &amp; Ireland",PROPER(CRM_Raw!D137)))</f>
        <v>UK &amp; Ireland</v>
      </c>
      <c r="E137" s="0" t="str">
        <f aca="false">CRM_Raw!E137</f>
        <v>Cordless Vacuums</v>
      </c>
      <c r="F137" s="0" t="str">
        <f aca="false">CRM_Raw!F137</f>
        <v>Social Media Ads</v>
      </c>
      <c r="G137" s="0" t="str">
        <f aca="false">IF(TRIM(CRM_Raw!G137)="","Unassigned",CRM_Raw!G137)</f>
        <v>P. Rossi</v>
      </c>
      <c r="H137" s="0" t="str">
        <f aca="false">CRM_Raw!H137</f>
        <v>Qualified</v>
      </c>
      <c r="I137" s="10" t="n">
        <f aca="false">CRM_Raw!I137</f>
        <v>736.8</v>
      </c>
      <c r="J137" s="11" t="n">
        <f aca="false">CRM_Raw!J137</f>
        <v>0.1</v>
      </c>
      <c r="K137" s="10" t="n">
        <f aca="false">I137*(1-J137)</f>
        <v>663.12</v>
      </c>
      <c r="L137" s="12" t="n">
        <f aca="false">CRM_Raw!K137</f>
        <v>0</v>
      </c>
      <c r="M137" s="12" t="n">
        <f aca="false">IF(H137="Closed Won",1,0)</f>
        <v>0</v>
      </c>
    </row>
    <row r="138" customFormat="false" ht="15" hidden="false" customHeight="false" outlineLevel="0" collapsed="false">
      <c r="A138" s="0" t="str">
        <f aca="false">CRM_Raw!A138</f>
        <v>D-10134</v>
      </c>
      <c r="B138" s="0" t="str">
        <f aca="false">CRM_Raw!B138</f>
        <v>2025-08-09</v>
      </c>
      <c r="C138" s="0" t="str">
        <f aca="false">CRM_Raw!C138</f>
        <v>2025-09-06</v>
      </c>
      <c r="D138" s="0" t="str">
        <f aca="false">IF(CRM_Raw!D138="DACH","DACH",IF(ISNUMBER(SEARCH("uk",CRM_Raw!D138)),"UK &amp; Ireland",PROPER(CRM_Raw!D138)))</f>
        <v>Nordics</v>
      </c>
      <c r="E138" s="0" t="str">
        <f aca="false">CRM_Raw!E138</f>
        <v>Dishwashers</v>
      </c>
      <c r="F138" s="0" t="str">
        <f aca="false">CRM_Raw!F138</f>
        <v>Web-shop Organic</v>
      </c>
      <c r="G138" s="0" t="str">
        <f aca="false">IF(TRIM(CRM_Raw!G138)="","Unassigned",CRM_Raw!G138)</f>
        <v>L. Dubois</v>
      </c>
      <c r="H138" s="0" t="str">
        <f aca="false">CRM_Raw!H138</f>
        <v>Closed Lost</v>
      </c>
      <c r="I138" s="10" t="n">
        <f aca="false">CRM_Raw!I138</f>
        <v>1558.38</v>
      </c>
      <c r="J138" s="11" t="n">
        <f aca="false">CRM_Raw!J138</f>
        <v>0.05</v>
      </c>
      <c r="K138" s="10" t="n">
        <f aca="false">I138*(1-J138)</f>
        <v>1480.461</v>
      </c>
      <c r="L138" s="12" t="n">
        <f aca="false">CRM_Raw!K138</f>
        <v>28</v>
      </c>
      <c r="M138" s="12" t="n">
        <f aca="false">IF(H138="Closed Won",1,0)</f>
        <v>0</v>
      </c>
    </row>
    <row r="139" customFormat="false" ht="15" hidden="false" customHeight="false" outlineLevel="0" collapsed="false">
      <c r="A139" s="0" t="str">
        <f aca="false">CRM_Raw!A139</f>
        <v>D-10135</v>
      </c>
      <c r="B139" s="0" t="str">
        <f aca="false">CRM_Raw!B139</f>
        <v>2025-09-19</v>
      </c>
      <c r="C139" s="0" t="str">
        <f aca="false">CRM_Raw!C139</f>
        <v>2025-10-03</v>
      </c>
      <c r="D139" s="0" t="str">
        <f aca="false">IF(CRM_Raw!D139="DACH","DACH",IF(ISNUMBER(SEARCH("uk",CRM_Raw!D139)),"UK &amp; Ireland",PROPER(CRM_Raw!D139)))</f>
        <v>Southern Europe</v>
      </c>
      <c r="E139" s="0" t="str">
        <f aca="false">CRM_Raw!E139</f>
        <v>Smart Ovens</v>
      </c>
      <c r="F139" s="0" t="str">
        <f aca="false">CRM_Raw!F139</f>
        <v>Paid Search</v>
      </c>
      <c r="G139" s="0" t="str">
        <f aca="false">IF(TRIM(CRM_Raw!G139)="","Unassigned",CRM_Raw!G139)</f>
        <v>P. Rossi</v>
      </c>
      <c r="H139" s="0" t="str">
        <f aca="false">CRM_Raw!H139</f>
        <v>Closed Won</v>
      </c>
      <c r="I139" s="10" t="n">
        <f aca="false">CRM_Raw!I139</f>
        <v>1591.42</v>
      </c>
      <c r="J139" s="11" t="n">
        <f aca="false">CRM_Raw!J139</f>
        <v>0</v>
      </c>
      <c r="K139" s="10" t="n">
        <f aca="false">I139*(1-J139)</f>
        <v>1591.42</v>
      </c>
      <c r="L139" s="12" t="n">
        <f aca="false">CRM_Raw!K139</f>
        <v>14</v>
      </c>
      <c r="M139" s="12" t="n">
        <f aca="false">IF(H139="Closed Won",1,0)</f>
        <v>1</v>
      </c>
    </row>
    <row r="140" customFormat="false" ht="15" hidden="false" customHeight="false" outlineLevel="0" collapsed="false">
      <c r="A140" s="0" t="str">
        <f aca="false">CRM_Raw!A140</f>
        <v>D-10136</v>
      </c>
      <c r="B140" s="0" t="str">
        <f aca="false">CRM_Raw!B140</f>
        <v>2026-01-17</v>
      </c>
      <c r="C140" s="0" t="n">
        <f aca="false">CRM_Raw!C140</f>
        <v>0</v>
      </c>
      <c r="D140" s="0" t="str">
        <f aca="false">IF(CRM_Raw!D140="DACH","DACH",IF(ISNUMBER(SEARCH("uk",CRM_Raw!D140)),"UK &amp; Ireland",PROPER(CRM_Raw!D140)))</f>
        <v>DACH</v>
      </c>
      <c r="E140" s="0" t="str">
        <f aca="false">CRM_Raw!E140</f>
        <v>Smart Ovens</v>
      </c>
      <c r="F140" s="0" t="str">
        <f aca="false">CRM_Raw!F140</f>
        <v>Web-shop Organic</v>
      </c>
      <c r="G140" s="0" t="str">
        <f aca="false">IF(TRIM(CRM_Raw!G140)="","Unassigned",CRM_Raw!G140)</f>
        <v>L. Dubois</v>
      </c>
      <c r="H140" s="0" t="str">
        <f aca="false">CRM_Raw!H140</f>
        <v>Proposal Sent</v>
      </c>
      <c r="I140" s="10" t="n">
        <f aca="false">CRM_Raw!I140</f>
        <v>2637.57</v>
      </c>
      <c r="J140" s="11" t="n">
        <f aca="false">CRM_Raw!J140</f>
        <v>0.1</v>
      </c>
      <c r="K140" s="10" t="n">
        <f aca="false">I140*(1-J140)</f>
        <v>2373.813</v>
      </c>
      <c r="L140" s="12" t="n">
        <f aca="false">CRM_Raw!K140</f>
        <v>0</v>
      </c>
      <c r="M140" s="12" t="n">
        <f aca="false">IF(H140="Closed Won",1,0)</f>
        <v>0</v>
      </c>
    </row>
    <row r="141" customFormat="false" ht="15" hidden="false" customHeight="false" outlineLevel="0" collapsed="false">
      <c r="A141" s="0" t="str">
        <f aca="false">CRM_Raw!A141</f>
        <v>D-10137</v>
      </c>
      <c r="B141" s="0" t="str">
        <f aca="false">CRM_Raw!B141</f>
        <v>2025-12-29</v>
      </c>
      <c r="C141" s="0" t="n">
        <f aca="false">CRM_Raw!C141</f>
        <v>0</v>
      </c>
      <c r="D141" s="0" t="str">
        <f aca="false">IF(CRM_Raw!D141="DACH","DACH",IF(ISNUMBER(SEARCH("uk",CRM_Raw!D141)),"UK &amp; Ireland",PROPER(CRM_Raw!D141)))</f>
        <v>Nordics</v>
      </c>
      <c r="E141" s="0" t="str">
        <f aca="false">CRM_Raw!E141</f>
        <v>Cordless Vacuums</v>
      </c>
      <c r="F141" s="0" t="str">
        <f aca="false">CRM_Raw!F141</f>
        <v>Affiliate Partner</v>
      </c>
      <c r="G141" s="0" t="str">
        <f aca="false">IF(TRIM(CRM_Raw!G141)="","Unassigned",CRM_Raw!G141)</f>
        <v>K. Nilsson</v>
      </c>
      <c r="H141" s="0" t="str">
        <f aca="false">CRM_Raw!H141</f>
        <v>Proposal Sent</v>
      </c>
      <c r="I141" s="10" t="n">
        <f aca="false">CRM_Raw!I141</f>
        <v>808.38</v>
      </c>
      <c r="J141" s="11" t="n">
        <f aca="false">CRM_Raw!J141</f>
        <v>0.2</v>
      </c>
      <c r="K141" s="10" t="n">
        <f aca="false">I141*(1-J141)</f>
        <v>646.704</v>
      </c>
      <c r="L141" s="12" t="n">
        <f aca="false">CRM_Raw!K141</f>
        <v>0</v>
      </c>
      <c r="M141" s="12" t="n">
        <f aca="false">IF(H141="Closed Won",1,0)</f>
        <v>0</v>
      </c>
    </row>
    <row r="142" customFormat="false" ht="15" hidden="false" customHeight="false" outlineLevel="0" collapsed="false">
      <c r="A142" s="0" t="str">
        <f aca="false">CRM_Raw!A142</f>
        <v>D-10138</v>
      </c>
      <c r="B142" s="0" t="str">
        <f aca="false">CRM_Raw!B142</f>
        <v>2025-12-27</v>
      </c>
      <c r="C142" s="0" t="str">
        <f aca="false">CRM_Raw!C142</f>
        <v>2026-01-11</v>
      </c>
      <c r="D142" s="0" t="str">
        <f aca="false">IF(CRM_Raw!D142="DACH","DACH",IF(ISNUMBER(SEARCH("uk",CRM_Raw!D142)),"UK &amp; Ireland",PROPER(CRM_Raw!D142)))</f>
        <v>Southern Europe</v>
      </c>
      <c r="E142" s="0" t="str">
        <f aca="false">CRM_Raw!E142</f>
        <v>Smart Ovens</v>
      </c>
      <c r="F142" s="0" t="str">
        <f aca="false">CRM_Raw!F142</f>
        <v>Trade Show</v>
      </c>
      <c r="G142" s="0" t="str">
        <f aca="false">IF(TRIM(CRM_Raw!G142)="","Unassigned",CRM_Raw!G142)</f>
        <v>Unassigned</v>
      </c>
      <c r="H142" s="0" t="str">
        <f aca="false">CRM_Raw!H142</f>
        <v>Closed Won</v>
      </c>
      <c r="I142" s="10" t="n">
        <f aca="false">CRM_Raw!I142</f>
        <v>863.85</v>
      </c>
      <c r="J142" s="11" t="n">
        <f aca="false">CRM_Raw!J142</f>
        <v>0</v>
      </c>
      <c r="K142" s="10" t="n">
        <f aca="false">I142*(1-J142)</f>
        <v>863.85</v>
      </c>
      <c r="L142" s="12" t="n">
        <f aca="false">CRM_Raw!K142</f>
        <v>15</v>
      </c>
      <c r="M142" s="12" t="n">
        <f aca="false">IF(H142="Closed Won",1,0)</f>
        <v>1</v>
      </c>
    </row>
    <row r="143" customFormat="false" ht="15" hidden="false" customHeight="false" outlineLevel="0" collapsed="false">
      <c r="A143" s="0" t="str">
        <f aca="false">CRM_Raw!A143</f>
        <v>D-10139</v>
      </c>
      <c r="B143" s="0" t="str">
        <f aca="false">CRM_Raw!B143</f>
        <v>2025-08-20</v>
      </c>
      <c r="C143" s="0" t="n">
        <f aca="false">CRM_Raw!C143</f>
        <v>0</v>
      </c>
      <c r="D143" s="0" t="str">
        <f aca="false">IF(CRM_Raw!D143="DACH","DACH",IF(ISNUMBER(SEARCH("uk",CRM_Raw!D143)),"UK &amp; Ireland",PROPER(CRM_Raw!D143)))</f>
        <v>North America</v>
      </c>
      <c r="E143" s="0" t="str">
        <f aca="false">CRM_Raw!E143</f>
        <v>Washing Machines</v>
      </c>
      <c r="F143" s="0" t="str">
        <f aca="false">CRM_Raw!F143</f>
        <v>Paid Search</v>
      </c>
      <c r="G143" s="0" t="str">
        <f aca="false">IF(TRIM(CRM_Raw!G143)="","Unassigned",CRM_Raw!G143)</f>
        <v>J. Murphy</v>
      </c>
      <c r="H143" s="0" t="str">
        <f aca="false">CRM_Raw!H143</f>
        <v>Proposal Sent</v>
      </c>
      <c r="I143" s="10" t="n">
        <f aca="false">CRM_Raw!I143</f>
        <v>2190.08</v>
      </c>
      <c r="J143" s="11" t="n">
        <f aca="false">CRM_Raw!J143</f>
        <v>0.1</v>
      </c>
      <c r="K143" s="10" t="n">
        <f aca="false">I143*(1-J143)</f>
        <v>1971.072</v>
      </c>
      <c r="L143" s="12" t="n">
        <f aca="false">CRM_Raw!K143</f>
        <v>0</v>
      </c>
      <c r="M143" s="12" t="n">
        <f aca="false">IF(H143="Closed Won",1,0)</f>
        <v>0</v>
      </c>
    </row>
    <row r="144" customFormat="false" ht="15" hidden="false" customHeight="false" outlineLevel="0" collapsed="false">
      <c r="A144" s="0" t="str">
        <f aca="false">CRM_Raw!A144</f>
        <v>D-10140</v>
      </c>
      <c r="B144" s="0" t="str">
        <f aca="false">CRM_Raw!B144</f>
        <v>2025-01-30</v>
      </c>
      <c r="C144" s="0" t="str">
        <f aca="false">CRM_Raw!C144</f>
        <v>2025-02-19</v>
      </c>
      <c r="D144" s="0" t="str">
        <f aca="false">IF(CRM_Raw!D144="DACH","DACH",IF(ISNUMBER(SEARCH("uk",CRM_Raw!D144)),"UK &amp; Ireland",PROPER(CRM_Raw!D144)))</f>
        <v>Southern Europe</v>
      </c>
      <c r="E144" s="0" t="str">
        <f aca="false">CRM_Raw!E144</f>
        <v>Small Kitchen Appliances</v>
      </c>
      <c r="F144" s="0" t="str">
        <f aca="false">CRM_Raw!F144</f>
        <v>Social Media Ads</v>
      </c>
      <c r="G144" s="0" t="str">
        <f aca="false">IF(TRIM(CRM_Raw!G144)="","Unassigned",CRM_Raw!G144)</f>
        <v>Unassigned</v>
      </c>
      <c r="H144" s="0" t="str">
        <f aca="false">CRM_Raw!H144</f>
        <v>Closed Won</v>
      </c>
      <c r="I144" s="10" t="n">
        <f aca="false">CRM_Raw!I144</f>
        <v>130.5</v>
      </c>
      <c r="J144" s="11" t="n">
        <f aca="false">CRM_Raw!J144</f>
        <v>0</v>
      </c>
      <c r="K144" s="10" t="n">
        <f aca="false">I144*(1-J144)</f>
        <v>130.5</v>
      </c>
      <c r="L144" s="12" t="n">
        <f aca="false">CRM_Raw!K144</f>
        <v>20</v>
      </c>
      <c r="M144" s="12" t="n">
        <f aca="false">IF(H144="Closed Won",1,0)</f>
        <v>1</v>
      </c>
    </row>
    <row r="145" customFormat="false" ht="15" hidden="false" customHeight="false" outlineLevel="0" collapsed="false">
      <c r="A145" s="0" t="str">
        <f aca="false">CRM_Raw!A145</f>
        <v>D-10141</v>
      </c>
      <c r="B145" s="0" t="str">
        <f aca="false">CRM_Raw!B145</f>
        <v>2026-02-15</v>
      </c>
      <c r="C145" s="0" t="str">
        <f aca="false">CRM_Raw!C145</f>
        <v>2026-03-06</v>
      </c>
      <c r="D145" s="0" t="str">
        <f aca="false">IF(CRM_Raw!D145="DACH","DACH",IF(ISNUMBER(SEARCH("uk",CRM_Raw!D145)),"UK &amp; Ireland",PROPER(CRM_Raw!D145)))</f>
        <v>France</v>
      </c>
      <c r="E145" s="0" t="str">
        <f aca="false">CRM_Raw!E145</f>
        <v>Smart Ovens</v>
      </c>
      <c r="F145" s="0" t="str">
        <f aca="false">CRM_Raw!F145</f>
        <v>Web-shop Organic</v>
      </c>
      <c r="G145" s="0" t="str">
        <f aca="false">IF(TRIM(CRM_Raw!G145)="","Unassigned",CRM_Raw!G145)</f>
        <v>M. Hoffmann</v>
      </c>
      <c r="H145" s="0" t="str">
        <f aca="false">CRM_Raw!H145</f>
        <v>Closed Won</v>
      </c>
      <c r="I145" s="10" t="n">
        <f aca="false">CRM_Raw!I145</f>
        <v>2349.37</v>
      </c>
      <c r="J145" s="11" t="n">
        <f aca="false">CRM_Raw!J145</f>
        <v>0</v>
      </c>
      <c r="K145" s="10" t="n">
        <f aca="false">I145*(1-J145)</f>
        <v>2349.37</v>
      </c>
      <c r="L145" s="12" t="n">
        <f aca="false">CRM_Raw!K145</f>
        <v>19</v>
      </c>
      <c r="M145" s="12" t="n">
        <f aca="false">IF(H145="Closed Won",1,0)</f>
        <v>1</v>
      </c>
    </row>
    <row r="146" customFormat="false" ht="15" hidden="false" customHeight="false" outlineLevel="0" collapsed="false">
      <c r="A146" s="0" t="str">
        <f aca="false">CRM_Raw!A146</f>
        <v>D-10142</v>
      </c>
      <c r="B146" s="0" t="str">
        <f aca="false">CRM_Raw!B146</f>
        <v>2026-01-14</v>
      </c>
      <c r="C146" s="0" t="str">
        <f aca="false">CRM_Raw!C146</f>
        <v>2026-01-17</v>
      </c>
      <c r="D146" s="0" t="str">
        <f aca="false">IF(CRM_Raw!D146="DACH","DACH",IF(ISNUMBER(SEARCH("uk",CRM_Raw!D146)),"UK &amp; Ireland",PROPER(CRM_Raw!D146)))</f>
        <v>Benelux</v>
      </c>
      <c r="E146" s="0" t="str">
        <f aca="false">CRM_Raw!E146</f>
        <v>Dishwashers</v>
      </c>
      <c r="F146" s="0" t="str">
        <f aca="false">CRM_Raw!F146</f>
        <v>Social Media Ads</v>
      </c>
      <c r="G146" s="0" t="str">
        <f aca="false">IF(TRIM(CRM_Raw!G146)="","Unassigned",CRM_Raw!G146)</f>
        <v>M. Hoffmann</v>
      </c>
      <c r="H146" s="0" t="str">
        <f aca="false">CRM_Raw!H146</f>
        <v>Closed Won</v>
      </c>
      <c r="I146" s="10" t="n">
        <f aca="false">CRM_Raw!I146</f>
        <v>2077.59</v>
      </c>
      <c r="J146" s="11" t="n">
        <f aca="false">CRM_Raw!J146</f>
        <v>0.1</v>
      </c>
      <c r="K146" s="10" t="n">
        <f aca="false">I146*(1-J146)</f>
        <v>1869.831</v>
      </c>
      <c r="L146" s="12" t="n">
        <f aca="false">CRM_Raw!K146</f>
        <v>3</v>
      </c>
      <c r="M146" s="12" t="n">
        <f aca="false">IF(H146="Closed Won",1,0)</f>
        <v>1</v>
      </c>
    </row>
    <row r="147" customFormat="false" ht="15" hidden="false" customHeight="false" outlineLevel="0" collapsed="false">
      <c r="A147" s="0" t="str">
        <f aca="false">CRM_Raw!A147</f>
        <v>D-10143</v>
      </c>
      <c r="B147" s="0" t="str">
        <f aca="false">CRM_Raw!B147</f>
        <v>2025-03-25</v>
      </c>
      <c r="C147" s="0" t="str">
        <f aca="false">CRM_Raw!C147</f>
        <v>2025-04-09</v>
      </c>
      <c r="D147" s="0" t="str">
        <f aca="false">IF(CRM_Raw!D147="DACH","DACH",IF(ISNUMBER(SEARCH("uk",CRM_Raw!D147)),"UK &amp; Ireland",PROPER(CRM_Raw!D147)))</f>
        <v>DACH</v>
      </c>
      <c r="E147" s="0" t="str">
        <f aca="false">CRM_Raw!E147</f>
        <v>Smart Ovens</v>
      </c>
      <c r="F147" s="0" t="str">
        <f aca="false">CRM_Raw!F147</f>
        <v>Web-shop Organic</v>
      </c>
      <c r="G147" s="0" t="str">
        <f aca="false">IF(TRIM(CRM_Raw!G147)="","Unassigned",CRM_Raw!G147)</f>
        <v>A. Becker</v>
      </c>
      <c r="H147" s="0" t="str">
        <f aca="false">CRM_Raw!H147</f>
        <v>Closed Won</v>
      </c>
      <c r="I147" s="10" t="n">
        <f aca="false">CRM_Raw!I147</f>
        <v>855.55</v>
      </c>
      <c r="J147" s="11" t="n">
        <f aca="false">CRM_Raw!J147</f>
        <v>0</v>
      </c>
      <c r="K147" s="10" t="n">
        <f aca="false">I147*(1-J147)</f>
        <v>855.55</v>
      </c>
      <c r="L147" s="12" t="n">
        <f aca="false">CRM_Raw!K147</f>
        <v>15</v>
      </c>
      <c r="M147" s="12" t="n">
        <f aca="false">IF(H147="Closed Won",1,0)</f>
        <v>1</v>
      </c>
    </row>
    <row r="148" customFormat="false" ht="15" hidden="false" customHeight="false" outlineLevel="0" collapsed="false">
      <c r="A148" s="0" t="str">
        <f aca="false">CRM_Raw!A148</f>
        <v>D-10144</v>
      </c>
      <c r="B148" s="0" t="str">
        <f aca="false">CRM_Raw!B148</f>
        <v>2025-04-24</v>
      </c>
      <c r="C148" s="0" t="str">
        <f aca="false">CRM_Raw!C148</f>
        <v>2025-05-06</v>
      </c>
      <c r="D148" s="0" t="str">
        <f aca="false">IF(CRM_Raw!D148="DACH","DACH",IF(ISNUMBER(SEARCH("uk",CRM_Raw!D148)),"UK &amp; Ireland",PROPER(CRM_Raw!D148)))</f>
        <v>North America</v>
      </c>
      <c r="E148" s="0" t="str">
        <f aca="false">CRM_Raw!E148</f>
        <v>Washing Machines</v>
      </c>
      <c r="F148" s="0" t="str">
        <f aca="false">CRM_Raw!F148</f>
        <v>Web-shop Organic</v>
      </c>
      <c r="G148" s="0" t="str">
        <f aca="false">IF(TRIM(CRM_Raw!G148)="","Unassigned",CRM_Raw!G148)</f>
        <v>K. Nilsson</v>
      </c>
      <c r="H148" s="0" t="str">
        <f aca="false">CRM_Raw!H148</f>
        <v>Closed Won</v>
      </c>
      <c r="I148" s="10" t="n">
        <f aca="false">CRM_Raw!I148</f>
        <v>1406.46</v>
      </c>
      <c r="J148" s="11" t="n">
        <f aca="false">CRM_Raw!J148</f>
        <v>0.1</v>
      </c>
      <c r="K148" s="10" t="n">
        <f aca="false">I148*(1-J148)</f>
        <v>1265.814</v>
      </c>
      <c r="L148" s="12" t="n">
        <f aca="false">CRM_Raw!K148</f>
        <v>12</v>
      </c>
      <c r="M148" s="12" t="n">
        <f aca="false">IF(H148="Closed Won",1,0)</f>
        <v>1</v>
      </c>
    </row>
    <row r="149" customFormat="false" ht="15" hidden="false" customHeight="false" outlineLevel="0" collapsed="false">
      <c r="A149" s="0" t="str">
        <f aca="false">CRM_Raw!A149</f>
        <v>D-10145</v>
      </c>
      <c r="B149" s="0" t="str">
        <f aca="false">CRM_Raw!B149</f>
        <v>2025-02-26</v>
      </c>
      <c r="C149" s="0" t="str">
        <f aca="false">CRM_Raw!C149</f>
        <v>2025-03-17</v>
      </c>
      <c r="D149" s="0" t="str">
        <f aca="false">IF(CRM_Raw!D149="DACH","DACH",IF(ISNUMBER(SEARCH("uk",CRM_Raw!D149)),"UK &amp; Ireland",PROPER(CRM_Raw!D149)))</f>
        <v>Southern Europe</v>
      </c>
      <c r="E149" s="0" t="str">
        <f aca="false">CRM_Raw!E149</f>
        <v>Cordless Vacuums</v>
      </c>
      <c r="F149" s="0" t="str">
        <f aca="false">CRM_Raw!F149</f>
        <v>Web-shop Organic</v>
      </c>
      <c r="G149" s="0" t="str">
        <f aca="false">IF(TRIM(CRM_Raw!G149)="","Unassigned",CRM_Raw!G149)</f>
        <v>K. Nilsson</v>
      </c>
      <c r="H149" s="0" t="str">
        <f aca="false">CRM_Raw!H149</f>
        <v>Closed Won</v>
      </c>
      <c r="I149" s="10" t="n">
        <f aca="false">CRM_Raw!I149</f>
        <v>334.11</v>
      </c>
      <c r="J149" s="11" t="n">
        <f aca="false">CRM_Raw!J149</f>
        <v>0</v>
      </c>
      <c r="K149" s="10" t="n">
        <f aca="false">I149*(1-J149)</f>
        <v>334.11</v>
      </c>
      <c r="L149" s="12" t="n">
        <f aca="false">CRM_Raw!K149</f>
        <v>19</v>
      </c>
      <c r="M149" s="12" t="n">
        <f aca="false">IF(H149="Closed Won",1,0)</f>
        <v>1</v>
      </c>
    </row>
    <row r="150" customFormat="false" ht="15" hidden="false" customHeight="false" outlineLevel="0" collapsed="false">
      <c r="A150" s="0" t="str">
        <f aca="false">CRM_Raw!A150</f>
        <v>D-10146</v>
      </c>
      <c r="B150" s="0" t="str">
        <f aca="false">CRM_Raw!B150</f>
        <v>2025-06-29</v>
      </c>
      <c r="C150" s="0" t="str">
        <f aca="false">CRM_Raw!C150</f>
        <v>2025-07-25</v>
      </c>
      <c r="D150" s="0" t="str">
        <f aca="false">IF(CRM_Raw!D150="DACH","DACH",IF(ISNUMBER(SEARCH("uk",CRM_Raw!D150)),"UK &amp; Ireland",PROPER(CRM_Raw!D150)))</f>
        <v>France</v>
      </c>
      <c r="E150" s="0" t="str">
        <f aca="false">CRM_Raw!E150</f>
        <v>Smart Ovens</v>
      </c>
      <c r="F150" s="0" t="str">
        <f aca="false">CRM_Raw!F150</f>
        <v>Web-shop Organic</v>
      </c>
      <c r="G150" s="0" t="str">
        <f aca="false">IF(TRIM(CRM_Raw!G150)="","Unassigned",CRM_Raw!G150)</f>
        <v>K. Nilsson</v>
      </c>
      <c r="H150" s="0" t="str">
        <f aca="false">CRM_Raw!H150</f>
        <v>Closed Won</v>
      </c>
      <c r="I150" s="10" t="n">
        <f aca="false">CRM_Raw!I150</f>
        <v>874.27</v>
      </c>
      <c r="J150" s="11" t="n">
        <f aca="false">CRM_Raw!J150</f>
        <v>0.1</v>
      </c>
      <c r="K150" s="10" t="n">
        <f aca="false">I150*(1-J150)</f>
        <v>786.843</v>
      </c>
      <c r="L150" s="12" t="n">
        <f aca="false">CRM_Raw!K150</f>
        <v>26</v>
      </c>
      <c r="M150" s="12" t="n">
        <f aca="false">IF(H150="Closed Won",1,0)</f>
        <v>1</v>
      </c>
    </row>
    <row r="151" customFormat="false" ht="15" hidden="false" customHeight="false" outlineLevel="0" collapsed="false">
      <c r="A151" s="0" t="str">
        <f aca="false">CRM_Raw!A151</f>
        <v>D-10147</v>
      </c>
      <c r="B151" s="0" t="str">
        <f aca="false">CRM_Raw!B151</f>
        <v>2026-02-11</v>
      </c>
      <c r="C151" s="0" t="n">
        <f aca="false">CRM_Raw!C151</f>
        <v>0</v>
      </c>
      <c r="D151" s="0" t="str">
        <f aca="false">IF(CRM_Raw!D151="DACH","DACH",IF(ISNUMBER(SEARCH("uk",CRM_Raw!D151)),"UK &amp; Ireland",PROPER(CRM_Raw!D151)))</f>
        <v>Nordics</v>
      </c>
      <c r="E151" s="0" t="str">
        <f aca="false">CRM_Raw!E151</f>
        <v>Small Kitchen Appliances</v>
      </c>
      <c r="F151" s="0" t="str">
        <f aca="false">CRM_Raw!F151</f>
        <v>Email Campaign</v>
      </c>
      <c r="G151" s="0" t="str">
        <f aca="false">IF(TRIM(CRM_Raw!G151)="","Unassigned",CRM_Raw!G151)</f>
        <v>L. Dubois</v>
      </c>
      <c r="H151" s="0" t="str">
        <f aca="false">CRM_Raw!H151</f>
        <v>Proposal Sent</v>
      </c>
      <c r="I151" s="10" t="n">
        <f aca="false">CRM_Raw!I151</f>
        <v>110.91</v>
      </c>
      <c r="J151" s="11" t="n">
        <f aca="false">CRM_Raw!J151</f>
        <v>0.05</v>
      </c>
      <c r="K151" s="10" t="n">
        <f aca="false">I151*(1-J151)</f>
        <v>105.3645</v>
      </c>
      <c r="L151" s="12" t="n">
        <f aca="false">CRM_Raw!K151</f>
        <v>0</v>
      </c>
      <c r="M151" s="12" t="n">
        <f aca="false">IF(H151="Closed Won",1,0)</f>
        <v>0</v>
      </c>
    </row>
    <row r="152" customFormat="false" ht="15" hidden="false" customHeight="false" outlineLevel="0" collapsed="false">
      <c r="A152" s="0" t="str">
        <f aca="false">CRM_Raw!A152</f>
        <v>D-10148</v>
      </c>
      <c r="B152" s="0" t="str">
        <f aca="false">CRM_Raw!B152</f>
        <v>2026-03-04</v>
      </c>
      <c r="C152" s="0" t="str">
        <f aca="false">CRM_Raw!C152</f>
        <v>2026-03-07</v>
      </c>
      <c r="D152" s="0" t="str">
        <f aca="false">IF(CRM_Raw!D152="DACH","DACH",IF(ISNUMBER(SEARCH("uk",CRM_Raw!D152)),"UK &amp; Ireland",PROPER(CRM_Raw!D152)))</f>
        <v>DACH</v>
      </c>
      <c r="E152" s="0" t="str">
        <f aca="false">CRM_Raw!E152</f>
        <v>Cordless Vacuums</v>
      </c>
      <c r="F152" s="0" t="str">
        <f aca="false">CRM_Raw!F152</f>
        <v>Social Media Ads</v>
      </c>
      <c r="G152" s="0" t="str">
        <f aca="false">IF(TRIM(CRM_Raw!G152)="","Unassigned",CRM_Raw!G152)</f>
        <v>K. Nilsson</v>
      </c>
      <c r="H152" s="0" t="str">
        <f aca="false">CRM_Raw!H152</f>
        <v>Closed Won</v>
      </c>
      <c r="I152" s="10" t="n">
        <f aca="false">CRM_Raw!I152</f>
        <v>1011.4</v>
      </c>
      <c r="J152" s="11" t="n">
        <f aca="false">CRM_Raw!J152</f>
        <v>0.05</v>
      </c>
      <c r="K152" s="10" t="n">
        <f aca="false">I152*(1-J152)</f>
        <v>960.83</v>
      </c>
      <c r="L152" s="12" t="n">
        <f aca="false">CRM_Raw!K152</f>
        <v>3</v>
      </c>
      <c r="M152" s="12" t="n">
        <f aca="false">IF(H152="Closed Won",1,0)</f>
        <v>1</v>
      </c>
    </row>
    <row r="153" customFormat="false" ht="15" hidden="false" customHeight="false" outlineLevel="0" collapsed="false">
      <c r="A153" s="0" t="str">
        <f aca="false">CRM_Raw!A153</f>
        <v>D-10149</v>
      </c>
      <c r="B153" s="0" t="str">
        <f aca="false">CRM_Raw!B153</f>
        <v>2026-03-24</v>
      </c>
      <c r="C153" s="0" t="n">
        <f aca="false">CRM_Raw!C153</f>
        <v>0</v>
      </c>
      <c r="D153" s="0" t="str">
        <f aca="false">IF(CRM_Raw!D153="DACH","DACH",IF(ISNUMBER(SEARCH("uk",CRM_Raw!D153)),"UK &amp; Ireland",PROPER(CRM_Raw!D153)))</f>
        <v>North America</v>
      </c>
      <c r="E153" s="0" t="str">
        <f aca="false">CRM_Raw!E153</f>
        <v>Small Kitchen Appliances</v>
      </c>
      <c r="F153" s="0" t="str">
        <f aca="false">CRM_Raw!F153</f>
        <v>Retail Referral</v>
      </c>
      <c r="G153" s="0" t="str">
        <f aca="false">IF(TRIM(CRM_Raw!G153)="","Unassigned",CRM_Raw!G153)</f>
        <v>L. Dubois</v>
      </c>
      <c r="H153" s="0" t="str">
        <f aca="false">CRM_Raw!H153</f>
        <v>Proposal Sent</v>
      </c>
      <c r="I153" s="10" t="n">
        <f aca="false">CRM_Raw!I153</f>
        <v>350.61</v>
      </c>
      <c r="J153" s="11" t="n">
        <f aca="false">CRM_Raw!J153</f>
        <v>0.05</v>
      </c>
      <c r="K153" s="10" t="n">
        <f aca="false">I153*(1-J153)</f>
        <v>333.0795</v>
      </c>
      <c r="L153" s="12" t="n">
        <f aca="false">CRM_Raw!K153</f>
        <v>0</v>
      </c>
      <c r="M153" s="12" t="n">
        <f aca="false">IF(H153="Closed Won",1,0)</f>
        <v>0</v>
      </c>
    </row>
    <row r="154" customFormat="false" ht="15" hidden="false" customHeight="false" outlineLevel="0" collapsed="false">
      <c r="A154" s="0" t="str">
        <f aca="false">CRM_Raw!A154</f>
        <v>D-10150</v>
      </c>
      <c r="B154" s="0" t="str">
        <f aca="false">CRM_Raw!B154</f>
        <v>2025-12-14</v>
      </c>
      <c r="C154" s="0" t="str">
        <f aca="false">CRM_Raw!C154</f>
        <v>2026-01-17</v>
      </c>
      <c r="D154" s="0" t="str">
        <f aca="false">IF(CRM_Raw!D154="DACH","DACH",IF(ISNUMBER(SEARCH("uk",CRM_Raw!D154)),"UK &amp; Ireland",PROPER(CRM_Raw!D154)))</f>
        <v>Nordics</v>
      </c>
      <c r="E154" s="0" t="str">
        <f aca="false">CRM_Raw!E154</f>
        <v>Smart Ovens</v>
      </c>
      <c r="F154" s="0" t="str">
        <f aca="false">CRM_Raw!F154</f>
        <v>Paid Search</v>
      </c>
      <c r="G154" s="0" t="str">
        <f aca="false">IF(TRIM(CRM_Raw!G154)="","Unassigned",CRM_Raw!G154)</f>
        <v>J. Murphy</v>
      </c>
      <c r="H154" s="0" t="str">
        <f aca="false">CRM_Raw!H154</f>
        <v>Closed Won</v>
      </c>
      <c r="I154" s="10" t="n">
        <f aca="false">CRM_Raw!I154</f>
        <v>925.25</v>
      </c>
      <c r="J154" s="11" t="n">
        <f aca="false">CRM_Raw!J154</f>
        <v>0.1</v>
      </c>
      <c r="K154" s="10" t="n">
        <f aca="false">I154*(1-J154)</f>
        <v>832.725</v>
      </c>
      <c r="L154" s="12" t="n">
        <f aca="false">CRM_Raw!K154</f>
        <v>34</v>
      </c>
      <c r="M154" s="12" t="n">
        <f aca="false">IF(H154="Closed Won",1,0)</f>
        <v>1</v>
      </c>
    </row>
    <row r="155" customFormat="false" ht="15" hidden="false" customHeight="false" outlineLevel="0" collapsed="false">
      <c r="A155" s="0" t="str">
        <f aca="false">CRM_Raw!A155</f>
        <v>D-10151</v>
      </c>
      <c r="B155" s="0" t="str">
        <f aca="false">CRM_Raw!B155</f>
        <v>2025-12-24</v>
      </c>
      <c r="C155" s="0" t="str">
        <f aca="false">CRM_Raw!C155</f>
        <v>2026-01-26</v>
      </c>
      <c r="D155" s="0" t="str">
        <f aca="false">IF(CRM_Raw!D155="DACH","DACH",IF(ISNUMBER(SEARCH("uk",CRM_Raw!D155)),"UK &amp; Ireland",PROPER(CRM_Raw!D155)))</f>
        <v>Southern Europe</v>
      </c>
      <c r="E155" s="0" t="str">
        <f aca="false">CRM_Raw!E155</f>
        <v>Smart Ovens</v>
      </c>
      <c r="F155" s="0" t="str">
        <f aca="false">CRM_Raw!F155</f>
        <v>Social Media Ads</v>
      </c>
      <c r="G155" s="0" t="str">
        <f aca="false">IF(TRIM(CRM_Raw!G155)="","Unassigned",CRM_Raw!G155)</f>
        <v>S. Andersson</v>
      </c>
      <c r="H155" s="0" t="str">
        <f aca="false">CRM_Raw!H155</f>
        <v>Closed Won</v>
      </c>
      <c r="I155" s="10" t="n">
        <f aca="false">CRM_Raw!I155</f>
        <v>794.69</v>
      </c>
      <c r="J155" s="11" t="n">
        <f aca="false">CRM_Raw!J155</f>
        <v>0</v>
      </c>
      <c r="K155" s="10" t="n">
        <f aca="false">I155*(1-J155)</f>
        <v>794.69</v>
      </c>
      <c r="L155" s="12" t="n">
        <f aca="false">CRM_Raw!K155</f>
        <v>33</v>
      </c>
      <c r="M155" s="12" t="n">
        <f aca="false">IF(H155="Closed Won",1,0)</f>
        <v>1</v>
      </c>
    </row>
    <row r="156" customFormat="false" ht="15" hidden="false" customHeight="false" outlineLevel="0" collapsed="false">
      <c r="A156" s="0" t="str">
        <f aca="false">CRM_Raw!A156</f>
        <v>D-10152</v>
      </c>
      <c r="B156" s="0" t="str">
        <f aca="false">CRM_Raw!B156</f>
        <v>2025-03-19</v>
      </c>
      <c r="C156" s="0" t="str">
        <f aca="false">CRM_Raw!C156</f>
        <v>2025-04-05</v>
      </c>
      <c r="D156" s="0" t="str">
        <f aca="false">IF(CRM_Raw!D156="DACH","DACH",IF(ISNUMBER(SEARCH("uk",CRM_Raw!D156)),"UK &amp; Ireland",PROPER(CRM_Raw!D156)))</f>
        <v>France</v>
      </c>
      <c r="E156" s="0" t="str">
        <f aca="false">CRM_Raw!E156</f>
        <v>Coffee Systems</v>
      </c>
      <c r="F156" s="0" t="str">
        <f aca="false">CRM_Raw!F156</f>
        <v>Web-shop Organic</v>
      </c>
      <c r="G156" s="0" t="str">
        <f aca="false">IF(TRIM(CRM_Raw!G156)="","Unassigned",CRM_Raw!G156)</f>
        <v>Unassigned</v>
      </c>
      <c r="H156" s="0" t="str">
        <f aca="false">CRM_Raw!H156</f>
        <v>Closed Won</v>
      </c>
      <c r="I156" s="10" t="n">
        <f aca="false">CRM_Raw!I156</f>
        <v>1128.48</v>
      </c>
      <c r="J156" s="11" t="n">
        <f aca="false">CRM_Raw!J156</f>
        <v>0.05</v>
      </c>
      <c r="K156" s="10" t="n">
        <f aca="false">I156*(1-J156)</f>
        <v>1072.056</v>
      </c>
      <c r="L156" s="12" t="n">
        <f aca="false">CRM_Raw!K156</f>
        <v>17</v>
      </c>
      <c r="M156" s="12" t="n">
        <f aca="false">IF(H156="Closed Won",1,0)</f>
        <v>1</v>
      </c>
    </row>
    <row r="157" customFormat="false" ht="15" hidden="false" customHeight="false" outlineLevel="0" collapsed="false">
      <c r="A157" s="0" t="str">
        <f aca="false">CRM_Raw!A157</f>
        <v>D-10153</v>
      </c>
      <c r="B157" s="0" t="str">
        <f aca="false">CRM_Raw!B157</f>
        <v>2025-11-27</v>
      </c>
      <c r="C157" s="0" t="n">
        <f aca="false">CRM_Raw!C157</f>
        <v>0</v>
      </c>
      <c r="D157" s="0" t="str">
        <f aca="false">IF(CRM_Raw!D157="DACH","DACH",IF(ISNUMBER(SEARCH("uk",CRM_Raw!D157)),"UK &amp; Ireland",PROPER(CRM_Raw!D157)))</f>
        <v>North America</v>
      </c>
      <c r="E157" s="0" t="str">
        <f aca="false">CRM_Raw!E157</f>
        <v>Washing Machines</v>
      </c>
      <c r="F157" s="0" t="str">
        <f aca="false">CRM_Raw!F157</f>
        <v>Email Campaign</v>
      </c>
      <c r="G157" s="0" t="str">
        <f aca="false">IF(TRIM(CRM_Raw!G157)="","Unassigned",CRM_Raw!G157)</f>
        <v>T. Wagner</v>
      </c>
      <c r="H157" s="0" t="str">
        <f aca="false">CRM_Raw!H157</f>
        <v>Proposal Sent</v>
      </c>
      <c r="I157" s="10" t="n">
        <f aca="false">CRM_Raw!I157</f>
        <v>694.99</v>
      </c>
      <c r="J157" s="11" t="n">
        <f aca="false">CRM_Raw!J157</f>
        <v>0.05</v>
      </c>
      <c r="K157" s="10" t="n">
        <f aca="false">I157*(1-J157)</f>
        <v>660.2405</v>
      </c>
      <c r="L157" s="12" t="n">
        <f aca="false">CRM_Raw!K157</f>
        <v>0</v>
      </c>
      <c r="M157" s="12" t="n">
        <f aca="false">IF(H157="Closed Won",1,0)</f>
        <v>0</v>
      </c>
    </row>
    <row r="158" customFormat="false" ht="15" hidden="false" customHeight="false" outlineLevel="0" collapsed="false">
      <c r="A158" s="0" t="str">
        <f aca="false">CRM_Raw!A158</f>
        <v>D-10154</v>
      </c>
      <c r="B158" s="0" t="str">
        <f aca="false">CRM_Raw!B158</f>
        <v>2025-10-09</v>
      </c>
      <c r="C158" s="0" t="str">
        <f aca="false">CRM_Raw!C158</f>
        <v>2025-10-27</v>
      </c>
      <c r="D158" s="0" t="str">
        <f aca="false">IF(CRM_Raw!D158="DACH","DACH",IF(ISNUMBER(SEARCH("uk",CRM_Raw!D158)),"UK &amp; Ireland",PROPER(CRM_Raw!D158)))</f>
        <v>DACH</v>
      </c>
      <c r="E158" s="0" t="str">
        <f aca="false">CRM_Raw!E158</f>
        <v>Dishwashers</v>
      </c>
      <c r="F158" s="0" t="str">
        <f aca="false">CRM_Raw!F158</f>
        <v>Paid Search</v>
      </c>
      <c r="G158" s="0" t="str">
        <f aca="false">IF(TRIM(CRM_Raw!G158)="","Unassigned",CRM_Raw!G158)</f>
        <v>J. Murphy</v>
      </c>
      <c r="H158" s="0" t="str">
        <f aca="false">CRM_Raw!H158</f>
        <v>Closed Lost</v>
      </c>
      <c r="I158" s="10" t="n">
        <f aca="false">CRM_Raw!I158</f>
        <v>716.19</v>
      </c>
      <c r="J158" s="11" t="n">
        <f aca="false">CRM_Raw!J158</f>
        <v>0</v>
      </c>
      <c r="K158" s="10" t="n">
        <f aca="false">I158*(1-J158)</f>
        <v>716.19</v>
      </c>
      <c r="L158" s="12" t="n">
        <f aca="false">CRM_Raw!K158</f>
        <v>18</v>
      </c>
      <c r="M158" s="12" t="n">
        <f aca="false">IF(H158="Closed Won",1,0)</f>
        <v>0</v>
      </c>
    </row>
    <row r="159" customFormat="false" ht="15" hidden="false" customHeight="false" outlineLevel="0" collapsed="false">
      <c r="A159" s="0" t="str">
        <f aca="false">CRM_Raw!A159</f>
        <v>D-10155</v>
      </c>
      <c r="B159" s="0" t="str">
        <f aca="false">CRM_Raw!B159</f>
        <v>2026-01-29</v>
      </c>
      <c r="C159" s="0" t="str">
        <f aca="false">CRM_Raw!C159</f>
        <v>2026-02-21</v>
      </c>
      <c r="D159" s="0" t="str">
        <f aca="false">IF(CRM_Raw!D159="DACH","DACH",IF(ISNUMBER(SEARCH("uk",CRM_Raw!D159)),"UK &amp; Ireland",PROPER(CRM_Raw!D159)))</f>
        <v>France</v>
      </c>
      <c r="E159" s="0" t="str">
        <f aca="false">CRM_Raw!E159</f>
        <v>Cordless Vacuums</v>
      </c>
      <c r="F159" s="0" t="str">
        <f aca="false">CRM_Raw!F159</f>
        <v>Web-shop Organic</v>
      </c>
      <c r="G159" s="0" t="str">
        <f aca="false">IF(TRIM(CRM_Raw!G159)="","Unassigned",CRM_Raw!G159)</f>
        <v>Unassigned</v>
      </c>
      <c r="H159" s="0" t="str">
        <f aca="false">CRM_Raw!H159</f>
        <v>Closed Lost</v>
      </c>
      <c r="I159" s="10" t="n">
        <f aca="false">CRM_Raw!I159</f>
        <v>370.47</v>
      </c>
      <c r="J159" s="11" t="n">
        <f aca="false">CRM_Raw!J159</f>
        <v>0.05</v>
      </c>
      <c r="K159" s="10" t="n">
        <f aca="false">I159*(1-J159)</f>
        <v>351.9465</v>
      </c>
      <c r="L159" s="12" t="n">
        <f aca="false">CRM_Raw!K159</f>
        <v>23</v>
      </c>
      <c r="M159" s="12" t="n">
        <f aca="false">IF(H159="Closed Won",1,0)</f>
        <v>0</v>
      </c>
    </row>
    <row r="160" customFormat="false" ht="15" hidden="false" customHeight="false" outlineLevel="0" collapsed="false">
      <c r="A160" s="0" t="str">
        <f aca="false">CRM_Raw!A160</f>
        <v>D-10156</v>
      </c>
      <c r="B160" s="0" t="str">
        <f aca="false">CRM_Raw!B160</f>
        <v>2026-05-03</v>
      </c>
      <c r="C160" s="0" t="str">
        <f aca="false">CRM_Raw!C160</f>
        <v>2026-06-01</v>
      </c>
      <c r="D160" s="0" t="str">
        <f aca="false">IF(CRM_Raw!D160="DACH","DACH",IF(ISNUMBER(SEARCH("uk",CRM_Raw!D160)),"UK &amp; Ireland",PROPER(CRM_Raw!D160)))</f>
        <v>North America</v>
      </c>
      <c r="E160" s="0" t="str">
        <f aca="false">CRM_Raw!E160</f>
        <v>Washing Machines</v>
      </c>
      <c r="F160" s="0" t="str">
        <f aca="false">CRM_Raw!F160</f>
        <v>Affiliate Partner</v>
      </c>
      <c r="G160" s="0" t="str">
        <f aca="false">IF(TRIM(CRM_Raw!G160)="","Unassigned",CRM_Raw!G160)</f>
        <v>P. Rossi</v>
      </c>
      <c r="H160" s="0" t="str">
        <f aca="false">CRM_Raw!H160</f>
        <v>Closed Lost</v>
      </c>
      <c r="I160" s="10" t="n">
        <f aca="false">CRM_Raw!I160</f>
        <v>724.53</v>
      </c>
      <c r="J160" s="11" t="n">
        <f aca="false">CRM_Raw!J160</f>
        <v>0.15</v>
      </c>
      <c r="K160" s="10" t="n">
        <f aca="false">I160*(1-J160)</f>
        <v>615.8505</v>
      </c>
      <c r="L160" s="12" t="n">
        <f aca="false">CRM_Raw!K160</f>
        <v>30</v>
      </c>
      <c r="M160" s="12" t="n">
        <f aca="false">IF(H160="Closed Won",1,0)</f>
        <v>0</v>
      </c>
    </row>
    <row r="161" customFormat="false" ht="15" hidden="false" customHeight="false" outlineLevel="0" collapsed="false">
      <c r="A161" s="0" t="str">
        <f aca="false">CRM_Raw!A161</f>
        <v>D-10157</v>
      </c>
      <c r="B161" s="0" t="str">
        <f aca="false">CRM_Raw!B161</f>
        <v>2025-09-11</v>
      </c>
      <c r="C161" s="0" t="n">
        <f aca="false">CRM_Raw!C161</f>
        <v>0</v>
      </c>
      <c r="D161" s="0" t="str">
        <f aca="false">IF(CRM_Raw!D161="DACH","DACH",IF(ISNUMBER(SEARCH("uk",CRM_Raw!D161)),"UK &amp; Ireland",PROPER(CRM_Raw!D161)))</f>
        <v>DACH</v>
      </c>
      <c r="E161" s="0" t="str">
        <f aca="false">CRM_Raw!E161</f>
        <v>Washing Machines</v>
      </c>
      <c r="F161" s="0" t="str">
        <f aca="false">CRM_Raw!F161</f>
        <v>Affiliate Partner</v>
      </c>
      <c r="G161" s="0" t="str">
        <f aca="false">IF(TRIM(CRM_Raw!G161)="","Unassigned",CRM_Raw!G161)</f>
        <v>A. Becker</v>
      </c>
      <c r="H161" s="0" t="str">
        <f aca="false">CRM_Raw!H161</f>
        <v>Negotiation</v>
      </c>
      <c r="I161" s="10" t="n">
        <f aca="false">CRM_Raw!I161</f>
        <v>2260.41</v>
      </c>
      <c r="J161" s="11" t="n">
        <f aca="false">CRM_Raw!J161</f>
        <v>0.1</v>
      </c>
      <c r="K161" s="10" t="n">
        <f aca="false">I161*(1-J161)</f>
        <v>2034.369</v>
      </c>
      <c r="L161" s="12" t="n">
        <f aca="false">CRM_Raw!K161</f>
        <v>0</v>
      </c>
      <c r="M161" s="12" t="n">
        <f aca="false">IF(H161="Closed Won",1,0)</f>
        <v>0</v>
      </c>
    </row>
    <row r="162" customFormat="false" ht="15" hidden="false" customHeight="false" outlineLevel="0" collapsed="false">
      <c r="A162" s="0" t="str">
        <f aca="false">CRM_Raw!A162</f>
        <v>D-10158</v>
      </c>
      <c r="B162" s="0" t="str">
        <f aca="false">CRM_Raw!B162</f>
        <v>2026-02-01</v>
      </c>
      <c r="C162" s="0" t="str">
        <f aca="false">CRM_Raw!C162</f>
        <v>2026-02-19</v>
      </c>
      <c r="D162" s="0" t="str">
        <f aca="false">IF(CRM_Raw!D162="DACH","DACH",IF(ISNUMBER(SEARCH("uk",CRM_Raw!D162)),"UK &amp; Ireland",PROPER(CRM_Raw!D162)))</f>
        <v>Nordics</v>
      </c>
      <c r="E162" s="0" t="str">
        <f aca="false">CRM_Raw!E162</f>
        <v>Coffee Systems</v>
      </c>
      <c r="F162" s="0" t="str">
        <f aca="false">CRM_Raw!F162</f>
        <v>Paid Search</v>
      </c>
      <c r="G162" s="0" t="str">
        <f aca="false">IF(TRIM(CRM_Raw!G162)="","Unassigned",CRM_Raw!G162)</f>
        <v>J. Murphy</v>
      </c>
      <c r="H162" s="0" t="str">
        <f aca="false">CRM_Raw!H162</f>
        <v>Closed Lost</v>
      </c>
      <c r="I162" s="10" t="n">
        <f aca="false">CRM_Raw!I162</f>
        <v>1528.13</v>
      </c>
      <c r="J162" s="11" t="n">
        <f aca="false">CRM_Raw!J162</f>
        <v>0</v>
      </c>
      <c r="K162" s="10" t="n">
        <f aca="false">I162*(1-J162)</f>
        <v>1528.13</v>
      </c>
      <c r="L162" s="12" t="n">
        <f aca="false">CRM_Raw!K162</f>
        <v>18</v>
      </c>
      <c r="M162" s="12" t="n">
        <f aca="false">IF(H162="Closed Won",1,0)</f>
        <v>0</v>
      </c>
    </row>
    <row r="163" customFormat="false" ht="15" hidden="false" customHeight="false" outlineLevel="0" collapsed="false">
      <c r="A163" s="0" t="str">
        <f aca="false">CRM_Raw!A163</f>
        <v>D-10159</v>
      </c>
      <c r="B163" s="0" t="str">
        <f aca="false">CRM_Raw!B163</f>
        <v>2025-12-04</v>
      </c>
      <c r="C163" s="0" t="str">
        <f aca="false">CRM_Raw!C163</f>
        <v>2025-12-21</v>
      </c>
      <c r="D163" s="0" t="str">
        <f aca="false">IF(CRM_Raw!D163="DACH","DACH",IF(ISNUMBER(SEARCH("uk",CRM_Raw!D163)),"UK &amp; Ireland",PROPER(CRM_Raw!D163)))</f>
        <v>North America</v>
      </c>
      <c r="E163" s="0" t="str">
        <f aca="false">CRM_Raw!E163</f>
        <v>Small Kitchen Appliances</v>
      </c>
      <c r="F163" s="0" t="str">
        <f aca="false">CRM_Raw!F163</f>
        <v>Affiliate Partner</v>
      </c>
      <c r="G163" s="0" t="str">
        <f aca="false">IF(TRIM(CRM_Raw!G163)="","Unassigned",CRM_Raw!G163)</f>
        <v>L. Dubois</v>
      </c>
      <c r="H163" s="0" t="str">
        <f aca="false">CRM_Raw!H163</f>
        <v>Closed Won</v>
      </c>
      <c r="I163" s="10" t="n">
        <f aca="false">CRM_Raw!I163</f>
        <v>393.37</v>
      </c>
      <c r="J163" s="11" t="n">
        <f aca="false">CRM_Raw!J163</f>
        <v>0.2</v>
      </c>
      <c r="K163" s="10" t="n">
        <f aca="false">I163*(1-J163)</f>
        <v>314.696</v>
      </c>
      <c r="L163" s="12" t="n">
        <f aca="false">CRM_Raw!K163</f>
        <v>17</v>
      </c>
      <c r="M163" s="12" t="n">
        <f aca="false">IF(H163="Closed Won",1,0)</f>
        <v>1</v>
      </c>
    </row>
    <row r="164" customFormat="false" ht="15" hidden="false" customHeight="false" outlineLevel="0" collapsed="false">
      <c r="A164" s="0" t="str">
        <f aca="false">CRM_Raw!A164</f>
        <v>D-10160</v>
      </c>
      <c r="B164" s="0" t="str">
        <f aca="false">CRM_Raw!B164</f>
        <v>2025-12-25</v>
      </c>
      <c r="C164" s="0" t="str">
        <f aca="false">CRM_Raw!C164</f>
        <v>2026-01-08</v>
      </c>
      <c r="D164" s="0" t="str">
        <f aca="false">IF(CRM_Raw!D164="DACH","DACH",IF(ISNUMBER(SEARCH("uk",CRM_Raw!D164)),"UK &amp; Ireland",PROPER(CRM_Raw!D164)))</f>
        <v>UK &amp; Ireland</v>
      </c>
      <c r="E164" s="0" t="str">
        <f aca="false">CRM_Raw!E164</f>
        <v>Cordless Vacuums</v>
      </c>
      <c r="F164" s="0" t="str">
        <f aca="false">CRM_Raw!F164</f>
        <v>Web-shop Organic</v>
      </c>
      <c r="G164" s="0" t="str">
        <f aca="false">IF(TRIM(CRM_Raw!G164)="","Unassigned",CRM_Raw!G164)</f>
        <v>M. Hoffmann</v>
      </c>
      <c r="H164" s="0" t="str">
        <f aca="false">CRM_Raw!H164</f>
        <v>Closed Won</v>
      </c>
      <c r="I164" s="10" t="n">
        <f aca="false">CRM_Raw!I164</f>
        <v>758.68</v>
      </c>
      <c r="J164" s="11" t="n">
        <f aca="false">CRM_Raw!J164</f>
        <v>0</v>
      </c>
      <c r="K164" s="10" t="n">
        <f aca="false">I164*(1-J164)</f>
        <v>758.68</v>
      </c>
      <c r="L164" s="12" t="n">
        <f aca="false">CRM_Raw!K164</f>
        <v>14</v>
      </c>
      <c r="M164" s="12" t="n">
        <f aca="false">IF(H164="Closed Won",1,0)</f>
        <v>1</v>
      </c>
    </row>
    <row r="165" customFormat="false" ht="15" hidden="false" customHeight="false" outlineLevel="0" collapsed="false">
      <c r="A165" s="0" t="str">
        <f aca="false">CRM_Raw!A165</f>
        <v>D-10161</v>
      </c>
      <c r="B165" s="0" t="str">
        <f aca="false">CRM_Raw!B165</f>
        <v>2026-01-21</v>
      </c>
      <c r="C165" s="0" t="n">
        <f aca="false">CRM_Raw!C165</f>
        <v>0</v>
      </c>
      <c r="D165" s="0" t="str">
        <f aca="false">IF(CRM_Raw!D165="DACH","DACH",IF(ISNUMBER(SEARCH("uk",CRM_Raw!D165)),"UK &amp; Ireland",PROPER(CRM_Raw!D165)))</f>
        <v>Nordics</v>
      </c>
      <c r="E165" s="0" t="str">
        <f aca="false">CRM_Raw!E165</f>
        <v>Small Kitchen Appliances</v>
      </c>
      <c r="F165" s="0" t="str">
        <f aca="false">CRM_Raw!F165</f>
        <v>Retail Referral</v>
      </c>
      <c r="G165" s="0" t="str">
        <f aca="false">IF(TRIM(CRM_Raw!G165)="","Unassigned",CRM_Raw!G165)</f>
        <v>J. Murphy</v>
      </c>
      <c r="H165" s="0" t="str">
        <f aca="false">CRM_Raw!H165</f>
        <v>Negotiation</v>
      </c>
      <c r="I165" s="10" t="n">
        <f aca="false">CRM_Raw!I165</f>
        <v>119.4</v>
      </c>
      <c r="J165" s="11" t="n">
        <f aca="false">CRM_Raw!J165</f>
        <v>0.15</v>
      </c>
      <c r="K165" s="10" t="n">
        <f aca="false">I165*(1-J165)</f>
        <v>101.49</v>
      </c>
      <c r="L165" s="12" t="n">
        <f aca="false">CRM_Raw!K165</f>
        <v>0</v>
      </c>
      <c r="M165" s="12" t="n">
        <f aca="false">IF(H165="Closed Won",1,0)</f>
        <v>0</v>
      </c>
    </row>
    <row r="166" customFormat="false" ht="15" hidden="false" customHeight="false" outlineLevel="0" collapsed="false">
      <c r="A166" s="0" t="str">
        <f aca="false">CRM_Raw!A166</f>
        <v>D-10162</v>
      </c>
      <c r="B166" s="0" t="str">
        <f aca="false">CRM_Raw!B166</f>
        <v>2026-03-10</v>
      </c>
      <c r="C166" s="0" t="str">
        <f aca="false">CRM_Raw!C166</f>
        <v>2026-04-07</v>
      </c>
      <c r="D166" s="0" t="str">
        <f aca="false">IF(CRM_Raw!D166="DACH","DACH",IF(ISNUMBER(SEARCH("uk",CRM_Raw!D166)),"UK &amp; Ireland",PROPER(CRM_Raw!D166)))</f>
        <v>Southern Europe</v>
      </c>
      <c r="E166" s="0" t="str">
        <f aca="false">CRM_Raw!E166</f>
        <v>Small Kitchen Appliances</v>
      </c>
      <c r="F166" s="0" t="str">
        <f aca="false">CRM_Raw!F166</f>
        <v>Trade Show</v>
      </c>
      <c r="G166" s="0" t="str">
        <f aca="false">IF(TRIM(CRM_Raw!G166)="","Unassigned",CRM_Raw!G166)</f>
        <v>L. Dubois</v>
      </c>
      <c r="H166" s="0" t="str">
        <f aca="false">CRM_Raw!H166</f>
        <v>Closed Lost</v>
      </c>
      <c r="I166" s="10" t="n">
        <f aca="false">CRM_Raw!I166</f>
        <v>137.87</v>
      </c>
      <c r="J166" s="11" t="n">
        <f aca="false">CRM_Raw!J166</f>
        <v>0.2</v>
      </c>
      <c r="K166" s="10" t="n">
        <f aca="false">I166*(1-J166)</f>
        <v>110.296</v>
      </c>
      <c r="L166" s="12" t="n">
        <f aca="false">CRM_Raw!K166</f>
        <v>28</v>
      </c>
      <c r="M166" s="12" t="n">
        <f aca="false">IF(H166="Closed Won",1,0)</f>
        <v>0</v>
      </c>
    </row>
    <row r="167" customFormat="false" ht="15" hidden="false" customHeight="false" outlineLevel="0" collapsed="false">
      <c r="A167" s="0" t="str">
        <f aca="false">CRM_Raw!A167</f>
        <v>D-10163</v>
      </c>
      <c r="B167" s="0" t="str">
        <f aca="false">CRM_Raw!B167</f>
        <v>2025-06-08</v>
      </c>
      <c r="C167" s="0" t="str">
        <f aca="false">CRM_Raw!C167</f>
        <v>2025-06-29</v>
      </c>
      <c r="D167" s="0" t="str">
        <f aca="false">IF(CRM_Raw!D167="DACH","DACH",IF(ISNUMBER(SEARCH("uk",CRM_Raw!D167)),"UK &amp; Ireland",PROPER(CRM_Raw!D167)))</f>
        <v>Benelux</v>
      </c>
      <c r="E167" s="0" t="str">
        <f aca="false">CRM_Raw!E167</f>
        <v>Coffee Systems</v>
      </c>
      <c r="F167" s="0" t="str">
        <f aca="false">CRM_Raw!F167</f>
        <v>Web-shop Organic</v>
      </c>
      <c r="G167" s="0" t="str">
        <f aca="false">IF(TRIM(CRM_Raw!G167)="","Unassigned",CRM_Raw!G167)</f>
        <v>M. Hoffmann</v>
      </c>
      <c r="H167" s="0" t="str">
        <f aca="false">CRM_Raw!H167</f>
        <v>Closed Won</v>
      </c>
      <c r="I167" s="10" t="n">
        <f aca="false">CRM_Raw!I167</f>
        <v>573.28</v>
      </c>
      <c r="J167" s="11" t="n">
        <f aca="false">CRM_Raw!J167</f>
        <v>0.1</v>
      </c>
      <c r="K167" s="10" t="n">
        <f aca="false">I167*(1-J167)</f>
        <v>515.952</v>
      </c>
      <c r="L167" s="12" t="n">
        <f aca="false">CRM_Raw!K167</f>
        <v>21</v>
      </c>
      <c r="M167" s="12" t="n">
        <f aca="false">IF(H167="Closed Won",1,0)</f>
        <v>1</v>
      </c>
    </row>
    <row r="168" customFormat="false" ht="15" hidden="false" customHeight="false" outlineLevel="0" collapsed="false">
      <c r="A168" s="0" t="str">
        <f aca="false">CRM_Raw!A168</f>
        <v>D-10164</v>
      </c>
      <c r="B168" s="0" t="str">
        <f aca="false">CRM_Raw!B168</f>
        <v>2025-12-11</v>
      </c>
      <c r="C168" s="0" t="n">
        <f aca="false">CRM_Raw!C168</f>
        <v>0</v>
      </c>
      <c r="D168" s="0" t="str">
        <f aca="false">IF(CRM_Raw!D168="DACH","DACH",IF(ISNUMBER(SEARCH("uk",CRM_Raw!D168)),"UK &amp; Ireland",PROPER(CRM_Raw!D168)))</f>
        <v>North America</v>
      </c>
      <c r="E168" s="0" t="str">
        <f aca="false">CRM_Raw!E168</f>
        <v>Washing Machines</v>
      </c>
      <c r="F168" s="0" t="str">
        <f aca="false">CRM_Raw!F168</f>
        <v>Email Campaign</v>
      </c>
      <c r="G168" s="0" t="str">
        <f aca="false">IF(TRIM(CRM_Raw!G168)="","Unassigned",CRM_Raw!G168)</f>
        <v>A. Becker</v>
      </c>
      <c r="H168" s="0" t="str">
        <f aca="false">CRM_Raw!H168</f>
        <v>Proposal Sent</v>
      </c>
      <c r="I168" s="10" t="n">
        <f aca="false">CRM_Raw!I168</f>
        <v>2080.53</v>
      </c>
      <c r="J168" s="11" t="n">
        <f aca="false">CRM_Raw!J168</f>
        <v>0.05</v>
      </c>
      <c r="K168" s="10" t="n">
        <f aca="false">I168*(1-J168)</f>
        <v>1976.5035</v>
      </c>
      <c r="L168" s="12" t="n">
        <f aca="false">CRM_Raw!K168</f>
        <v>0</v>
      </c>
      <c r="M168" s="12" t="n">
        <f aca="false">IF(H168="Closed Won",1,0)</f>
        <v>0</v>
      </c>
    </row>
    <row r="169" customFormat="false" ht="15" hidden="false" customHeight="false" outlineLevel="0" collapsed="false">
      <c r="A169" s="0" t="str">
        <f aca="false">CRM_Raw!A169</f>
        <v>D-10165</v>
      </c>
      <c r="B169" s="0" t="str">
        <f aca="false">CRM_Raw!B169</f>
        <v>2026-03-25</v>
      </c>
      <c r="C169" s="0" t="str">
        <f aca="false">CRM_Raw!C169</f>
        <v>2026-04-05</v>
      </c>
      <c r="D169" s="0" t="str">
        <f aca="false">IF(CRM_Raw!D169="DACH","DACH",IF(ISNUMBER(SEARCH("uk",CRM_Raw!D169)),"UK &amp; Ireland",PROPER(CRM_Raw!D169)))</f>
        <v>UK &amp; Ireland</v>
      </c>
      <c r="E169" s="0" t="str">
        <f aca="false">CRM_Raw!E169</f>
        <v>Coffee Systems</v>
      </c>
      <c r="F169" s="0" t="str">
        <f aca="false">CRM_Raw!F169</f>
        <v>Web-shop Organic</v>
      </c>
      <c r="G169" s="0" t="str">
        <f aca="false">IF(TRIM(CRM_Raw!G169)="","Unassigned",CRM_Raw!G169)</f>
        <v>M. Hoffmann</v>
      </c>
      <c r="H169" s="0" t="str">
        <f aca="false">CRM_Raw!H169</f>
        <v>Closed Won</v>
      </c>
      <c r="I169" s="10" t="n">
        <f aca="false">CRM_Raw!I169</f>
        <v>1767.24</v>
      </c>
      <c r="J169" s="11" t="n">
        <f aca="false">CRM_Raw!J169</f>
        <v>0</v>
      </c>
      <c r="K169" s="10" t="n">
        <f aca="false">I169*(1-J169)</f>
        <v>1767.24</v>
      </c>
      <c r="L169" s="12" t="n">
        <f aca="false">CRM_Raw!K169</f>
        <v>11</v>
      </c>
      <c r="M169" s="12" t="n">
        <f aca="false">IF(H169="Closed Won",1,0)</f>
        <v>1</v>
      </c>
    </row>
    <row r="170" customFormat="false" ht="15" hidden="false" customHeight="false" outlineLevel="0" collapsed="false">
      <c r="A170" s="0" t="str">
        <f aca="false">CRM_Raw!A170</f>
        <v>D-10166</v>
      </c>
      <c r="B170" s="0" t="str">
        <f aca="false">CRM_Raw!B170</f>
        <v>2025-09-02</v>
      </c>
      <c r="C170" s="0" t="str">
        <f aca="false">CRM_Raw!C170</f>
        <v>2025-10-03</v>
      </c>
      <c r="D170" s="0" t="str">
        <f aca="false">IF(CRM_Raw!D170="DACH","DACH",IF(ISNUMBER(SEARCH("uk",CRM_Raw!D170)),"UK &amp; Ireland",PROPER(CRM_Raw!D170)))</f>
        <v>North America</v>
      </c>
      <c r="E170" s="0" t="str">
        <f aca="false">CRM_Raw!E170</f>
        <v>Small Kitchen Appliances</v>
      </c>
      <c r="F170" s="0" t="str">
        <f aca="false">CRM_Raw!F170</f>
        <v>Email Campaign</v>
      </c>
      <c r="G170" s="0" t="str">
        <f aca="false">IF(TRIM(CRM_Raw!G170)="","Unassigned",CRM_Raw!G170)</f>
        <v>S. Andersson</v>
      </c>
      <c r="H170" s="0" t="str">
        <f aca="false">CRM_Raw!H170</f>
        <v>Closed Won</v>
      </c>
      <c r="I170" s="10" t="n">
        <f aca="false">CRM_Raw!I170</f>
        <v>267.28</v>
      </c>
      <c r="J170" s="11" t="n">
        <f aca="false">CRM_Raw!J170</f>
        <v>0.2</v>
      </c>
      <c r="K170" s="10" t="n">
        <f aca="false">I170*(1-J170)</f>
        <v>213.824</v>
      </c>
      <c r="L170" s="12" t="n">
        <f aca="false">CRM_Raw!K170</f>
        <v>31</v>
      </c>
      <c r="M170" s="12" t="n">
        <f aca="false">IF(H170="Closed Won",1,0)</f>
        <v>1</v>
      </c>
    </row>
    <row r="171" customFormat="false" ht="15" hidden="false" customHeight="false" outlineLevel="0" collapsed="false">
      <c r="A171" s="0" t="str">
        <f aca="false">CRM_Raw!A171</f>
        <v>D-10167</v>
      </c>
      <c r="B171" s="0" t="str">
        <f aca="false">CRM_Raw!B171</f>
        <v>2026-04-18</v>
      </c>
      <c r="C171" s="0" t="n">
        <f aca="false">CRM_Raw!C171</f>
        <v>0</v>
      </c>
      <c r="D171" s="0" t="str">
        <f aca="false">IF(CRM_Raw!D171="DACH","DACH",IF(ISNUMBER(SEARCH("uk",CRM_Raw!D171)),"UK &amp; Ireland",PROPER(CRM_Raw!D171)))</f>
        <v>UK &amp; Ireland</v>
      </c>
      <c r="E171" s="0" t="str">
        <f aca="false">CRM_Raw!E171</f>
        <v>Cordless Vacuums</v>
      </c>
      <c r="F171" s="0" t="str">
        <f aca="false">CRM_Raw!F171</f>
        <v>Affiliate Partner</v>
      </c>
      <c r="G171" s="0" t="str">
        <f aca="false">IF(TRIM(CRM_Raw!G171)="","Unassigned",CRM_Raw!G171)</f>
        <v>T. Wagner</v>
      </c>
      <c r="H171" s="0" t="str">
        <f aca="false">CRM_Raw!H171</f>
        <v>Proposal Sent</v>
      </c>
      <c r="I171" s="10" t="n">
        <f aca="false">CRM_Raw!I171</f>
        <v>1169.94</v>
      </c>
      <c r="J171" s="11" t="n">
        <f aca="false">CRM_Raw!J171</f>
        <v>0.1</v>
      </c>
      <c r="K171" s="10" t="n">
        <f aca="false">I171*(1-J171)</f>
        <v>1052.946</v>
      </c>
      <c r="L171" s="12" t="n">
        <f aca="false">CRM_Raw!K171</f>
        <v>0</v>
      </c>
      <c r="M171" s="12" t="n">
        <f aca="false">IF(H171="Closed Won",1,0)</f>
        <v>0</v>
      </c>
    </row>
    <row r="172" customFormat="false" ht="15" hidden="false" customHeight="false" outlineLevel="0" collapsed="false">
      <c r="A172" s="0" t="str">
        <f aca="false">CRM_Raw!A172</f>
        <v>D-10168</v>
      </c>
      <c r="B172" s="0" t="str">
        <f aca="false">CRM_Raw!B172</f>
        <v>2025-09-14</v>
      </c>
      <c r="C172" s="0" t="str">
        <f aca="false">CRM_Raw!C172</f>
        <v>2025-09-26</v>
      </c>
      <c r="D172" s="0" t="str">
        <f aca="false">IF(CRM_Raw!D172="DACH","DACH",IF(ISNUMBER(SEARCH("uk",CRM_Raw!D172)),"UK &amp; Ireland",PROPER(CRM_Raw!D172)))</f>
        <v>Benelux</v>
      </c>
      <c r="E172" s="0" t="str">
        <f aca="false">CRM_Raw!E172</f>
        <v>Coffee Systems</v>
      </c>
      <c r="F172" s="0" t="str">
        <f aca="false">CRM_Raw!F172</f>
        <v>Email Campaign</v>
      </c>
      <c r="G172" s="0" t="str">
        <f aca="false">IF(TRIM(CRM_Raw!G172)="","Unassigned",CRM_Raw!G172)</f>
        <v>M. Hoffmann</v>
      </c>
      <c r="H172" s="0" t="str">
        <f aca="false">CRM_Raw!H172</f>
        <v>Closed Won</v>
      </c>
      <c r="I172" s="10" t="n">
        <f aca="false">CRM_Raw!I172</f>
        <v>1753.87</v>
      </c>
      <c r="J172" s="11" t="n">
        <f aca="false">CRM_Raw!J172</f>
        <v>0.2</v>
      </c>
      <c r="K172" s="10" t="n">
        <f aca="false">I172*(1-J172)</f>
        <v>1403.096</v>
      </c>
      <c r="L172" s="12" t="n">
        <f aca="false">CRM_Raw!K172</f>
        <v>12</v>
      </c>
      <c r="M172" s="12" t="n">
        <f aca="false">IF(H172="Closed Won",1,0)</f>
        <v>1</v>
      </c>
    </row>
    <row r="173" customFormat="false" ht="15" hidden="false" customHeight="false" outlineLevel="0" collapsed="false">
      <c r="A173" s="0" t="str">
        <f aca="false">CRM_Raw!A173</f>
        <v>D-10169</v>
      </c>
      <c r="B173" s="0" t="str">
        <f aca="false">CRM_Raw!B173</f>
        <v>2025-10-07</v>
      </c>
      <c r="C173" s="0" t="str">
        <f aca="false">CRM_Raw!C173</f>
        <v>2025-10-29</v>
      </c>
      <c r="D173" s="0" t="str">
        <f aca="false">IF(CRM_Raw!D173="DACH","DACH",IF(ISNUMBER(SEARCH("uk",CRM_Raw!D173)),"UK &amp; Ireland",PROPER(CRM_Raw!D173)))</f>
        <v>DACH</v>
      </c>
      <c r="E173" s="0" t="str">
        <f aca="false">CRM_Raw!E173</f>
        <v>Cordless Vacuums</v>
      </c>
      <c r="F173" s="0" t="str">
        <f aca="false">CRM_Raw!F173</f>
        <v>Web-shop Organic</v>
      </c>
      <c r="G173" s="0" t="str">
        <f aca="false">IF(TRIM(CRM_Raw!G173)="","Unassigned",CRM_Raw!G173)</f>
        <v>M. Hoffmann</v>
      </c>
      <c r="H173" s="0" t="str">
        <f aca="false">CRM_Raw!H173</f>
        <v>Closed Lost</v>
      </c>
      <c r="I173" s="10" t="n">
        <f aca="false">CRM_Raw!I173</f>
        <v>733.8</v>
      </c>
      <c r="J173" s="11" t="n">
        <f aca="false">CRM_Raw!J173</f>
        <v>0</v>
      </c>
      <c r="K173" s="10" t="n">
        <f aca="false">I173*(1-J173)</f>
        <v>733.8</v>
      </c>
      <c r="L173" s="12" t="n">
        <f aca="false">CRM_Raw!K173</f>
        <v>22</v>
      </c>
      <c r="M173" s="12" t="n">
        <f aca="false">IF(H173="Closed Won",1,0)</f>
        <v>0</v>
      </c>
    </row>
    <row r="174" customFormat="false" ht="15" hidden="false" customHeight="false" outlineLevel="0" collapsed="false">
      <c r="A174" s="0" t="str">
        <f aca="false">CRM_Raw!A174</f>
        <v>D-10170</v>
      </c>
      <c r="B174" s="0" t="str">
        <f aca="false">CRM_Raw!B174</f>
        <v>2026-03-01</v>
      </c>
      <c r="C174" s="0" t="str">
        <f aca="false">CRM_Raw!C174</f>
        <v>2026-03-15</v>
      </c>
      <c r="D174" s="0" t="str">
        <f aca="false">IF(CRM_Raw!D174="DACH","DACH",IF(ISNUMBER(SEARCH("uk",CRM_Raw!D174)),"UK &amp; Ireland",PROPER(CRM_Raw!D174)))</f>
        <v>UK &amp; Ireland</v>
      </c>
      <c r="E174" s="0" t="str">
        <f aca="false">CRM_Raw!E174</f>
        <v>Dishwashers</v>
      </c>
      <c r="F174" s="0" t="str">
        <f aca="false">CRM_Raw!F174</f>
        <v>Retail Referral</v>
      </c>
      <c r="G174" s="0" t="str">
        <f aca="false">IF(TRIM(CRM_Raw!G174)="","Unassigned",CRM_Raw!G174)</f>
        <v>A. Becker</v>
      </c>
      <c r="H174" s="0" t="str">
        <f aca="false">CRM_Raw!H174</f>
        <v>Closed Won</v>
      </c>
      <c r="I174" s="10" t="n">
        <f aca="false">CRM_Raw!I174</f>
        <v>807.98</v>
      </c>
      <c r="J174" s="11" t="n">
        <f aca="false">CRM_Raw!J174</f>
        <v>0</v>
      </c>
      <c r="K174" s="10" t="n">
        <f aca="false">I174*(1-J174)</f>
        <v>807.98</v>
      </c>
      <c r="L174" s="12" t="n">
        <f aca="false">CRM_Raw!K174</f>
        <v>14</v>
      </c>
      <c r="M174" s="12" t="n">
        <f aca="false">IF(H174="Closed Won",1,0)</f>
        <v>1</v>
      </c>
    </row>
    <row r="175" customFormat="false" ht="15" hidden="false" customHeight="false" outlineLevel="0" collapsed="false">
      <c r="A175" s="0" t="str">
        <f aca="false">CRM_Raw!A175</f>
        <v>D-10171</v>
      </c>
      <c r="B175" s="0" t="str">
        <f aca="false">CRM_Raw!B175</f>
        <v>2025-05-30</v>
      </c>
      <c r="C175" s="0" t="str">
        <f aca="false">CRM_Raw!C175</f>
        <v>2025-06-19</v>
      </c>
      <c r="D175" s="0" t="str">
        <f aca="false">IF(CRM_Raw!D175="DACH","DACH",IF(ISNUMBER(SEARCH("uk",CRM_Raw!D175)),"UK &amp; Ireland",PROPER(CRM_Raw!D175)))</f>
        <v>DACH</v>
      </c>
      <c r="E175" s="0" t="str">
        <f aca="false">CRM_Raw!E175</f>
        <v>Cordless Vacuums</v>
      </c>
      <c r="F175" s="0" t="str">
        <f aca="false">CRM_Raw!F175</f>
        <v>Retail Referral</v>
      </c>
      <c r="G175" s="0" t="str">
        <f aca="false">IF(TRIM(CRM_Raw!G175)="","Unassigned",CRM_Raw!G175)</f>
        <v>P. Rossi</v>
      </c>
      <c r="H175" s="0" t="str">
        <f aca="false">CRM_Raw!H175</f>
        <v>Closed Won</v>
      </c>
      <c r="I175" s="10" t="n">
        <f aca="false">CRM_Raw!I175</f>
        <v>694.31</v>
      </c>
      <c r="J175" s="11" t="n">
        <f aca="false">CRM_Raw!J175</f>
        <v>0.15</v>
      </c>
      <c r="K175" s="10" t="n">
        <f aca="false">I175*(1-J175)</f>
        <v>590.1635</v>
      </c>
      <c r="L175" s="12" t="n">
        <f aca="false">CRM_Raw!K175</f>
        <v>20</v>
      </c>
      <c r="M175" s="12" t="n">
        <f aca="false">IF(H175="Closed Won",1,0)</f>
        <v>1</v>
      </c>
    </row>
    <row r="176" customFormat="false" ht="15" hidden="false" customHeight="false" outlineLevel="0" collapsed="false">
      <c r="A176" s="0" t="str">
        <f aca="false">CRM_Raw!A176</f>
        <v>D-10172</v>
      </c>
      <c r="B176" s="0" t="str">
        <f aca="false">CRM_Raw!B176</f>
        <v>2026-04-05</v>
      </c>
      <c r="C176" s="0" t="str">
        <f aca="false">CRM_Raw!C176</f>
        <v>2026-04-27</v>
      </c>
      <c r="D176" s="0" t="str">
        <f aca="false">IF(CRM_Raw!D176="DACH","DACH",IF(ISNUMBER(SEARCH("uk",CRM_Raw!D176)),"UK &amp; Ireland",PROPER(CRM_Raw!D176)))</f>
        <v>North America</v>
      </c>
      <c r="E176" s="0" t="str">
        <f aca="false">CRM_Raw!E176</f>
        <v>Coffee Systems</v>
      </c>
      <c r="F176" s="0" t="str">
        <f aca="false">CRM_Raw!F176</f>
        <v>Email Campaign</v>
      </c>
      <c r="G176" s="0" t="str">
        <f aca="false">IF(TRIM(CRM_Raw!G176)="","Unassigned",CRM_Raw!G176)</f>
        <v>T. Wagner</v>
      </c>
      <c r="H176" s="0" t="str">
        <f aca="false">CRM_Raw!H176</f>
        <v>Closed Lost</v>
      </c>
      <c r="I176" s="10" t="n">
        <f aca="false">CRM_Raw!I176</f>
        <v>493.88</v>
      </c>
      <c r="J176" s="11" t="n">
        <f aca="false">CRM_Raw!J176</f>
        <v>0.1</v>
      </c>
      <c r="K176" s="10" t="n">
        <f aca="false">I176*(1-J176)</f>
        <v>444.492</v>
      </c>
      <c r="L176" s="12" t="n">
        <f aca="false">CRM_Raw!K176</f>
        <v>22</v>
      </c>
      <c r="M176" s="12" t="n">
        <f aca="false">IF(H176="Closed Won",1,0)</f>
        <v>0</v>
      </c>
    </row>
    <row r="177" customFormat="false" ht="15" hidden="false" customHeight="false" outlineLevel="0" collapsed="false">
      <c r="A177" s="0" t="str">
        <f aca="false">CRM_Raw!A177</f>
        <v>D-10173</v>
      </c>
      <c r="B177" s="0" t="str">
        <f aca="false">CRM_Raw!B177</f>
        <v>2025-10-23</v>
      </c>
      <c r="C177" s="0" t="str">
        <f aca="false">CRM_Raw!C177</f>
        <v>2025-11-12</v>
      </c>
      <c r="D177" s="0" t="str">
        <f aca="false">IF(CRM_Raw!D177="DACH","DACH",IF(ISNUMBER(SEARCH("uk",CRM_Raw!D177)),"UK &amp; Ireland",PROPER(CRM_Raw!D177)))</f>
        <v>Southern Europe</v>
      </c>
      <c r="E177" s="0" t="str">
        <f aca="false">CRM_Raw!E177</f>
        <v>Washing Machines</v>
      </c>
      <c r="F177" s="0" t="str">
        <f aca="false">CRM_Raw!F177</f>
        <v>Social Media Ads</v>
      </c>
      <c r="G177" s="0" t="str">
        <f aca="false">IF(TRIM(CRM_Raw!G177)="","Unassigned",CRM_Raw!G177)</f>
        <v>L. Dubois</v>
      </c>
      <c r="H177" s="0" t="str">
        <f aca="false">CRM_Raw!H177</f>
        <v>Closed Won</v>
      </c>
      <c r="I177" s="10" t="n">
        <f aca="false">CRM_Raw!I177</f>
        <v>613.74</v>
      </c>
      <c r="J177" s="11" t="n">
        <f aca="false">CRM_Raw!J177</f>
        <v>0.05</v>
      </c>
      <c r="K177" s="10" t="n">
        <f aca="false">I177*(1-J177)</f>
        <v>583.053</v>
      </c>
      <c r="L177" s="12" t="n">
        <f aca="false">CRM_Raw!K177</f>
        <v>20</v>
      </c>
      <c r="M177" s="12" t="n">
        <f aca="false">IF(H177="Closed Won",1,0)</f>
        <v>1</v>
      </c>
    </row>
    <row r="178" customFormat="false" ht="15" hidden="false" customHeight="false" outlineLevel="0" collapsed="false">
      <c r="A178" s="0" t="str">
        <f aca="false">CRM_Raw!A178</f>
        <v>D-10174</v>
      </c>
      <c r="B178" s="0" t="str">
        <f aca="false">CRM_Raw!B178</f>
        <v>2026-05-27</v>
      </c>
      <c r="C178" s="0" t="str">
        <f aca="false">CRM_Raw!C178</f>
        <v>2026-06-01</v>
      </c>
      <c r="D178" s="0" t="str">
        <f aca="false">IF(CRM_Raw!D178="DACH","DACH",IF(ISNUMBER(SEARCH("uk",CRM_Raw!D178)),"UK &amp; Ireland",PROPER(CRM_Raw!D178)))</f>
        <v>Southern Europe</v>
      </c>
      <c r="E178" s="0" t="str">
        <f aca="false">CRM_Raw!E178</f>
        <v>Washing Machines</v>
      </c>
      <c r="F178" s="0" t="str">
        <f aca="false">CRM_Raw!F178</f>
        <v>Social Media Ads</v>
      </c>
      <c r="G178" s="0" t="str">
        <f aca="false">IF(TRIM(CRM_Raw!G178)="","Unassigned",CRM_Raw!G178)</f>
        <v>L. Dubois</v>
      </c>
      <c r="H178" s="0" t="str">
        <f aca="false">CRM_Raw!H178</f>
        <v>Closed Lost</v>
      </c>
      <c r="I178" s="10" t="n">
        <f aca="false">CRM_Raw!I178</f>
        <v>633.05</v>
      </c>
      <c r="J178" s="11" t="n">
        <f aca="false">CRM_Raw!J178</f>
        <v>0</v>
      </c>
      <c r="K178" s="10" t="n">
        <f aca="false">I178*(1-J178)</f>
        <v>633.05</v>
      </c>
      <c r="L178" s="12" t="n">
        <f aca="false">CRM_Raw!K178</f>
        <v>31</v>
      </c>
      <c r="M178" s="12" t="n">
        <f aca="false">IF(H178="Closed Won",1,0)</f>
        <v>0</v>
      </c>
    </row>
    <row r="179" customFormat="false" ht="15" hidden="false" customHeight="false" outlineLevel="0" collapsed="false">
      <c r="A179" s="0" t="str">
        <f aca="false">CRM_Raw!A179</f>
        <v>D-10175</v>
      </c>
      <c r="B179" s="0" t="str">
        <f aca="false">CRM_Raw!B179</f>
        <v>2026-03-03</v>
      </c>
      <c r="C179" s="0" t="str">
        <f aca="false">CRM_Raw!C179</f>
        <v>2026-03-25</v>
      </c>
      <c r="D179" s="0" t="str">
        <f aca="false">IF(CRM_Raw!D179="DACH","DACH",IF(ISNUMBER(SEARCH("uk",CRM_Raw!D179)),"UK &amp; Ireland",PROPER(CRM_Raw!D179)))</f>
        <v>Benelux</v>
      </c>
      <c r="E179" s="0" t="str">
        <f aca="false">CRM_Raw!E179</f>
        <v>Smart Ovens</v>
      </c>
      <c r="F179" s="0" t="str">
        <f aca="false">CRM_Raw!F179</f>
        <v>Social Media Ads</v>
      </c>
      <c r="G179" s="0" t="str">
        <f aca="false">IF(TRIM(CRM_Raw!G179)="","Unassigned",CRM_Raw!G179)</f>
        <v>S. Andersson</v>
      </c>
      <c r="H179" s="0" t="str">
        <f aca="false">CRM_Raw!H179</f>
        <v>Closed Won</v>
      </c>
      <c r="I179" s="10" t="n">
        <f aca="false">CRM_Raw!I179</f>
        <v>2706.95</v>
      </c>
      <c r="J179" s="11" t="n">
        <f aca="false">CRM_Raw!J179</f>
        <v>0</v>
      </c>
      <c r="K179" s="10" t="n">
        <f aca="false">I179*(1-J179)</f>
        <v>2706.95</v>
      </c>
      <c r="L179" s="12" t="n">
        <f aca="false">CRM_Raw!K179</f>
        <v>22</v>
      </c>
      <c r="M179" s="12" t="n">
        <f aca="false">IF(H179="Closed Won",1,0)</f>
        <v>1</v>
      </c>
    </row>
    <row r="180" customFormat="false" ht="15" hidden="false" customHeight="false" outlineLevel="0" collapsed="false">
      <c r="A180" s="0" t="str">
        <f aca="false">CRM_Raw!A180</f>
        <v>D-10176</v>
      </c>
      <c r="B180" s="0" t="str">
        <f aca="false">CRM_Raw!B180</f>
        <v>2026-02-04</v>
      </c>
      <c r="C180" s="0" t="n">
        <f aca="false">CRM_Raw!C180</f>
        <v>0</v>
      </c>
      <c r="D180" s="0" t="str">
        <f aca="false">IF(CRM_Raw!D180="DACH","DACH",IF(ISNUMBER(SEARCH("uk",CRM_Raw!D180)),"UK &amp; Ireland",PROPER(CRM_Raw!D180)))</f>
        <v>DACH</v>
      </c>
      <c r="E180" s="0" t="str">
        <f aca="false">CRM_Raw!E180</f>
        <v>Washing Machines</v>
      </c>
      <c r="F180" s="0" t="str">
        <f aca="false">CRM_Raw!F180</f>
        <v>Social Media Ads</v>
      </c>
      <c r="G180" s="0" t="str">
        <f aca="false">IF(TRIM(CRM_Raw!G180)="","Unassigned",CRM_Raw!G180)</f>
        <v>A. Becker</v>
      </c>
      <c r="H180" s="0" t="str">
        <f aca="false">CRM_Raw!H180</f>
        <v>Proposal Sent</v>
      </c>
      <c r="I180" s="10" t="n">
        <f aca="false">CRM_Raw!I180</f>
        <v>1202.3</v>
      </c>
      <c r="J180" s="11" t="n">
        <f aca="false">CRM_Raw!J180</f>
        <v>0</v>
      </c>
      <c r="K180" s="10" t="n">
        <f aca="false">I180*(1-J180)</f>
        <v>1202.3</v>
      </c>
      <c r="L180" s="12" t="n">
        <f aca="false">CRM_Raw!K180</f>
        <v>0</v>
      </c>
      <c r="M180" s="12" t="n">
        <f aca="false">IF(H180="Closed Won",1,0)</f>
        <v>0</v>
      </c>
    </row>
    <row r="181" customFormat="false" ht="15" hidden="false" customHeight="false" outlineLevel="0" collapsed="false">
      <c r="A181" s="0" t="str">
        <f aca="false">CRM_Raw!A181</f>
        <v>D-10177</v>
      </c>
      <c r="B181" s="0" t="str">
        <f aca="false">CRM_Raw!B181</f>
        <v>2025-12-20</v>
      </c>
      <c r="C181" s="0" t="str">
        <f aca="false">CRM_Raw!C181</f>
        <v>2026-01-07</v>
      </c>
      <c r="D181" s="0" t="str">
        <f aca="false">IF(CRM_Raw!D181="DACH","DACH",IF(ISNUMBER(SEARCH("uk",CRM_Raw!D181)),"UK &amp; Ireland",PROPER(CRM_Raw!D181)))</f>
        <v>France</v>
      </c>
      <c r="E181" s="0" t="str">
        <f aca="false">CRM_Raw!E181</f>
        <v>Small Kitchen Appliances</v>
      </c>
      <c r="F181" s="0" t="str">
        <f aca="false">CRM_Raw!F181</f>
        <v>Web-shop Organic</v>
      </c>
      <c r="G181" s="0" t="str">
        <f aca="false">IF(TRIM(CRM_Raw!G181)="","Unassigned",CRM_Raw!G181)</f>
        <v>L. Dubois</v>
      </c>
      <c r="H181" s="0" t="str">
        <f aca="false">CRM_Raw!H181</f>
        <v>Closed Won</v>
      </c>
      <c r="I181" s="10" t="n">
        <f aca="false">CRM_Raw!I181</f>
        <v>126.92</v>
      </c>
      <c r="J181" s="11" t="n">
        <f aca="false">CRM_Raw!J181</f>
        <v>0</v>
      </c>
      <c r="K181" s="10" t="n">
        <f aca="false">I181*(1-J181)</f>
        <v>126.92</v>
      </c>
      <c r="L181" s="12" t="n">
        <f aca="false">CRM_Raw!K181</f>
        <v>18</v>
      </c>
      <c r="M181" s="12" t="n">
        <f aca="false">IF(H181="Closed Won",1,0)</f>
        <v>1</v>
      </c>
    </row>
    <row r="182" customFormat="false" ht="15" hidden="false" customHeight="false" outlineLevel="0" collapsed="false">
      <c r="A182" s="0" t="str">
        <f aca="false">CRM_Raw!A182</f>
        <v>D-10178</v>
      </c>
      <c r="B182" s="0" t="str">
        <f aca="false">CRM_Raw!B182</f>
        <v>2026-04-21</v>
      </c>
      <c r="C182" s="0" t="n">
        <f aca="false">CRM_Raw!C182</f>
        <v>0</v>
      </c>
      <c r="D182" s="0" t="str">
        <f aca="false">IF(CRM_Raw!D182="DACH","DACH",IF(ISNUMBER(SEARCH("uk",CRM_Raw!D182)),"UK &amp; Ireland",PROPER(CRM_Raw!D182)))</f>
        <v>DACH</v>
      </c>
      <c r="E182" s="0" t="str">
        <f aca="false">CRM_Raw!E182</f>
        <v>Cordless Vacuums</v>
      </c>
      <c r="F182" s="0" t="str">
        <f aca="false">CRM_Raw!F182</f>
        <v>Social Media Ads</v>
      </c>
      <c r="G182" s="0" t="str">
        <f aca="false">IF(TRIM(CRM_Raw!G182)="","Unassigned",CRM_Raw!G182)</f>
        <v>M. Hoffmann</v>
      </c>
      <c r="H182" s="0" t="str">
        <f aca="false">CRM_Raw!H182</f>
        <v>Qualified</v>
      </c>
      <c r="I182" s="10" t="n">
        <f aca="false">CRM_Raw!I182</f>
        <v>363.86</v>
      </c>
      <c r="J182" s="11" t="n">
        <f aca="false">CRM_Raw!J182</f>
        <v>0.2</v>
      </c>
      <c r="K182" s="10" t="n">
        <f aca="false">I182*(1-J182)</f>
        <v>291.088</v>
      </c>
      <c r="L182" s="12" t="n">
        <f aca="false">CRM_Raw!K182</f>
        <v>0</v>
      </c>
      <c r="M182" s="12" t="n">
        <f aca="false">IF(H182="Closed Won",1,0)</f>
        <v>0</v>
      </c>
    </row>
    <row r="183" customFormat="false" ht="15" hidden="false" customHeight="false" outlineLevel="0" collapsed="false">
      <c r="A183" s="0" t="str">
        <f aca="false">CRM_Raw!A183</f>
        <v>D-10179</v>
      </c>
      <c r="B183" s="0" t="str">
        <f aca="false">CRM_Raw!B183</f>
        <v>2025-02-07</v>
      </c>
      <c r="C183" s="0" t="str">
        <f aca="false">CRM_Raw!C183</f>
        <v>2025-02-24</v>
      </c>
      <c r="D183" s="0" t="str">
        <f aca="false">IF(CRM_Raw!D183="DACH","DACH",IF(ISNUMBER(SEARCH("uk",CRM_Raw!D183)),"UK &amp; Ireland",PROPER(CRM_Raw!D183)))</f>
        <v>UK &amp; Ireland</v>
      </c>
      <c r="E183" s="0" t="str">
        <f aca="false">CRM_Raw!E183</f>
        <v>Smart Ovens</v>
      </c>
      <c r="F183" s="0" t="str">
        <f aca="false">CRM_Raw!F183</f>
        <v>Affiliate Partner</v>
      </c>
      <c r="G183" s="0" t="str">
        <f aca="false">IF(TRIM(CRM_Raw!G183)="","Unassigned",CRM_Raw!G183)</f>
        <v>T. Wagner</v>
      </c>
      <c r="H183" s="0" t="str">
        <f aca="false">CRM_Raw!H183</f>
        <v>Closed Won</v>
      </c>
      <c r="I183" s="10" t="n">
        <f aca="false">CRM_Raw!I183</f>
        <v>773.21</v>
      </c>
      <c r="J183" s="11" t="n">
        <f aca="false">CRM_Raw!J183</f>
        <v>0</v>
      </c>
      <c r="K183" s="10" t="n">
        <f aca="false">I183*(1-J183)</f>
        <v>773.21</v>
      </c>
      <c r="L183" s="12" t="n">
        <f aca="false">CRM_Raw!K183</f>
        <v>17</v>
      </c>
      <c r="M183" s="12" t="n">
        <f aca="false">IF(H183="Closed Won",1,0)</f>
        <v>1</v>
      </c>
    </row>
    <row r="184" customFormat="false" ht="15" hidden="false" customHeight="false" outlineLevel="0" collapsed="false">
      <c r="A184" s="0" t="str">
        <f aca="false">CRM_Raw!A184</f>
        <v>D-10180</v>
      </c>
      <c r="B184" s="0" t="str">
        <f aca="false">CRM_Raw!B184</f>
        <v>2025-09-17</v>
      </c>
      <c r="C184" s="0" t="str">
        <f aca="false">CRM_Raw!C184</f>
        <v>2025-10-03</v>
      </c>
      <c r="D184" s="0" t="str">
        <f aca="false">IF(CRM_Raw!D184="DACH","DACH",IF(ISNUMBER(SEARCH("uk",CRM_Raw!D184)),"UK &amp; Ireland",PROPER(CRM_Raw!D184)))</f>
        <v>France</v>
      </c>
      <c r="E184" s="0" t="str">
        <f aca="false">CRM_Raw!E184</f>
        <v>Cordless Vacuums</v>
      </c>
      <c r="F184" s="0" t="str">
        <f aca="false">CRM_Raw!F184</f>
        <v>Social Media Ads</v>
      </c>
      <c r="G184" s="0" t="str">
        <f aca="false">IF(TRIM(CRM_Raw!G184)="","Unassigned",CRM_Raw!G184)</f>
        <v>T. Wagner</v>
      </c>
      <c r="H184" s="0" t="str">
        <f aca="false">CRM_Raw!H184</f>
        <v>Closed Won</v>
      </c>
      <c r="I184" s="10" t="n">
        <f aca="false">CRM_Raw!I184</f>
        <v>397.3</v>
      </c>
      <c r="J184" s="11" t="n">
        <f aca="false">CRM_Raw!J184</f>
        <v>0.2</v>
      </c>
      <c r="K184" s="10" t="n">
        <f aca="false">I184*(1-J184)</f>
        <v>317.84</v>
      </c>
      <c r="L184" s="12" t="n">
        <f aca="false">CRM_Raw!K184</f>
        <v>16</v>
      </c>
      <c r="M184" s="12" t="n">
        <f aca="false">IF(H184="Closed Won",1,0)</f>
        <v>1</v>
      </c>
    </row>
    <row r="185" customFormat="false" ht="15" hidden="false" customHeight="false" outlineLevel="0" collapsed="false">
      <c r="A185" s="0" t="str">
        <f aca="false">CRM_Raw!A185</f>
        <v>D-10181</v>
      </c>
      <c r="B185" s="0" t="str">
        <f aca="false">CRM_Raw!B185</f>
        <v>2026-03-24</v>
      </c>
      <c r="C185" s="0" t="n">
        <f aca="false">CRM_Raw!C185</f>
        <v>0</v>
      </c>
      <c r="D185" s="0" t="str">
        <f aca="false">IF(CRM_Raw!D185="DACH","DACH",IF(ISNUMBER(SEARCH("uk",CRM_Raw!D185)),"UK &amp; Ireland",PROPER(CRM_Raw!D185)))</f>
        <v>Southern Europe</v>
      </c>
      <c r="E185" s="0" t="str">
        <f aca="false">CRM_Raw!E185</f>
        <v>Cordless Vacuums</v>
      </c>
      <c r="F185" s="0" t="str">
        <f aca="false">CRM_Raw!F185</f>
        <v>Paid Search</v>
      </c>
      <c r="G185" s="0" t="str">
        <f aca="false">IF(TRIM(CRM_Raw!G185)="","Unassigned",CRM_Raw!G185)</f>
        <v>P. Rossi</v>
      </c>
      <c r="H185" s="0" t="str">
        <f aca="false">CRM_Raw!H185</f>
        <v>Qualified</v>
      </c>
      <c r="I185" s="10" t="n">
        <f aca="false">CRM_Raw!I185</f>
        <v>773.89</v>
      </c>
      <c r="J185" s="11" t="n">
        <f aca="false">CRM_Raw!J185</f>
        <v>0</v>
      </c>
      <c r="K185" s="10" t="n">
        <f aca="false">I185*(1-J185)</f>
        <v>773.89</v>
      </c>
      <c r="L185" s="12" t="n">
        <f aca="false">CRM_Raw!K185</f>
        <v>0</v>
      </c>
      <c r="M185" s="12" t="n">
        <f aca="false">IF(H185="Closed Won",1,0)</f>
        <v>0</v>
      </c>
    </row>
    <row r="186" customFormat="false" ht="15" hidden="false" customHeight="false" outlineLevel="0" collapsed="false">
      <c r="A186" s="0" t="str">
        <f aca="false">CRM_Raw!A186</f>
        <v>D-10182</v>
      </c>
      <c r="B186" s="0" t="str">
        <f aca="false">CRM_Raw!B186</f>
        <v>2025-10-01</v>
      </c>
      <c r="C186" s="0" t="n">
        <f aca="false">CRM_Raw!C186</f>
        <v>0</v>
      </c>
      <c r="D186" s="0" t="str">
        <f aca="false">IF(CRM_Raw!D186="DACH","DACH",IF(ISNUMBER(SEARCH("uk",CRM_Raw!D186)),"UK &amp; Ireland",PROPER(CRM_Raw!D186)))</f>
        <v>UK &amp; Ireland</v>
      </c>
      <c r="E186" s="0" t="str">
        <f aca="false">CRM_Raw!E186</f>
        <v>Dishwashers</v>
      </c>
      <c r="F186" s="0" t="str">
        <f aca="false">CRM_Raw!F186</f>
        <v>Affiliate Partner</v>
      </c>
      <c r="G186" s="0" t="str">
        <f aca="false">IF(TRIM(CRM_Raw!G186)="","Unassigned",CRM_Raw!G186)</f>
        <v>P. Rossi</v>
      </c>
      <c r="H186" s="0" t="str">
        <f aca="false">CRM_Raw!H186</f>
        <v>Proposal Sent</v>
      </c>
      <c r="I186" s="10" t="n">
        <f aca="false">CRM_Raw!I186</f>
        <v>761.9</v>
      </c>
      <c r="J186" s="11" t="n">
        <f aca="false">CRM_Raw!J186</f>
        <v>0.05</v>
      </c>
      <c r="K186" s="10" t="n">
        <f aca="false">I186*(1-J186)</f>
        <v>723.805</v>
      </c>
      <c r="L186" s="12" t="n">
        <f aca="false">CRM_Raw!K186</f>
        <v>0</v>
      </c>
      <c r="M186" s="12" t="n">
        <f aca="false">IF(H186="Closed Won",1,0)</f>
        <v>0</v>
      </c>
    </row>
    <row r="187" customFormat="false" ht="15" hidden="false" customHeight="false" outlineLevel="0" collapsed="false">
      <c r="A187" s="0" t="str">
        <f aca="false">CRM_Raw!A187</f>
        <v>D-10183</v>
      </c>
      <c r="B187" s="0" t="str">
        <f aca="false">CRM_Raw!B187</f>
        <v>2025-04-16</v>
      </c>
      <c r="C187" s="0" t="str">
        <f aca="false">CRM_Raw!C187</f>
        <v>2025-05-01</v>
      </c>
      <c r="D187" s="0" t="str">
        <f aca="false">IF(CRM_Raw!D187="DACH","DACH",IF(ISNUMBER(SEARCH("uk",CRM_Raw!D187)),"UK &amp; Ireland",PROPER(CRM_Raw!D187)))</f>
        <v>Nordics</v>
      </c>
      <c r="E187" s="0" t="str">
        <f aca="false">CRM_Raw!E187</f>
        <v>Coffee Systems</v>
      </c>
      <c r="F187" s="0" t="str">
        <f aca="false">CRM_Raw!F187</f>
        <v>Social Media Ads</v>
      </c>
      <c r="G187" s="0" t="str">
        <f aca="false">IF(TRIM(CRM_Raw!G187)="","Unassigned",CRM_Raw!G187)</f>
        <v>P. Rossi</v>
      </c>
      <c r="H187" s="0" t="str">
        <f aca="false">CRM_Raw!H187</f>
        <v>Closed Won</v>
      </c>
      <c r="I187" s="10" t="n">
        <f aca="false">CRM_Raw!I187</f>
        <v>550.1</v>
      </c>
      <c r="J187" s="11" t="n">
        <f aca="false">CRM_Raw!J187</f>
        <v>0.05</v>
      </c>
      <c r="K187" s="10" t="n">
        <f aca="false">I187*(1-J187)</f>
        <v>522.595</v>
      </c>
      <c r="L187" s="12" t="n">
        <f aca="false">CRM_Raw!K187</f>
        <v>15</v>
      </c>
      <c r="M187" s="12" t="n">
        <f aca="false">IF(H187="Closed Won",1,0)</f>
        <v>1</v>
      </c>
    </row>
    <row r="188" customFormat="false" ht="15" hidden="false" customHeight="false" outlineLevel="0" collapsed="false">
      <c r="A188" s="0" t="str">
        <f aca="false">CRM_Raw!A188</f>
        <v>D-10184</v>
      </c>
      <c r="B188" s="0" t="str">
        <f aca="false">CRM_Raw!B188</f>
        <v>2025-12-26</v>
      </c>
      <c r="C188" s="0" t="str">
        <f aca="false">CRM_Raw!C188</f>
        <v>2026-01-13</v>
      </c>
      <c r="D188" s="0" t="str">
        <f aca="false">IF(CRM_Raw!D188="DACH","DACH",IF(ISNUMBER(SEARCH("uk",CRM_Raw!D188)),"UK &amp; Ireland",PROPER(CRM_Raw!D188)))</f>
        <v>Nordics</v>
      </c>
      <c r="E188" s="0" t="str">
        <f aca="false">CRM_Raw!E188</f>
        <v>Small Kitchen Appliances</v>
      </c>
      <c r="F188" s="0" t="str">
        <f aca="false">CRM_Raw!F188</f>
        <v>Paid Search</v>
      </c>
      <c r="G188" s="0" t="str">
        <f aca="false">IF(TRIM(CRM_Raw!G188)="","Unassigned",CRM_Raw!G188)</f>
        <v>T. Wagner</v>
      </c>
      <c r="H188" s="0" t="str">
        <f aca="false">CRM_Raw!H188</f>
        <v>Closed Lost</v>
      </c>
      <c r="I188" s="10" t="n">
        <f aca="false">CRM_Raw!I188</f>
        <v>255.79</v>
      </c>
      <c r="J188" s="11" t="n">
        <f aca="false">CRM_Raw!J188</f>
        <v>0</v>
      </c>
      <c r="K188" s="10" t="n">
        <f aca="false">I188*(1-J188)</f>
        <v>255.79</v>
      </c>
      <c r="L188" s="12" t="n">
        <f aca="false">CRM_Raw!K188</f>
        <v>18</v>
      </c>
      <c r="M188" s="12" t="n">
        <f aca="false">IF(H188="Closed Won",1,0)</f>
        <v>0</v>
      </c>
    </row>
    <row r="189" customFormat="false" ht="15" hidden="false" customHeight="false" outlineLevel="0" collapsed="false">
      <c r="A189" s="0" t="str">
        <f aca="false">CRM_Raw!A189</f>
        <v>D-10185</v>
      </c>
      <c r="B189" s="0" t="str">
        <f aca="false">CRM_Raw!B189</f>
        <v>2026-01-08</v>
      </c>
      <c r="C189" s="0" t="str">
        <f aca="false">CRM_Raw!C189</f>
        <v>2026-01-11</v>
      </c>
      <c r="D189" s="0" t="str">
        <f aca="false">IF(CRM_Raw!D189="DACH","DACH",IF(ISNUMBER(SEARCH("uk",CRM_Raw!D189)),"UK &amp; Ireland",PROPER(CRM_Raw!D189)))</f>
        <v>Southern Europe</v>
      </c>
      <c r="E189" s="0" t="str">
        <f aca="false">CRM_Raw!E189</f>
        <v>Smart Ovens</v>
      </c>
      <c r="F189" s="0" t="str">
        <f aca="false">CRM_Raw!F189</f>
        <v>Web-shop Organic</v>
      </c>
      <c r="G189" s="0" t="str">
        <f aca="false">IF(TRIM(CRM_Raw!G189)="","Unassigned",CRM_Raw!G189)</f>
        <v>Unassigned</v>
      </c>
      <c r="H189" s="0" t="str">
        <f aca="false">CRM_Raw!H189</f>
        <v>Closed Lost</v>
      </c>
      <c r="I189" s="10" t="n">
        <f aca="false">CRM_Raw!I189</f>
        <v>919.21</v>
      </c>
      <c r="J189" s="11" t="n">
        <f aca="false">CRM_Raw!J189</f>
        <v>0</v>
      </c>
      <c r="K189" s="10" t="n">
        <f aca="false">I189*(1-J189)</f>
        <v>919.21</v>
      </c>
      <c r="L189" s="12" t="n">
        <f aca="false">CRM_Raw!K189</f>
        <v>3</v>
      </c>
      <c r="M189" s="12" t="n">
        <f aca="false">IF(H189="Closed Won",1,0)</f>
        <v>0</v>
      </c>
    </row>
    <row r="190" customFormat="false" ht="15" hidden="false" customHeight="false" outlineLevel="0" collapsed="false">
      <c r="A190" s="0" t="str">
        <f aca="false">CRM_Raw!A190</f>
        <v>D-10186</v>
      </c>
      <c r="B190" s="0" t="str">
        <f aca="false">CRM_Raw!B190</f>
        <v>2025-02-05</v>
      </c>
      <c r="C190" s="0" t="str">
        <f aca="false">CRM_Raw!C190</f>
        <v>2025-02-27</v>
      </c>
      <c r="D190" s="0" t="str">
        <f aca="false">IF(CRM_Raw!D190="DACH","DACH",IF(ISNUMBER(SEARCH("uk",CRM_Raw!D190)),"UK &amp; Ireland",PROPER(CRM_Raw!D190)))</f>
        <v>UK &amp; Ireland</v>
      </c>
      <c r="E190" s="0" t="str">
        <f aca="false">CRM_Raw!E190</f>
        <v>Washing Machines</v>
      </c>
      <c r="F190" s="0" t="str">
        <f aca="false">CRM_Raw!F190</f>
        <v>Affiliate Partner</v>
      </c>
      <c r="G190" s="0" t="str">
        <f aca="false">IF(TRIM(CRM_Raw!G190)="","Unassigned",CRM_Raw!G190)</f>
        <v>T. Wagner</v>
      </c>
      <c r="H190" s="0" t="str">
        <f aca="false">CRM_Raw!H190</f>
        <v>Closed Won</v>
      </c>
      <c r="I190" s="10" t="n">
        <f aca="false">CRM_Raw!I190</f>
        <v>1957.12</v>
      </c>
      <c r="J190" s="11" t="n">
        <f aca="false">CRM_Raw!J190</f>
        <v>0</v>
      </c>
      <c r="K190" s="10" t="n">
        <f aca="false">I190*(1-J190)</f>
        <v>1957.12</v>
      </c>
      <c r="L190" s="12" t="n">
        <f aca="false">CRM_Raw!K190</f>
        <v>22</v>
      </c>
      <c r="M190" s="12" t="n">
        <f aca="false">IF(H190="Closed Won",1,0)</f>
        <v>1</v>
      </c>
    </row>
    <row r="191" customFormat="false" ht="15" hidden="false" customHeight="false" outlineLevel="0" collapsed="false">
      <c r="A191" s="0" t="str">
        <f aca="false">CRM_Raw!A191</f>
        <v>D-10187</v>
      </c>
      <c r="B191" s="0" t="str">
        <f aca="false">CRM_Raw!B191</f>
        <v>2026-01-16</v>
      </c>
      <c r="C191" s="0" t="str">
        <f aca="false">CRM_Raw!C191</f>
        <v>2026-02-18</v>
      </c>
      <c r="D191" s="0" t="str">
        <f aca="false">IF(CRM_Raw!D191="DACH","DACH",IF(ISNUMBER(SEARCH("uk",CRM_Raw!D191)),"UK &amp; Ireland",PROPER(CRM_Raw!D191)))</f>
        <v>Nordics</v>
      </c>
      <c r="E191" s="0" t="str">
        <f aca="false">CRM_Raw!E191</f>
        <v>Coffee Systems</v>
      </c>
      <c r="F191" s="0" t="str">
        <f aca="false">CRM_Raw!F191</f>
        <v>Affiliate Partner</v>
      </c>
      <c r="G191" s="0" t="str">
        <f aca="false">IF(TRIM(CRM_Raw!G191)="","Unassigned",CRM_Raw!G191)</f>
        <v>P. Rossi</v>
      </c>
      <c r="H191" s="0" t="str">
        <f aca="false">CRM_Raw!H191</f>
        <v>Closed Lost</v>
      </c>
      <c r="I191" s="10" t="n">
        <f aca="false">CRM_Raw!I191</f>
        <v>476.36</v>
      </c>
      <c r="J191" s="11" t="n">
        <f aca="false">CRM_Raw!J191</f>
        <v>0.1</v>
      </c>
      <c r="K191" s="10" t="n">
        <f aca="false">I191*(1-J191)</f>
        <v>428.724</v>
      </c>
      <c r="L191" s="12" t="n">
        <f aca="false">CRM_Raw!K191</f>
        <v>33</v>
      </c>
      <c r="M191" s="12" t="n">
        <f aca="false">IF(H191="Closed Won",1,0)</f>
        <v>0</v>
      </c>
    </row>
    <row r="192" customFormat="false" ht="15" hidden="false" customHeight="false" outlineLevel="0" collapsed="false">
      <c r="A192" s="0" t="str">
        <f aca="false">CRM_Raw!A192</f>
        <v>D-10188</v>
      </c>
      <c r="B192" s="0" t="str">
        <f aca="false">CRM_Raw!B192</f>
        <v>2025-09-13</v>
      </c>
      <c r="C192" s="0" t="n">
        <f aca="false">CRM_Raw!C192</f>
        <v>0</v>
      </c>
      <c r="D192" s="0" t="str">
        <f aca="false">IF(CRM_Raw!D192="DACH","DACH",IF(ISNUMBER(SEARCH("uk",CRM_Raw!D192)),"UK &amp; Ireland",PROPER(CRM_Raw!D192)))</f>
        <v>France</v>
      </c>
      <c r="E192" s="0" t="str">
        <f aca="false">CRM_Raw!E192</f>
        <v>Dishwashers</v>
      </c>
      <c r="F192" s="0" t="str">
        <f aca="false">CRM_Raw!F192</f>
        <v>Paid Search</v>
      </c>
      <c r="G192" s="0" t="str">
        <f aca="false">IF(TRIM(CRM_Raw!G192)="","Unassigned",CRM_Raw!G192)</f>
        <v>J. Murphy</v>
      </c>
      <c r="H192" s="0" t="str">
        <f aca="false">CRM_Raw!H192</f>
        <v>Qualified</v>
      </c>
      <c r="I192" s="10" t="n">
        <f aca="false">CRM_Raw!I192</f>
        <v>641.11</v>
      </c>
      <c r="J192" s="11" t="n">
        <f aca="false">CRM_Raw!J192</f>
        <v>0.05</v>
      </c>
      <c r="K192" s="10" t="n">
        <f aca="false">I192*(1-J192)</f>
        <v>609.0545</v>
      </c>
      <c r="L192" s="12" t="n">
        <f aca="false">CRM_Raw!K192</f>
        <v>0</v>
      </c>
      <c r="M192" s="12" t="n">
        <f aca="false">IF(H192="Closed Won",1,0)</f>
        <v>0</v>
      </c>
    </row>
    <row r="193" customFormat="false" ht="15" hidden="false" customHeight="false" outlineLevel="0" collapsed="false">
      <c r="A193" s="0" t="str">
        <f aca="false">CRM_Raw!A193</f>
        <v>D-10189</v>
      </c>
      <c r="B193" s="0" t="str">
        <f aca="false">CRM_Raw!B193</f>
        <v>2025-09-26</v>
      </c>
      <c r="C193" s="0" t="n">
        <f aca="false">CRM_Raw!C193</f>
        <v>0</v>
      </c>
      <c r="D193" s="0" t="str">
        <f aca="false">IF(CRM_Raw!D193="DACH","DACH",IF(ISNUMBER(SEARCH("uk",CRM_Raw!D193)),"UK &amp; Ireland",PROPER(CRM_Raw!D193)))</f>
        <v>Nordics</v>
      </c>
      <c r="E193" s="0" t="str">
        <f aca="false">CRM_Raw!E193</f>
        <v>Dishwashers</v>
      </c>
      <c r="F193" s="0" t="str">
        <f aca="false">CRM_Raw!F193</f>
        <v>Retail Referral</v>
      </c>
      <c r="G193" s="0" t="str">
        <f aca="false">IF(TRIM(CRM_Raw!G193)="","Unassigned",CRM_Raw!G193)</f>
        <v>L. Dubois</v>
      </c>
      <c r="H193" s="0" t="str">
        <f aca="false">CRM_Raw!H193</f>
        <v>Proposal Sent</v>
      </c>
      <c r="I193" s="10" t="n">
        <f aca="false">CRM_Raw!I193</f>
        <v>757.93</v>
      </c>
      <c r="J193" s="11" t="n">
        <f aca="false">CRM_Raw!J193</f>
        <v>0.1</v>
      </c>
      <c r="K193" s="10" t="n">
        <f aca="false">I193*(1-J193)</f>
        <v>682.137</v>
      </c>
      <c r="L193" s="12" t="n">
        <f aca="false">CRM_Raw!K193</f>
        <v>0</v>
      </c>
      <c r="M193" s="12" t="n">
        <f aca="false">IF(H193="Closed Won",1,0)</f>
        <v>0</v>
      </c>
    </row>
    <row r="194" customFormat="false" ht="15" hidden="false" customHeight="false" outlineLevel="0" collapsed="false">
      <c r="A194" s="0" t="str">
        <f aca="false">CRM_Raw!A194</f>
        <v>D-10190</v>
      </c>
      <c r="B194" s="0" t="str">
        <f aca="false">CRM_Raw!B194</f>
        <v>2025-07-24</v>
      </c>
      <c r="C194" s="0" t="str">
        <f aca="false">CRM_Raw!C194</f>
        <v>2025-08-19</v>
      </c>
      <c r="D194" s="0" t="str">
        <f aca="false">IF(CRM_Raw!D194="DACH","DACH",IF(ISNUMBER(SEARCH("uk",CRM_Raw!D194)),"UK &amp; Ireland",PROPER(CRM_Raw!D194)))</f>
        <v>France</v>
      </c>
      <c r="E194" s="0" t="str">
        <f aca="false">CRM_Raw!E194</f>
        <v>Small Kitchen Appliances</v>
      </c>
      <c r="F194" s="0" t="str">
        <f aca="false">CRM_Raw!F194</f>
        <v>Retail Referral</v>
      </c>
      <c r="G194" s="0" t="str">
        <f aca="false">IF(TRIM(CRM_Raw!G194)="","Unassigned",CRM_Raw!G194)</f>
        <v>T. Wagner</v>
      </c>
      <c r="H194" s="0" t="str">
        <f aca="false">CRM_Raw!H194</f>
        <v>Closed Won</v>
      </c>
      <c r="I194" s="10" t="n">
        <f aca="false">CRM_Raw!I194</f>
        <v>272.63</v>
      </c>
      <c r="J194" s="11" t="n">
        <f aca="false">CRM_Raw!J194</f>
        <v>0</v>
      </c>
      <c r="K194" s="10" t="n">
        <f aca="false">I194*(1-J194)</f>
        <v>272.63</v>
      </c>
      <c r="L194" s="12" t="n">
        <f aca="false">CRM_Raw!K194</f>
        <v>26</v>
      </c>
      <c r="M194" s="12" t="n">
        <f aca="false">IF(H194="Closed Won",1,0)</f>
        <v>1</v>
      </c>
    </row>
    <row r="195" customFormat="false" ht="15" hidden="false" customHeight="false" outlineLevel="0" collapsed="false">
      <c r="A195" s="0" t="str">
        <f aca="false">CRM_Raw!A195</f>
        <v>D-10191</v>
      </c>
      <c r="B195" s="0" t="str">
        <f aca="false">CRM_Raw!B195</f>
        <v>2025-12-22</v>
      </c>
      <c r="C195" s="0" t="n">
        <f aca="false">CRM_Raw!C195</f>
        <v>0</v>
      </c>
      <c r="D195" s="0" t="str">
        <f aca="false">IF(CRM_Raw!D195="DACH","DACH",IF(ISNUMBER(SEARCH("uk",CRM_Raw!D195)),"UK &amp; Ireland",PROPER(CRM_Raw!D195)))</f>
        <v>North America</v>
      </c>
      <c r="E195" s="0" t="str">
        <f aca="false">CRM_Raw!E195</f>
        <v>Small Kitchen Appliances</v>
      </c>
      <c r="F195" s="0" t="str">
        <f aca="false">CRM_Raw!F195</f>
        <v>Trade Show</v>
      </c>
      <c r="G195" s="0" t="str">
        <f aca="false">IF(TRIM(CRM_Raw!G195)="","Unassigned",CRM_Raw!G195)</f>
        <v>P. Rossi</v>
      </c>
      <c r="H195" s="0" t="str">
        <f aca="false">CRM_Raw!H195</f>
        <v>Negotiation</v>
      </c>
      <c r="I195" s="10" t="n">
        <f aca="false">CRM_Raw!I195</f>
        <v>125.97</v>
      </c>
      <c r="J195" s="11" t="n">
        <f aca="false">CRM_Raw!J195</f>
        <v>0</v>
      </c>
      <c r="K195" s="10" t="n">
        <f aca="false">I195*(1-J195)</f>
        <v>125.97</v>
      </c>
      <c r="L195" s="12" t="n">
        <f aca="false">CRM_Raw!K195</f>
        <v>0</v>
      </c>
      <c r="M195" s="12" t="n">
        <f aca="false">IF(H195="Closed Won",1,0)</f>
        <v>0</v>
      </c>
    </row>
    <row r="196" customFormat="false" ht="15" hidden="false" customHeight="false" outlineLevel="0" collapsed="false">
      <c r="A196" s="0" t="str">
        <f aca="false">CRM_Raw!A196</f>
        <v>D-10192</v>
      </c>
      <c r="B196" s="0" t="str">
        <f aca="false">CRM_Raw!B196</f>
        <v>2026-01-06</v>
      </c>
      <c r="C196" s="0" t="str">
        <f aca="false">CRM_Raw!C196</f>
        <v>2026-01-19</v>
      </c>
      <c r="D196" s="0" t="str">
        <f aca="false">IF(CRM_Raw!D196="DACH","DACH",IF(ISNUMBER(SEARCH("uk",CRM_Raw!D196)),"UK &amp; Ireland",PROPER(CRM_Raw!D196)))</f>
        <v>North America</v>
      </c>
      <c r="E196" s="0" t="str">
        <f aca="false">CRM_Raw!E196</f>
        <v>Coffee Systems</v>
      </c>
      <c r="F196" s="0" t="str">
        <f aca="false">CRM_Raw!F196</f>
        <v>Affiliate Partner</v>
      </c>
      <c r="G196" s="0" t="str">
        <f aca="false">IF(TRIM(CRM_Raw!G196)="","Unassigned",CRM_Raw!G196)</f>
        <v>M. Hoffmann</v>
      </c>
      <c r="H196" s="0" t="str">
        <f aca="false">CRM_Raw!H196</f>
        <v>Closed Lost</v>
      </c>
      <c r="I196" s="10" t="n">
        <f aca="false">CRM_Raw!I196</f>
        <v>481.97</v>
      </c>
      <c r="J196" s="11" t="n">
        <f aca="false">CRM_Raw!J196</f>
        <v>0.2</v>
      </c>
      <c r="K196" s="10" t="n">
        <f aca="false">I196*(1-J196)</f>
        <v>385.576</v>
      </c>
      <c r="L196" s="12" t="n">
        <f aca="false">CRM_Raw!K196</f>
        <v>13</v>
      </c>
      <c r="M196" s="12" t="n">
        <f aca="false">IF(H196="Closed Won",1,0)</f>
        <v>0</v>
      </c>
    </row>
    <row r="197" customFormat="false" ht="15" hidden="false" customHeight="false" outlineLevel="0" collapsed="false">
      <c r="A197" s="0" t="str">
        <f aca="false">CRM_Raw!A197</f>
        <v>D-10193</v>
      </c>
      <c r="B197" s="0" t="str">
        <f aca="false">CRM_Raw!B197</f>
        <v>2026-01-05</v>
      </c>
      <c r="C197" s="0" t="str">
        <f aca="false">CRM_Raw!C197</f>
        <v>2026-01-14</v>
      </c>
      <c r="D197" s="0" t="str">
        <f aca="false">IF(CRM_Raw!D197="DACH","DACH",IF(ISNUMBER(SEARCH("uk",CRM_Raw!D197)),"UK &amp; Ireland",PROPER(CRM_Raw!D197)))</f>
        <v>UK &amp; Ireland</v>
      </c>
      <c r="E197" s="0" t="str">
        <f aca="false">CRM_Raw!E197</f>
        <v>Coffee Systems</v>
      </c>
      <c r="F197" s="0" t="str">
        <f aca="false">CRM_Raw!F197</f>
        <v>Email Campaign</v>
      </c>
      <c r="G197" s="0" t="str">
        <f aca="false">IF(TRIM(CRM_Raw!G197)="","Unassigned",CRM_Raw!G197)</f>
        <v>A. Becker</v>
      </c>
      <c r="H197" s="0" t="str">
        <f aca="false">CRM_Raw!H197</f>
        <v>Closed Lost</v>
      </c>
      <c r="I197" s="10" t="n">
        <f aca="false">CRM_Raw!I197</f>
        <v>1608.92</v>
      </c>
      <c r="J197" s="11" t="n">
        <f aca="false">CRM_Raw!J197</f>
        <v>0</v>
      </c>
      <c r="K197" s="10" t="n">
        <f aca="false">I197*(1-J197)</f>
        <v>1608.92</v>
      </c>
      <c r="L197" s="12" t="n">
        <f aca="false">CRM_Raw!K197</f>
        <v>9</v>
      </c>
      <c r="M197" s="12" t="n">
        <f aca="false">IF(H197="Closed Won",1,0)</f>
        <v>0</v>
      </c>
    </row>
    <row r="198" customFormat="false" ht="15" hidden="false" customHeight="false" outlineLevel="0" collapsed="false">
      <c r="A198" s="0" t="str">
        <f aca="false">CRM_Raw!A198</f>
        <v>D-10194</v>
      </c>
      <c r="B198" s="0" t="str">
        <f aca="false">CRM_Raw!B198</f>
        <v>2026-02-25</v>
      </c>
      <c r="C198" s="0" t="n">
        <f aca="false">CRM_Raw!C198</f>
        <v>0</v>
      </c>
      <c r="D198" s="0" t="str">
        <f aca="false">IF(CRM_Raw!D198="DACH","DACH",IF(ISNUMBER(SEARCH("uk",CRM_Raw!D198)),"UK &amp; Ireland",PROPER(CRM_Raw!D198)))</f>
        <v>DACH</v>
      </c>
      <c r="E198" s="0" t="str">
        <f aca="false">CRM_Raw!E198</f>
        <v>Cordless Vacuums</v>
      </c>
      <c r="F198" s="0" t="str">
        <f aca="false">CRM_Raw!F198</f>
        <v>Paid Search</v>
      </c>
      <c r="G198" s="0" t="str">
        <f aca="false">IF(TRIM(CRM_Raw!G198)="","Unassigned",CRM_Raw!G198)</f>
        <v>T. Wagner</v>
      </c>
      <c r="H198" s="0" t="str">
        <f aca="false">CRM_Raw!H198</f>
        <v>Proposal Sent</v>
      </c>
      <c r="I198" s="10" t="n">
        <f aca="false">CRM_Raw!I198</f>
        <v>393.92</v>
      </c>
      <c r="J198" s="11" t="n">
        <f aca="false">CRM_Raw!J198</f>
        <v>0</v>
      </c>
      <c r="K198" s="10" t="n">
        <f aca="false">I198*(1-J198)</f>
        <v>393.92</v>
      </c>
      <c r="L198" s="12" t="n">
        <f aca="false">CRM_Raw!K198</f>
        <v>0</v>
      </c>
      <c r="M198" s="12" t="n">
        <f aca="false">IF(H198="Closed Won",1,0)</f>
        <v>0</v>
      </c>
    </row>
    <row r="199" customFormat="false" ht="15" hidden="false" customHeight="false" outlineLevel="0" collapsed="false">
      <c r="A199" s="0" t="str">
        <f aca="false">CRM_Raw!A199</f>
        <v>D-10195</v>
      </c>
      <c r="B199" s="0" t="str">
        <f aca="false">CRM_Raw!B199</f>
        <v>2025-12-19</v>
      </c>
      <c r="C199" s="0" t="str">
        <f aca="false">CRM_Raw!C199</f>
        <v>2026-01-20</v>
      </c>
      <c r="D199" s="0" t="str">
        <f aca="false">IF(CRM_Raw!D199="DACH","DACH",IF(ISNUMBER(SEARCH("uk",CRM_Raw!D199)),"UK &amp; Ireland",PROPER(CRM_Raw!D199)))</f>
        <v>France</v>
      </c>
      <c r="E199" s="0" t="str">
        <f aca="false">CRM_Raw!E199</f>
        <v>Small Kitchen Appliances</v>
      </c>
      <c r="F199" s="0" t="str">
        <f aca="false">CRM_Raw!F199</f>
        <v>Web-shop Organic</v>
      </c>
      <c r="G199" s="0" t="str">
        <f aca="false">IF(TRIM(CRM_Raw!G199)="","Unassigned",CRM_Raw!G199)</f>
        <v>T. Wagner</v>
      </c>
      <c r="H199" s="0" t="str">
        <f aca="false">CRM_Raw!H199</f>
        <v>Closed Won</v>
      </c>
      <c r="I199" s="10" t="n">
        <f aca="false">CRM_Raw!I199</f>
        <v>402.74</v>
      </c>
      <c r="J199" s="11" t="n">
        <f aca="false">CRM_Raw!J199</f>
        <v>0.15</v>
      </c>
      <c r="K199" s="10" t="n">
        <f aca="false">I199*(1-J199)</f>
        <v>342.329</v>
      </c>
      <c r="L199" s="12" t="n">
        <f aca="false">CRM_Raw!K199</f>
        <v>32</v>
      </c>
      <c r="M199" s="12" t="n">
        <f aca="false">IF(H199="Closed Won",1,0)</f>
        <v>1</v>
      </c>
    </row>
    <row r="200" customFormat="false" ht="15" hidden="false" customHeight="false" outlineLevel="0" collapsed="false">
      <c r="A200" s="0" t="str">
        <f aca="false">CRM_Raw!A200</f>
        <v>D-10196</v>
      </c>
      <c r="B200" s="0" t="str">
        <f aca="false">CRM_Raw!B200</f>
        <v>2026-03-20</v>
      </c>
      <c r="C200" s="0" t="str">
        <f aca="false">CRM_Raw!C200</f>
        <v>2026-04-21</v>
      </c>
      <c r="D200" s="0" t="str">
        <f aca="false">IF(CRM_Raw!D200="DACH","DACH",IF(ISNUMBER(SEARCH("uk",CRM_Raw!D200)),"UK &amp; Ireland",PROPER(CRM_Raw!D200)))</f>
        <v>Nordics</v>
      </c>
      <c r="E200" s="0" t="str">
        <f aca="false">CRM_Raw!E200</f>
        <v>Coffee Systems</v>
      </c>
      <c r="F200" s="0" t="str">
        <f aca="false">CRM_Raw!F200</f>
        <v>Email Campaign</v>
      </c>
      <c r="G200" s="0" t="str">
        <f aca="false">IF(TRIM(CRM_Raw!G200)="","Unassigned",CRM_Raw!G200)</f>
        <v>M. Hoffmann</v>
      </c>
      <c r="H200" s="0" t="str">
        <f aca="false">CRM_Raw!H200</f>
        <v>Closed Lost</v>
      </c>
      <c r="I200" s="10" t="n">
        <f aca="false">CRM_Raw!I200</f>
        <v>532.07</v>
      </c>
      <c r="J200" s="11" t="n">
        <f aca="false">CRM_Raw!J200</f>
        <v>0</v>
      </c>
      <c r="K200" s="10" t="n">
        <f aca="false">I200*(1-J200)</f>
        <v>532.07</v>
      </c>
      <c r="L200" s="12" t="n">
        <f aca="false">CRM_Raw!K200</f>
        <v>32</v>
      </c>
      <c r="M200" s="12" t="n">
        <f aca="false">IF(H200="Closed Won",1,0)</f>
        <v>0</v>
      </c>
    </row>
    <row r="201" customFormat="false" ht="15" hidden="false" customHeight="false" outlineLevel="0" collapsed="false">
      <c r="A201" s="0" t="str">
        <f aca="false">CRM_Raw!A201</f>
        <v>D-10197</v>
      </c>
      <c r="B201" s="0" t="str">
        <f aca="false">CRM_Raw!B201</f>
        <v>2025-12-21</v>
      </c>
      <c r="C201" s="0" t="n">
        <f aca="false">CRM_Raw!C201</f>
        <v>0</v>
      </c>
      <c r="D201" s="0" t="str">
        <f aca="false">IF(CRM_Raw!D201="DACH","DACH",IF(ISNUMBER(SEARCH("uk",CRM_Raw!D201)),"UK &amp; Ireland",PROPER(CRM_Raw!D201)))</f>
        <v>UK &amp; Ireland</v>
      </c>
      <c r="E201" s="0" t="str">
        <f aca="false">CRM_Raw!E201</f>
        <v>Cordless Vacuums</v>
      </c>
      <c r="F201" s="0" t="str">
        <f aca="false">CRM_Raw!F201</f>
        <v>Retail Referral</v>
      </c>
      <c r="G201" s="0" t="str">
        <f aca="false">IF(TRIM(CRM_Raw!G201)="","Unassigned",CRM_Raw!G201)</f>
        <v>S. Andersson</v>
      </c>
      <c r="H201" s="0" t="str">
        <f aca="false">CRM_Raw!H201</f>
        <v>Qualified</v>
      </c>
      <c r="I201" s="10" t="n">
        <f aca="false">CRM_Raw!I201</f>
        <v>367.38</v>
      </c>
      <c r="J201" s="11" t="n">
        <f aca="false">CRM_Raw!J201</f>
        <v>0.2</v>
      </c>
      <c r="K201" s="10" t="n">
        <f aca="false">I201*(1-J201)</f>
        <v>293.904</v>
      </c>
      <c r="L201" s="12" t="n">
        <f aca="false">CRM_Raw!K201</f>
        <v>0</v>
      </c>
      <c r="M201" s="12" t="n">
        <f aca="false">IF(H201="Closed Won",1,0)</f>
        <v>0</v>
      </c>
    </row>
    <row r="202" customFormat="false" ht="15" hidden="false" customHeight="false" outlineLevel="0" collapsed="false">
      <c r="A202" s="0" t="str">
        <f aca="false">CRM_Raw!A202</f>
        <v>D-10198</v>
      </c>
      <c r="B202" s="0" t="str">
        <f aca="false">CRM_Raw!B202</f>
        <v>2025-05-09</v>
      </c>
      <c r="C202" s="0" t="str">
        <f aca="false">CRM_Raw!C202</f>
        <v>2025-05-17</v>
      </c>
      <c r="D202" s="0" t="str">
        <f aca="false">IF(CRM_Raw!D202="DACH","DACH",IF(ISNUMBER(SEARCH("uk",CRM_Raw!D202)),"UK &amp; Ireland",PROPER(CRM_Raw!D202)))</f>
        <v>DACH</v>
      </c>
      <c r="E202" s="0" t="str">
        <f aca="false">CRM_Raw!E202</f>
        <v>Cordless Vacuums</v>
      </c>
      <c r="F202" s="0" t="str">
        <f aca="false">CRM_Raw!F202</f>
        <v>Web-shop Organic</v>
      </c>
      <c r="G202" s="0" t="str">
        <f aca="false">IF(TRIM(CRM_Raw!G202)="","Unassigned",CRM_Raw!G202)</f>
        <v>J. Murphy</v>
      </c>
      <c r="H202" s="0" t="str">
        <f aca="false">CRM_Raw!H202</f>
        <v>Closed Lost</v>
      </c>
      <c r="I202" s="10" t="n">
        <f aca="false">CRM_Raw!I202</f>
        <v>375.71</v>
      </c>
      <c r="J202" s="11" t="n">
        <f aca="false">CRM_Raw!J202</f>
        <v>0.1</v>
      </c>
      <c r="K202" s="10" t="n">
        <f aca="false">I202*(1-J202)</f>
        <v>338.139</v>
      </c>
      <c r="L202" s="12" t="n">
        <f aca="false">CRM_Raw!K202</f>
        <v>8</v>
      </c>
      <c r="M202" s="12" t="n">
        <f aca="false">IF(H202="Closed Won",1,0)</f>
        <v>0</v>
      </c>
    </row>
    <row r="203" customFormat="false" ht="15" hidden="false" customHeight="false" outlineLevel="0" collapsed="false">
      <c r="A203" s="0" t="str">
        <f aca="false">CRM_Raw!A203</f>
        <v>D-10199</v>
      </c>
      <c r="B203" s="0" t="str">
        <f aca="false">CRM_Raw!B203</f>
        <v>2025-06-25</v>
      </c>
      <c r="C203" s="0" t="n">
        <f aca="false">CRM_Raw!C203</f>
        <v>0</v>
      </c>
      <c r="D203" s="0" t="str">
        <f aca="false">IF(CRM_Raw!D203="DACH","DACH",IF(ISNUMBER(SEARCH("uk",CRM_Raw!D203)),"UK &amp; Ireland",PROPER(CRM_Raw!D203)))</f>
        <v>Southern Europe</v>
      </c>
      <c r="E203" s="0" t="str">
        <f aca="false">CRM_Raw!E203</f>
        <v>Coffee Systems</v>
      </c>
      <c r="F203" s="0" t="str">
        <f aca="false">CRM_Raw!F203</f>
        <v>Social Media Ads</v>
      </c>
      <c r="G203" s="0" t="str">
        <f aca="false">IF(TRIM(CRM_Raw!G203)="","Unassigned",CRM_Raw!G203)</f>
        <v>M. Hoffmann</v>
      </c>
      <c r="H203" s="0" t="str">
        <f aca="false">CRM_Raw!H203</f>
        <v>Negotiation</v>
      </c>
      <c r="I203" s="10" t="n">
        <f aca="false">CRM_Raw!I203</f>
        <v>1672.93</v>
      </c>
      <c r="J203" s="11" t="n">
        <f aca="false">CRM_Raw!J203</f>
        <v>0</v>
      </c>
      <c r="K203" s="10" t="n">
        <f aca="false">I203*(1-J203)</f>
        <v>1672.93</v>
      </c>
      <c r="L203" s="12" t="n">
        <f aca="false">CRM_Raw!K203</f>
        <v>0</v>
      </c>
      <c r="M203" s="12" t="n">
        <f aca="false">IF(H203="Closed Won",1,0)</f>
        <v>0</v>
      </c>
    </row>
    <row r="204" customFormat="false" ht="15" hidden="false" customHeight="false" outlineLevel="0" collapsed="false">
      <c r="A204" s="0" t="str">
        <f aca="false">CRM_Raw!A204</f>
        <v>D-10200</v>
      </c>
      <c r="B204" s="0" t="str">
        <f aca="false">CRM_Raw!B204</f>
        <v>2025-03-25</v>
      </c>
      <c r="C204" s="0" t="str">
        <f aca="false">CRM_Raw!C204</f>
        <v>2025-04-07</v>
      </c>
      <c r="D204" s="0" t="str">
        <f aca="false">IF(CRM_Raw!D204="DACH","DACH",IF(ISNUMBER(SEARCH("uk",CRM_Raw!D204)),"UK &amp; Ireland",PROPER(CRM_Raw!D204)))</f>
        <v>North America</v>
      </c>
      <c r="E204" s="0" t="str">
        <f aca="false">CRM_Raw!E204</f>
        <v>Washing Machines</v>
      </c>
      <c r="F204" s="0" t="str">
        <f aca="false">CRM_Raw!F204</f>
        <v>Web-shop Organic</v>
      </c>
      <c r="G204" s="0" t="str">
        <f aca="false">IF(TRIM(CRM_Raw!G204)="","Unassigned",CRM_Raw!G204)</f>
        <v>A. Becker</v>
      </c>
      <c r="H204" s="0" t="str">
        <f aca="false">CRM_Raw!H204</f>
        <v>Closed Won</v>
      </c>
      <c r="I204" s="10" t="n">
        <f aca="false">CRM_Raw!I204</f>
        <v>2096.5</v>
      </c>
      <c r="J204" s="11" t="n">
        <f aca="false">CRM_Raw!J204</f>
        <v>0.05</v>
      </c>
      <c r="K204" s="10" t="n">
        <f aca="false">I204*(1-J204)</f>
        <v>1991.675</v>
      </c>
      <c r="L204" s="12" t="n">
        <f aca="false">CRM_Raw!K204</f>
        <v>13</v>
      </c>
      <c r="M204" s="12" t="n">
        <f aca="false">IF(H204="Closed Won",1,0)</f>
        <v>1</v>
      </c>
    </row>
    <row r="205" customFormat="false" ht="15" hidden="false" customHeight="false" outlineLevel="0" collapsed="false">
      <c r="A205" s="0" t="str">
        <f aca="false">CRM_Raw!A205</f>
        <v>D-10201</v>
      </c>
      <c r="B205" s="0" t="str">
        <f aca="false">CRM_Raw!B205</f>
        <v>2025-11-06</v>
      </c>
      <c r="C205" s="0" t="str">
        <f aca="false">CRM_Raw!C205</f>
        <v>2025-11-17</v>
      </c>
      <c r="D205" s="0" t="str">
        <f aca="false">IF(CRM_Raw!D205="DACH","DACH",IF(ISNUMBER(SEARCH("uk",CRM_Raw!D205)),"UK &amp; Ireland",PROPER(CRM_Raw!D205)))</f>
        <v>Nordics</v>
      </c>
      <c r="E205" s="0" t="str">
        <f aca="false">CRM_Raw!E205</f>
        <v>Small Kitchen Appliances</v>
      </c>
      <c r="F205" s="0" t="str">
        <f aca="false">CRM_Raw!F205</f>
        <v>Web-shop Organic</v>
      </c>
      <c r="G205" s="0" t="str">
        <f aca="false">IF(TRIM(CRM_Raw!G205)="","Unassigned",CRM_Raw!G205)</f>
        <v>J. Murphy</v>
      </c>
      <c r="H205" s="0" t="str">
        <f aca="false">CRM_Raw!H205</f>
        <v>Closed Lost</v>
      </c>
      <c r="I205" s="10" t="n">
        <f aca="false">CRM_Raw!I205</f>
        <v>267.05</v>
      </c>
      <c r="J205" s="11" t="n">
        <f aca="false">CRM_Raw!J205</f>
        <v>0</v>
      </c>
      <c r="K205" s="10" t="n">
        <f aca="false">I205*(1-J205)</f>
        <v>267.05</v>
      </c>
      <c r="L205" s="12" t="n">
        <f aca="false">CRM_Raw!K205</f>
        <v>11</v>
      </c>
      <c r="M205" s="12" t="n">
        <f aca="false">IF(H205="Closed Won",1,0)</f>
        <v>0</v>
      </c>
    </row>
    <row r="206" customFormat="false" ht="15" hidden="false" customHeight="false" outlineLevel="0" collapsed="false">
      <c r="A206" s="0" t="str">
        <f aca="false">CRM_Raw!A206</f>
        <v>D-10202</v>
      </c>
      <c r="B206" s="0" t="str">
        <f aca="false">CRM_Raw!B206</f>
        <v>2026-03-27</v>
      </c>
      <c r="C206" s="0" t="str">
        <f aca="false">CRM_Raw!C206</f>
        <v>2026-04-08</v>
      </c>
      <c r="D206" s="0" t="str">
        <f aca="false">IF(CRM_Raw!D206="DACH","DACH",IF(ISNUMBER(SEARCH("uk",CRM_Raw!D206)),"UK &amp; Ireland",PROPER(CRM_Raw!D206)))</f>
        <v>Benelux</v>
      </c>
      <c r="E206" s="0" t="str">
        <f aca="false">CRM_Raw!E206</f>
        <v>Smart Ovens</v>
      </c>
      <c r="F206" s="0" t="str">
        <f aca="false">CRM_Raw!F206</f>
        <v>Affiliate Partner</v>
      </c>
      <c r="G206" s="0" t="str">
        <f aca="false">IF(TRIM(CRM_Raw!G206)="","Unassigned",CRM_Raw!G206)</f>
        <v>M. Hoffmann</v>
      </c>
      <c r="H206" s="0" t="str">
        <f aca="false">CRM_Raw!H206</f>
        <v>Closed Lost</v>
      </c>
      <c r="I206" s="10" t="n">
        <f aca="false">CRM_Raw!I206</f>
        <v>793.86</v>
      </c>
      <c r="J206" s="11" t="n">
        <f aca="false">CRM_Raw!J206</f>
        <v>0.15</v>
      </c>
      <c r="K206" s="10" t="n">
        <f aca="false">I206*(1-J206)</f>
        <v>674.781</v>
      </c>
      <c r="L206" s="12" t="n">
        <f aca="false">CRM_Raw!K206</f>
        <v>12</v>
      </c>
      <c r="M206" s="12" t="n">
        <f aca="false">IF(H206="Closed Won",1,0)</f>
        <v>0</v>
      </c>
    </row>
    <row r="207" customFormat="false" ht="15" hidden="false" customHeight="false" outlineLevel="0" collapsed="false">
      <c r="A207" s="0" t="str">
        <f aca="false">CRM_Raw!A207</f>
        <v>D-10203</v>
      </c>
      <c r="B207" s="0" t="str">
        <f aca="false">CRM_Raw!B207</f>
        <v>2026-01-15</v>
      </c>
      <c r="C207" s="0" t="str">
        <f aca="false">CRM_Raw!C207</f>
        <v>2026-02-06</v>
      </c>
      <c r="D207" s="0" t="str">
        <f aca="false">IF(CRM_Raw!D207="DACH","DACH",IF(ISNUMBER(SEARCH("uk",CRM_Raw!D207)),"UK &amp; Ireland",PROPER(CRM_Raw!D207)))</f>
        <v>North America</v>
      </c>
      <c r="E207" s="0" t="str">
        <f aca="false">CRM_Raw!E207</f>
        <v>Cordless Vacuums</v>
      </c>
      <c r="F207" s="0" t="str">
        <f aca="false">CRM_Raw!F207</f>
        <v>Trade Show</v>
      </c>
      <c r="G207" s="0" t="str">
        <f aca="false">IF(TRIM(CRM_Raw!G207)="","Unassigned",CRM_Raw!G207)</f>
        <v>M. Hoffmann</v>
      </c>
      <c r="H207" s="0" t="str">
        <f aca="false">CRM_Raw!H207</f>
        <v>Closed Lost</v>
      </c>
      <c r="I207" s="10" t="n">
        <f aca="false">CRM_Raw!I207</f>
        <v>331.41</v>
      </c>
      <c r="J207" s="11" t="n">
        <f aca="false">CRM_Raw!J207</f>
        <v>0.05</v>
      </c>
      <c r="K207" s="10" t="n">
        <f aca="false">I207*(1-J207)</f>
        <v>314.8395</v>
      </c>
      <c r="L207" s="12" t="n">
        <f aca="false">CRM_Raw!K207</f>
        <v>22</v>
      </c>
      <c r="M207" s="12" t="n">
        <f aca="false">IF(H207="Closed Won",1,0)</f>
        <v>0</v>
      </c>
    </row>
    <row r="208" customFormat="false" ht="15" hidden="false" customHeight="false" outlineLevel="0" collapsed="false">
      <c r="A208" s="0" t="str">
        <f aca="false">CRM_Raw!A208</f>
        <v>D-10204</v>
      </c>
      <c r="B208" s="0" t="str">
        <f aca="false">CRM_Raw!B208</f>
        <v>2025-04-10</v>
      </c>
      <c r="C208" s="0" t="str">
        <f aca="false">CRM_Raw!C208</f>
        <v>2025-05-17</v>
      </c>
      <c r="D208" s="0" t="str">
        <f aca="false">IF(CRM_Raw!D208="DACH","DACH",IF(ISNUMBER(SEARCH("uk",CRM_Raw!D208)),"UK &amp; Ireland",PROPER(CRM_Raw!D208)))</f>
        <v>DACH</v>
      </c>
      <c r="E208" s="0" t="str">
        <f aca="false">CRM_Raw!E208</f>
        <v>Cordless Vacuums</v>
      </c>
      <c r="F208" s="0" t="str">
        <f aca="false">CRM_Raw!F208</f>
        <v>Paid Search</v>
      </c>
      <c r="G208" s="0" t="str">
        <f aca="false">IF(TRIM(CRM_Raw!G208)="","Unassigned",CRM_Raw!G208)</f>
        <v>M. Hoffmann</v>
      </c>
      <c r="H208" s="0" t="str">
        <f aca="false">CRM_Raw!H208</f>
        <v>Closed Won</v>
      </c>
      <c r="I208" s="10" t="n">
        <f aca="false">CRM_Raw!I208</f>
        <v>358.6</v>
      </c>
      <c r="J208" s="11" t="n">
        <f aca="false">CRM_Raw!J208</f>
        <v>0.2</v>
      </c>
      <c r="K208" s="10" t="n">
        <f aca="false">I208*(1-J208)</f>
        <v>286.88</v>
      </c>
      <c r="L208" s="12" t="n">
        <f aca="false">CRM_Raw!K208</f>
        <v>37</v>
      </c>
      <c r="M208" s="12" t="n">
        <f aca="false">IF(H208="Closed Won",1,0)</f>
        <v>1</v>
      </c>
    </row>
    <row r="209" customFormat="false" ht="15" hidden="false" customHeight="false" outlineLevel="0" collapsed="false">
      <c r="A209" s="0" t="str">
        <f aca="false">CRM_Raw!A209</f>
        <v>D-10205</v>
      </c>
      <c r="B209" s="0" t="str">
        <f aca="false">CRM_Raw!B209</f>
        <v>2025-06-13</v>
      </c>
      <c r="C209" s="0" t="str">
        <f aca="false">CRM_Raw!C209</f>
        <v>2025-06-27</v>
      </c>
      <c r="D209" s="0" t="str">
        <f aca="false">IF(CRM_Raw!D209="DACH","DACH",IF(ISNUMBER(SEARCH("uk",CRM_Raw!D209)),"UK &amp; Ireland",PROPER(CRM_Raw!D209)))</f>
        <v>France</v>
      </c>
      <c r="E209" s="0" t="str">
        <f aca="false">CRM_Raw!E209</f>
        <v>Washing Machines</v>
      </c>
      <c r="F209" s="0" t="str">
        <f aca="false">CRM_Raw!F209</f>
        <v>Affiliate Partner</v>
      </c>
      <c r="G209" s="0" t="str">
        <f aca="false">IF(TRIM(CRM_Raw!G209)="","Unassigned",CRM_Raw!G209)</f>
        <v>S. Andersson</v>
      </c>
      <c r="H209" s="0" t="str">
        <f aca="false">CRM_Raw!H209</f>
        <v>Closed Lost</v>
      </c>
      <c r="I209" s="10" t="n">
        <f aca="false">CRM_Raw!I209</f>
        <v>1353.8</v>
      </c>
      <c r="J209" s="11" t="n">
        <f aca="false">CRM_Raw!J209</f>
        <v>0</v>
      </c>
      <c r="K209" s="10" t="n">
        <f aca="false">I209*(1-J209)</f>
        <v>1353.8</v>
      </c>
      <c r="L209" s="12" t="n">
        <f aca="false">CRM_Raw!K209</f>
        <v>14</v>
      </c>
      <c r="M209" s="12" t="n">
        <f aca="false">IF(H209="Closed Won",1,0)</f>
        <v>0</v>
      </c>
    </row>
    <row r="210" customFormat="false" ht="15" hidden="false" customHeight="false" outlineLevel="0" collapsed="false">
      <c r="A210" s="0" t="str">
        <f aca="false">CRM_Raw!A210</f>
        <v>D-10206</v>
      </c>
      <c r="B210" s="0" t="str">
        <f aca="false">CRM_Raw!B210</f>
        <v>2026-04-14</v>
      </c>
      <c r="C210" s="0" t="n">
        <f aca="false">CRM_Raw!C210</f>
        <v>0</v>
      </c>
      <c r="D210" s="0" t="str">
        <f aca="false">IF(CRM_Raw!D210="DACH","DACH",IF(ISNUMBER(SEARCH("uk",CRM_Raw!D210)),"UK &amp; Ireland",PROPER(CRM_Raw!D210)))</f>
        <v>Benelux</v>
      </c>
      <c r="E210" s="0" t="str">
        <f aca="false">CRM_Raw!E210</f>
        <v>Smart Ovens</v>
      </c>
      <c r="F210" s="0" t="str">
        <f aca="false">CRM_Raw!F210</f>
        <v>Web-shop Organic</v>
      </c>
      <c r="G210" s="0" t="str">
        <f aca="false">IF(TRIM(CRM_Raw!G210)="","Unassigned",CRM_Raw!G210)</f>
        <v>K. Nilsson</v>
      </c>
      <c r="H210" s="0" t="str">
        <f aca="false">CRM_Raw!H210</f>
        <v>Qualified</v>
      </c>
      <c r="I210" s="10" t="n">
        <f aca="false">CRM_Raw!I210</f>
        <v>808.64</v>
      </c>
      <c r="J210" s="11" t="n">
        <f aca="false">CRM_Raw!J210</f>
        <v>0</v>
      </c>
      <c r="K210" s="10" t="n">
        <f aca="false">I210*(1-J210)</f>
        <v>808.64</v>
      </c>
      <c r="L210" s="12" t="n">
        <f aca="false">CRM_Raw!K210</f>
        <v>0</v>
      </c>
      <c r="M210" s="12" t="n">
        <f aca="false">IF(H210="Closed Won",1,0)</f>
        <v>0</v>
      </c>
    </row>
    <row r="211" customFormat="false" ht="15" hidden="false" customHeight="false" outlineLevel="0" collapsed="false">
      <c r="A211" s="0" t="str">
        <f aca="false">CRM_Raw!A211</f>
        <v>D-10207</v>
      </c>
      <c r="B211" s="0" t="str">
        <f aca="false">CRM_Raw!B211</f>
        <v>2025-10-20</v>
      </c>
      <c r="C211" s="0" t="str">
        <f aca="false">CRM_Raw!C211</f>
        <v>2025-11-15</v>
      </c>
      <c r="D211" s="0" t="str">
        <f aca="false">IF(CRM_Raw!D211="DACH","DACH",IF(ISNUMBER(SEARCH("uk",CRM_Raw!D211)),"UK &amp; Ireland",PROPER(CRM_Raw!D211)))</f>
        <v>DACH</v>
      </c>
      <c r="E211" s="0" t="str">
        <f aca="false">CRM_Raw!E211</f>
        <v>Cordless Vacuums</v>
      </c>
      <c r="F211" s="0" t="str">
        <f aca="false">CRM_Raw!F211</f>
        <v>Social Media Ads</v>
      </c>
      <c r="G211" s="0" t="str">
        <f aca="false">IF(TRIM(CRM_Raw!G211)="","Unassigned",CRM_Raw!G211)</f>
        <v>T. Wagner</v>
      </c>
      <c r="H211" s="0" t="str">
        <f aca="false">CRM_Raw!H211</f>
        <v>Closed Lost</v>
      </c>
      <c r="I211" s="10" t="n">
        <f aca="false">CRM_Raw!I211</f>
        <v>399.07</v>
      </c>
      <c r="J211" s="11" t="n">
        <f aca="false">CRM_Raw!J211</f>
        <v>0.2</v>
      </c>
      <c r="K211" s="10" t="n">
        <f aca="false">I211*(1-J211)</f>
        <v>319.256</v>
      </c>
      <c r="L211" s="12" t="n">
        <f aca="false">CRM_Raw!K211</f>
        <v>26</v>
      </c>
      <c r="M211" s="12" t="n">
        <f aca="false">IF(H211="Closed Won",1,0)</f>
        <v>0</v>
      </c>
    </row>
    <row r="212" customFormat="false" ht="15" hidden="false" customHeight="false" outlineLevel="0" collapsed="false">
      <c r="A212" s="0" t="str">
        <f aca="false">CRM_Raw!A212</f>
        <v>D-10208</v>
      </c>
      <c r="B212" s="0" t="str">
        <f aca="false">CRM_Raw!B212</f>
        <v>2025-07-19</v>
      </c>
      <c r="C212" s="0" t="str">
        <f aca="false">CRM_Raw!C212</f>
        <v>2025-08-01</v>
      </c>
      <c r="D212" s="0" t="str">
        <f aca="false">IF(CRM_Raw!D212="DACH","DACH",IF(ISNUMBER(SEARCH("uk",CRM_Raw!D212)),"UK &amp; Ireland",PROPER(CRM_Raw!D212)))</f>
        <v>Benelux</v>
      </c>
      <c r="E212" s="0" t="str">
        <f aca="false">CRM_Raw!E212</f>
        <v>Cordless Vacuums</v>
      </c>
      <c r="F212" s="0" t="str">
        <f aca="false">CRM_Raw!F212</f>
        <v>Web-shop Organic</v>
      </c>
      <c r="G212" s="0" t="str">
        <f aca="false">IF(TRIM(CRM_Raw!G212)="","Unassigned",CRM_Raw!G212)</f>
        <v>A. Becker</v>
      </c>
      <c r="H212" s="0" t="str">
        <f aca="false">CRM_Raw!H212</f>
        <v>Closed Won</v>
      </c>
      <c r="I212" s="10" t="n">
        <f aca="false">CRM_Raw!I212</f>
        <v>694.61</v>
      </c>
      <c r="J212" s="11" t="n">
        <f aca="false">CRM_Raw!J212</f>
        <v>0.1</v>
      </c>
      <c r="K212" s="10" t="n">
        <f aca="false">I212*(1-J212)</f>
        <v>625.149</v>
      </c>
      <c r="L212" s="12" t="n">
        <f aca="false">CRM_Raw!K212</f>
        <v>13</v>
      </c>
      <c r="M212" s="12" t="n">
        <f aca="false">IF(H212="Closed Won",1,0)</f>
        <v>1</v>
      </c>
    </row>
    <row r="213" customFormat="false" ht="15" hidden="false" customHeight="false" outlineLevel="0" collapsed="false">
      <c r="A213" s="0" t="str">
        <f aca="false">CRM_Raw!A213</f>
        <v>D-10209</v>
      </c>
      <c r="B213" s="0" t="str">
        <f aca="false">CRM_Raw!B213</f>
        <v>2025-05-12</v>
      </c>
      <c r="C213" s="0" t="n">
        <f aca="false">CRM_Raw!C213</f>
        <v>0</v>
      </c>
      <c r="D213" s="0" t="str">
        <f aca="false">IF(CRM_Raw!D213="DACH","DACH",IF(ISNUMBER(SEARCH("uk",CRM_Raw!D213)),"UK &amp; Ireland",PROPER(CRM_Raw!D213)))</f>
        <v>Benelux</v>
      </c>
      <c r="E213" s="0" t="str">
        <f aca="false">CRM_Raw!E213</f>
        <v>Washing Machines</v>
      </c>
      <c r="F213" s="0" t="str">
        <f aca="false">CRM_Raw!F213</f>
        <v>Paid Search</v>
      </c>
      <c r="G213" s="0" t="str">
        <f aca="false">IF(TRIM(CRM_Raw!G213)="","Unassigned",CRM_Raw!G213)</f>
        <v>L. Dubois</v>
      </c>
      <c r="H213" s="0" t="str">
        <f aca="false">CRM_Raw!H213</f>
        <v>Qualified</v>
      </c>
      <c r="I213" s="10" t="n">
        <f aca="false">CRM_Raw!I213</f>
        <v>657.48</v>
      </c>
      <c r="J213" s="11" t="n">
        <f aca="false">CRM_Raw!J213</f>
        <v>0.1</v>
      </c>
      <c r="K213" s="10" t="n">
        <f aca="false">I213*(1-J213)</f>
        <v>591.732</v>
      </c>
      <c r="L213" s="12" t="n">
        <f aca="false">CRM_Raw!K213</f>
        <v>0</v>
      </c>
      <c r="M213" s="12" t="n">
        <f aca="false">IF(H213="Closed Won",1,0)</f>
        <v>0</v>
      </c>
    </row>
    <row r="214" customFormat="false" ht="15" hidden="false" customHeight="false" outlineLevel="0" collapsed="false">
      <c r="A214" s="0" t="str">
        <f aca="false">CRM_Raw!A214</f>
        <v>D-10210</v>
      </c>
      <c r="B214" s="0" t="str">
        <f aca="false">CRM_Raw!B214</f>
        <v>2025-02-11</v>
      </c>
      <c r="C214" s="0" t="str">
        <f aca="false">CRM_Raw!C214</f>
        <v>2025-03-09</v>
      </c>
      <c r="D214" s="0" t="str">
        <f aca="false">IF(CRM_Raw!D214="DACH","DACH",IF(ISNUMBER(SEARCH("uk",CRM_Raw!D214)),"UK &amp; Ireland",PROPER(CRM_Raw!D214)))</f>
        <v>France</v>
      </c>
      <c r="E214" s="0" t="str">
        <f aca="false">CRM_Raw!E214</f>
        <v>Coffee Systems</v>
      </c>
      <c r="F214" s="0" t="str">
        <f aca="false">CRM_Raw!F214</f>
        <v>Web-shop Organic</v>
      </c>
      <c r="G214" s="0" t="str">
        <f aca="false">IF(TRIM(CRM_Raw!G214)="","Unassigned",CRM_Raw!G214)</f>
        <v>K. Nilsson</v>
      </c>
      <c r="H214" s="0" t="str">
        <f aca="false">CRM_Raw!H214</f>
        <v>Closed Won</v>
      </c>
      <c r="I214" s="10" t="n">
        <f aca="false">CRM_Raw!I214</f>
        <v>1052.94</v>
      </c>
      <c r="J214" s="11" t="n">
        <f aca="false">CRM_Raw!J214</f>
        <v>0</v>
      </c>
      <c r="K214" s="10" t="n">
        <f aca="false">I214*(1-J214)</f>
        <v>1052.94</v>
      </c>
      <c r="L214" s="12" t="n">
        <f aca="false">CRM_Raw!K214</f>
        <v>26</v>
      </c>
      <c r="M214" s="12" t="n">
        <f aca="false">IF(H214="Closed Won",1,0)</f>
        <v>1</v>
      </c>
    </row>
    <row r="215" customFormat="false" ht="15" hidden="false" customHeight="false" outlineLevel="0" collapsed="false">
      <c r="A215" s="0" t="str">
        <f aca="false">CRM_Raw!A215</f>
        <v>D-10211</v>
      </c>
      <c r="B215" s="0" t="str">
        <f aca="false">CRM_Raw!B215</f>
        <v>2025-06-16</v>
      </c>
      <c r="C215" s="0" t="str">
        <f aca="false">CRM_Raw!C215</f>
        <v>2025-07-13</v>
      </c>
      <c r="D215" s="0" t="str">
        <f aca="false">IF(CRM_Raw!D215="DACH","DACH",IF(ISNUMBER(SEARCH("uk",CRM_Raw!D215)),"UK &amp; Ireland",PROPER(CRM_Raw!D215)))</f>
        <v>Nordics</v>
      </c>
      <c r="E215" s="0" t="str">
        <f aca="false">CRM_Raw!E215</f>
        <v>Washing Machines</v>
      </c>
      <c r="F215" s="0" t="str">
        <f aca="false">CRM_Raw!F215</f>
        <v>Web-shop Organic</v>
      </c>
      <c r="G215" s="0" t="str">
        <f aca="false">IF(TRIM(CRM_Raw!G215)="","Unassigned",CRM_Raw!G215)</f>
        <v>P. Rossi</v>
      </c>
      <c r="H215" s="0" t="str">
        <f aca="false">CRM_Raw!H215</f>
        <v>Closed Lost</v>
      </c>
      <c r="I215" s="10" t="n">
        <f aca="false">CRM_Raw!I215</f>
        <v>693.26</v>
      </c>
      <c r="J215" s="11" t="n">
        <f aca="false">CRM_Raw!J215</f>
        <v>0.1</v>
      </c>
      <c r="K215" s="10" t="n">
        <f aca="false">I215*(1-J215)</f>
        <v>623.934</v>
      </c>
      <c r="L215" s="12" t="n">
        <f aca="false">CRM_Raw!K215</f>
        <v>27</v>
      </c>
      <c r="M215" s="12" t="n">
        <f aca="false">IF(H215="Closed Won",1,0)</f>
        <v>0</v>
      </c>
    </row>
    <row r="216" customFormat="false" ht="15" hidden="false" customHeight="false" outlineLevel="0" collapsed="false">
      <c r="A216" s="0" t="str">
        <f aca="false">CRM_Raw!A216</f>
        <v>D-10212</v>
      </c>
      <c r="B216" s="0" t="str">
        <f aca="false">CRM_Raw!B216</f>
        <v>2025-11-03</v>
      </c>
      <c r="C216" s="0" t="str">
        <f aca="false">CRM_Raw!C216</f>
        <v>2025-12-02</v>
      </c>
      <c r="D216" s="0" t="str">
        <f aca="false">IF(CRM_Raw!D216="DACH","DACH",IF(ISNUMBER(SEARCH("uk",CRM_Raw!D216)),"UK &amp; Ireland",PROPER(CRM_Raw!D216)))</f>
        <v>France</v>
      </c>
      <c r="E216" s="0" t="str">
        <f aca="false">CRM_Raw!E216</f>
        <v>Washing Machines</v>
      </c>
      <c r="F216" s="0" t="str">
        <f aca="false">CRM_Raw!F216</f>
        <v>Email Campaign</v>
      </c>
      <c r="G216" s="0" t="str">
        <f aca="false">IF(TRIM(CRM_Raw!G216)="","Unassigned",CRM_Raw!G216)</f>
        <v>Unassigned</v>
      </c>
      <c r="H216" s="0" t="str">
        <f aca="false">CRM_Raw!H216</f>
        <v>Closed Lost</v>
      </c>
      <c r="I216" s="10" t="n">
        <f aca="false">CRM_Raw!I216</f>
        <v>1223.54</v>
      </c>
      <c r="J216" s="11" t="n">
        <f aca="false">CRM_Raw!J216</f>
        <v>0.1</v>
      </c>
      <c r="K216" s="10" t="n">
        <f aca="false">I216*(1-J216)</f>
        <v>1101.186</v>
      </c>
      <c r="L216" s="12" t="n">
        <f aca="false">CRM_Raw!K216</f>
        <v>29</v>
      </c>
      <c r="M216" s="12" t="n">
        <f aca="false">IF(H216="Closed Won",1,0)</f>
        <v>0</v>
      </c>
    </row>
    <row r="217" customFormat="false" ht="15" hidden="false" customHeight="false" outlineLevel="0" collapsed="false">
      <c r="A217" s="0" t="str">
        <f aca="false">CRM_Raw!A217</f>
        <v>D-10213</v>
      </c>
      <c r="B217" s="0" t="str">
        <f aca="false">CRM_Raw!B217</f>
        <v>2026-05-01</v>
      </c>
      <c r="C217" s="0" t="str">
        <f aca="false">CRM_Raw!C217</f>
        <v>2026-05-22</v>
      </c>
      <c r="D217" s="0" t="str">
        <f aca="false">IF(CRM_Raw!D217="DACH","DACH",IF(ISNUMBER(SEARCH("uk",CRM_Raw!D217)),"UK &amp; Ireland",PROPER(CRM_Raw!D217)))</f>
        <v>France</v>
      </c>
      <c r="E217" s="0" t="str">
        <f aca="false">CRM_Raw!E217</f>
        <v>Small Kitchen Appliances</v>
      </c>
      <c r="F217" s="0" t="str">
        <f aca="false">CRM_Raw!F217</f>
        <v>Retail Referral</v>
      </c>
      <c r="G217" s="0" t="str">
        <f aca="false">IF(TRIM(CRM_Raw!G217)="","Unassigned",CRM_Raw!G217)</f>
        <v>A. Becker</v>
      </c>
      <c r="H217" s="0" t="str">
        <f aca="false">CRM_Raw!H217</f>
        <v>Closed Won</v>
      </c>
      <c r="I217" s="10" t="n">
        <f aca="false">CRM_Raw!I217</f>
        <v>387.3</v>
      </c>
      <c r="J217" s="11" t="n">
        <f aca="false">CRM_Raw!J217</f>
        <v>0.1</v>
      </c>
      <c r="K217" s="10" t="n">
        <f aca="false">I217*(1-J217)</f>
        <v>348.57</v>
      </c>
      <c r="L217" s="12" t="n">
        <f aca="false">CRM_Raw!K217</f>
        <v>21</v>
      </c>
      <c r="M217" s="12" t="n">
        <f aca="false">IF(H217="Closed Won",1,0)</f>
        <v>1</v>
      </c>
    </row>
    <row r="218" customFormat="false" ht="15" hidden="false" customHeight="false" outlineLevel="0" collapsed="false">
      <c r="A218" s="0" t="str">
        <f aca="false">CRM_Raw!A218</f>
        <v>D-10214</v>
      </c>
      <c r="B218" s="0" t="str">
        <f aca="false">CRM_Raw!B218</f>
        <v>2025-06-24</v>
      </c>
      <c r="C218" s="0" t="str">
        <f aca="false">CRM_Raw!C218</f>
        <v>2025-07-12</v>
      </c>
      <c r="D218" s="0" t="str">
        <f aca="false">IF(CRM_Raw!D218="DACH","DACH",IF(ISNUMBER(SEARCH("uk",CRM_Raw!D218)),"UK &amp; Ireland",PROPER(CRM_Raw!D218)))</f>
        <v>UK &amp; Ireland</v>
      </c>
      <c r="E218" s="0" t="str">
        <f aca="false">CRM_Raw!E218</f>
        <v>Small Kitchen Appliances</v>
      </c>
      <c r="F218" s="0" t="str">
        <f aca="false">CRM_Raw!F218</f>
        <v>Web-shop Organic</v>
      </c>
      <c r="G218" s="0" t="str">
        <f aca="false">IF(TRIM(CRM_Raw!G218)="","Unassigned",CRM_Raw!G218)</f>
        <v>T. Wagner</v>
      </c>
      <c r="H218" s="0" t="str">
        <f aca="false">CRM_Raw!H218</f>
        <v>Closed Lost</v>
      </c>
      <c r="I218" s="10" t="n">
        <f aca="false">CRM_Raw!I218</f>
        <v>120.93</v>
      </c>
      <c r="J218" s="11" t="n">
        <f aca="false">CRM_Raw!J218</f>
        <v>0</v>
      </c>
      <c r="K218" s="10" t="n">
        <f aca="false">I218*(1-J218)</f>
        <v>120.93</v>
      </c>
      <c r="L218" s="12" t="n">
        <f aca="false">CRM_Raw!K218</f>
        <v>18</v>
      </c>
      <c r="M218" s="12" t="n">
        <f aca="false">IF(H218="Closed Won",1,0)</f>
        <v>0</v>
      </c>
    </row>
    <row r="219" customFormat="false" ht="15" hidden="false" customHeight="false" outlineLevel="0" collapsed="false">
      <c r="A219" s="0" t="str">
        <f aca="false">CRM_Raw!A219</f>
        <v>D-10215</v>
      </c>
      <c r="B219" s="0" t="str">
        <f aca="false">CRM_Raw!B219</f>
        <v>2026-03-28</v>
      </c>
      <c r="C219" s="0" t="str">
        <f aca="false">CRM_Raw!C219</f>
        <v>2026-04-02</v>
      </c>
      <c r="D219" s="0" t="str">
        <f aca="false">IF(CRM_Raw!D219="DACH","DACH",IF(ISNUMBER(SEARCH("uk",CRM_Raw!D219)),"UK &amp; Ireland",PROPER(CRM_Raw!D219)))</f>
        <v>Nordics</v>
      </c>
      <c r="E219" s="0" t="str">
        <f aca="false">CRM_Raw!E219</f>
        <v>Small Kitchen Appliances</v>
      </c>
      <c r="F219" s="0" t="str">
        <f aca="false">CRM_Raw!F219</f>
        <v>Web-shop Organic</v>
      </c>
      <c r="G219" s="0" t="str">
        <f aca="false">IF(TRIM(CRM_Raw!G219)="","Unassigned",CRM_Raw!G219)</f>
        <v>A. Becker</v>
      </c>
      <c r="H219" s="0" t="str">
        <f aca="false">CRM_Raw!H219</f>
        <v>Closed Won</v>
      </c>
      <c r="I219" s="10" t="n">
        <f aca="false">CRM_Raw!I219</f>
        <v>114.14</v>
      </c>
      <c r="J219" s="11" t="n">
        <f aca="false">CRM_Raw!J219</f>
        <v>0.05</v>
      </c>
      <c r="K219" s="10" t="n">
        <f aca="false">I219*(1-J219)</f>
        <v>108.433</v>
      </c>
      <c r="L219" s="12" t="n">
        <f aca="false">CRM_Raw!K219</f>
        <v>5</v>
      </c>
      <c r="M219" s="12" t="n">
        <f aca="false">IF(H219="Closed Won",1,0)</f>
        <v>1</v>
      </c>
    </row>
    <row r="220" customFormat="false" ht="15" hidden="false" customHeight="false" outlineLevel="0" collapsed="false">
      <c r="A220" s="0" t="str">
        <f aca="false">CRM_Raw!A220</f>
        <v>D-10216</v>
      </c>
      <c r="B220" s="0" t="str">
        <f aca="false">CRM_Raw!B220</f>
        <v>2025-05-22</v>
      </c>
      <c r="C220" s="0" t="str">
        <f aca="false">CRM_Raw!C220</f>
        <v>2025-05-25</v>
      </c>
      <c r="D220" s="0" t="str">
        <f aca="false">IF(CRM_Raw!D220="DACH","DACH",IF(ISNUMBER(SEARCH("uk",CRM_Raw!D220)),"UK &amp; Ireland",PROPER(CRM_Raw!D220)))</f>
        <v>Nordics</v>
      </c>
      <c r="E220" s="0" t="str">
        <f aca="false">CRM_Raw!E220</f>
        <v>Washing Machines</v>
      </c>
      <c r="F220" s="0" t="str">
        <f aca="false">CRM_Raw!F220</f>
        <v>Retail Referral</v>
      </c>
      <c r="G220" s="0" t="str">
        <f aca="false">IF(TRIM(CRM_Raw!G220)="","Unassigned",CRM_Raw!G220)</f>
        <v>A. Becker</v>
      </c>
      <c r="H220" s="0" t="str">
        <f aca="false">CRM_Raw!H220</f>
        <v>Closed Lost</v>
      </c>
      <c r="I220" s="10" t="n">
        <f aca="false">CRM_Raw!I220</f>
        <v>1342.12</v>
      </c>
      <c r="J220" s="11" t="n">
        <f aca="false">CRM_Raw!J220</f>
        <v>0</v>
      </c>
      <c r="K220" s="10" t="n">
        <f aca="false">I220*(1-J220)</f>
        <v>1342.12</v>
      </c>
      <c r="L220" s="12" t="n">
        <f aca="false">CRM_Raw!K220</f>
        <v>3</v>
      </c>
      <c r="M220" s="12" t="n">
        <f aca="false">IF(H220="Closed Won",1,0)</f>
        <v>0</v>
      </c>
    </row>
    <row r="221" customFormat="false" ht="15" hidden="false" customHeight="false" outlineLevel="0" collapsed="false">
      <c r="A221" s="0" t="str">
        <f aca="false">CRM_Raw!A221</f>
        <v>D-10217</v>
      </c>
      <c r="B221" s="0" t="str">
        <f aca="false">CRM_Raw!B221</f>
        <v>2025-12-29</v>
      </c>
      <c r="C221" s="0" t="n">
        <f aca="false">CRM_Raw!C221</f>
        <v>0</v>
      </c>
      <c r="D221" s="0" t="str">
        <f aca="false">IF(CRM_Raw!D221="DACH","DACH",IF(ISNUMBER(SEARCH("uk",CRM_Raw!D221)),"UK &amp; Ireland",PROPER(CRM_Raw!D221)))</f>
        <v>UK &amp; Ireland</v>
      </c>
      <c r="E221" s="0" t="str">
        <f aca="false">CRM_Raw!E221</f>
        <v>Dishwashers</v>
      </c>
      <c r="F221" s="0" t="str">
        <f aca="false">CRM_Raw!F221</f>
        <v>Retail Referral</v>
      </c>
      <c r="G221" s="0" t="str">
        <f aca="false">IF(TRIM(CRM_Raw!G221)="","Unassigned",CRM_Raw!G221)</f>
        <v>P. Rossi</v>
      </c>
      <c r="H221" s="0" t="str">
        <f aca="false">CRM_Raw!H221</f>
        <v>Negotiation</v>
      </c>
      <c r="I221" s="10" t="n">
        <f aca="false">CRM_Raw!I221</f>
        <v>786.12</v>
      </c>
      <c r="J221" s="11" t="n">
        <f aca="false">CRM_Raw!J221</f>
        <v>0.1</v>
      </c>
      <c r="K221" s="10" t="n">
        <f aca="false">I221*(1-J221)</f>
        <v>707.508</v>
      </c>
      <c r="L221" s="12" t="n">
        <f aca="false">CRM_Raw!K221</f>
        <v>0</v>
      </c>
      <c r="M221" s="12" t="n">
        <f aca="false">IF(H221="Closed Won",1,0)</f>
        <v>0</v>
      </c>
    </row>
    <row r="222" customFormat="false" ht="15" hidden="false" customHeight="false" outlineLevel="0" collapsed="false">
      <c r="A222" s="0" t="str">
        <f aca="false">CRM_Raw!A222</f>
        <v>D-10218</v>
      </c>
      <c r="B222" s="0" t="str">
        <f aca="false">CRM_Raw!B222</f>
        <v>2025-11-02</v>
      </c>
      <c r="C222" s="0" t="str">
        <f aca="false">CRM_Raw!C222</f>
        <v>2025-11-11</v>
      </c>
      <c r="D222" s="0" t="str">
        <f aca="false">IF(CRM_Raw!D222="DACH","DACH",IF(ISNUMBER(SEARCH("uk",CRM_Raw!D222)),"UK &amp; Ireland",PROPER(CRM_Raw!D222)))</f>
        <v>Benelux</v>
      </c>
      <c r="E222" s="0" t="str">
        <f aca="false">CRM_Raw!E222</f>
        <v>Coffee Systems</v>
      </c>
      <c r="F222" s="0" t="str">
        <f aca="false">CRM_Raw!F222</f>
        <v>Trade Show</v>
      </c>
      <c r="G222" s="0" t="str">
        <f aca="false">IF(TRIM(CRM_Raw!G222)="","Unassigned",CRM_Raw!G222)</f>
        <v>J. Murphy</v>
      </c>
      <c r="H222" s="0" t="str">
        <f aca="false">CRM_Raw!H222</f>
        <v>Closed Won</v>
      </c>
      <c r="I222" s="10" t="n">
        <f aca="false">CRM_Raw!I222</f>
        <v>589.5</v>
      </c>
      <c r="J222" s="11" t="n">
        <f aca="false">CRM_Raw!J222</f>
        <v>0.2</v>
      </c>
      <c r="K222" s="10" t="n">
        <f aca="false">I222*(1-J222)</f>
        <v>471.6</v>
      </c>
      <c r="L222" s="12" t="n">
        <f aca="false">CRM_Raw!K222</f>
        <v>9</v>
      </c>
      <c r="M222" s="12" t="n">
        <f aca="false">IF(H222="Closed Won",1,0)</f>
        <v>1</v>
      </c>
    </row>
    <row r="223" customFormat="false" ht="15" hidden="false" customHeight="false" outlineLevel="0" collapsed="false">
      <c r="A223" s="0" t="str">
        <f aca="false">CRM_Raw!A223</f>
        <v>D-10219</v>
      </c>
      <c r="B223" s="0" t="str">
        <f aca="false">CRM_Raw!B223</f>
        <v>2025-11-21</v>
      </c>
      <c r="C223" s="0" t="str">
        <f aca="false">CRM_Raw!C223</f>
        <v>2025-11-24</v>
      </c>
      <c r="D223" s="0" t="str">
        <f aca="false">IF(CRM_Raw!D223="DACH","DACH",IF(ISNUMBER(SEARCH("uk",CRM_Raw!D223)),"UK &amp; Ireland",PROPER(CRM_Raw!D223)))</f>
        <v>France</v>
      </c>
      <c r="E223" s="0" t="str">
        <f aca="false">CRM_Raw!E223</f>
        <v>Small Kitchen Appliances</v>
      </c>
      <c r="F223" s="0" t="str">
        <f aca="false">CRM_Raw!F223</f>
        <v>Web-shop Organic</v>
      </c>
      <c r="G223" s="0" t="str">
        <f aca="false">IF(TRIM(CRM_Raw!G223)="","Unassigned",CRM_Raw!G223)</f>
        <v>T. Wagner</v>
      </c>
      <c r="H223" s="0" t="str">
        <f aca="false">CRM_Raw!H223</f>
        <v>Closed Lost</v>
      </c>
      <c r="I223" s="10" t="n">
        <f aca="false">CRM_Raw!I223</f>
        <v>131.06</v>
      </c>
      <c r="J223" s="11" t="n">
        <f aca="false">CRM_Raw!J223</f>
        <v>0</v>
      </c>
      <c r="K223" s="10" t="n">
        <f aca="false">I223*(1-J223)</f>
        <v>131.06</v>
      </c>
      <c r="L223" s="12" t="n">
        <f aca="false">CRM_Raw!K223</f>
        <v>3</v>
      </c>
      <c r="M223" s="12" t="n">
        <f aca="false">IF(H223="Closed Won",1,0)</f>
        <v>0</v>
      </c>
    </row>
    <row r="224" customFormat="false" ht="15" hidden="false" customHeight="false" outlineLevel="0" collapsed="false">
      <c r="A224" s="0" t="str">
        <f aca="false">CRM_Raw!A224</f>
        <v>D-10220</v>
      </c>
      <c r="B224" s="0" t="str">
        <f aca="false">CRM_Raw!B224</f>
        <v>2025-12-20</v>
      </c>
      <c r="C224" s="0" t="n">
        <f aca="false">CRM_Raw!C224</f>
        <v>0</v>
      </c>
      <c r="D224" s="0" t="str">
        <f aca="false">IF(CRM_Raw!D224="DACH","DACH",IF(ISNUMBER(SEARCH("uk",CRM_Raw!D224)),"UK &amp; Ireland",PROPER(CRM_Raw!D224)))</f>
        <v>Nordics</v>
      </c>
      <c r="E224" s="0" t="str">
        <f aca="false">CRM_Raw!E224</f>
        <v>Small Kitchen Appliances</v>
      </c>
      <c r="F224" s="0" t="str">
        <f aca="false">CRM_Raw!F224</f>
        <v>Social Media Ads</v>
      </c>
      <c r="G224" s="0" t="str">
        <f aca="false">IF(TRIM(CRM_Raw!G224)="","Unassigned",CRM_Raw!G224)</f>
        <v>K. Nilsson</v>
      </c>
      <c r="H224" s="0" t="str">
        <f aca="false">CRM_Raw!H224</f>
        <v>Qualified</v>
      </c>
      <c r="I224" s="10" t="n">
        <f aca="false">CRM_Raw!I224</f>
        <v>133.52</v>
      </c>
      <c r="J224" s="11" t="n">
        <f aca="false">CRM_Raw!J224</f>
        <v>0</v>
      </c>
      <c r="K224" s="10" t="n">
        <f aca="false">I224*(1-J224)</f>
        <v>133.52</v>
      </c>
      <c r="L224" s="12" t="n">
        <f aca="false">CRM_Raw!K224</f>
        <v>0</v>
      </c>
      <c r="M224" s="12" t="n">
        <f aca="false">IF(H224="Closed Won",1,0)</f>
        <v>0</v>
      </c>
    </row>
    <row r="225" customFormat="false" ht="15" hidden="false" customHeight="false" outlineLevel="0" collapsed="false">
      <c r="A225" s="0" t="str">
        <f aca="false">CRM_Raw!A225</f>
        <v>D-10221</v>
      </c>
      <c r="B225" s="0" t="str">
        <f aca="false">CRM_Raw!B225</f>
        <v>2025-09-20</v>
      </c>
      <c r="C225" s="0" t="n">
        <f aca="false">CRM_Raw!C225</f>
        <v>0</v>
      </c>
      <c r="D225" s="0" t="str">
        <f aca="false">IF(CRM_Raw!D225="DACH","DACH",IF(ISNUMBER(SEARCH("uk",CRM_Raw!D225)),"UK &amp; Ireland",PROPER(CRM_Raw!D225)))</f>
        <v>France</v>
      </c>
      <c r="E225" s="0" t="str">
        <f aca="false">CRM_Raw!E225</f>
        <v>Small Kitchen Appliances</v>
      </c>
      <c r="F225" s="0" t="str">
        <f aca="false">CRM_Raw!F225</f>
        <v>Web-shop Organic</v>
      </c>
      <c r="G225" s="0" t="str">
        <f aca="false">IF(TRIM(CRM_Raw!G225)="","Unassigned",CRM_Raw!G225)</f>
        <v>T. Wagner</v>
      </c>
      <c r="H225" s="0" t="str">
        <f aca="false">CRM_Raw!H225</f>
        <v>Negotiation</v>
      </c>
      <c r="I225" s="10" t="n">
        <f aca="false">CRM_Raw!I225</f>
        <v>348</v>
      </c>
      <c r="J225" s="11" t="n">
        <f aca="false">CRM_Raw!J225</f>
        <v>0</v>
      </c>
      <c r="K225" s="10" t="n">
        <f aca="false">I225*(1-J225)</f>
        <v>348</v>
      </c>
      <c r="L225" s="12" t="n">
        <f aca="false">CRM_Raw!K225</f>
        <v>0</v>
      </c>
      <c r="M225" s="12" t="n">
        <f aca="false">IF(H225="Closed Won",1,0)</f>
        <v>0</v>
      </c>
    </row>
    <row r="226" customFormat="false" ht="15" hidden="false" customHeight="false" outlineLevel="0" collapsed="false">
      <c r="A226" s="0" t="str">
        <f aca="false">CRM_Raw!A226</f>
        <v>D-10222</v>
      </c>
      <c r="B226" s="0" t="str">
        <f aca="false">CRM_Raw!B226</f>
        <v>2025-09-03</v>
      </c>
      <c r="C226" s="0" t="str">
        <f aca="false">CRM_Raw!C226</f>
        <v>2025-09-16</v>
      </c>
      <c r="D226" s="0" t="str">
        <f aca="false">IF(CRM_Raw!D226="DACH","DACH",IF(ISNUMBER(SEARCH("uk",CRM_Raw!D226)),"UK &amp; Ireland",PROPER(CRM_Raw!D226)))</f>
        <v>Nordics</v>
      </c>
      <c r="E226" s="0" t="str">
        <f aca="false">CRM_Raw!E226</f>
        <v>Small Kitchen Appliances</v>
      </c>
      <c r="F226" s="0" t="str">
        <f aca="false">CRM_Raw!F226</f>
        <v>Paid Search</v>
      </c>
      <c r="G226" s="0" t="str">
        <f aca="false">IF(TRIM(CRM_Raw!G226)="","Unassigned",CRM_Raw!G226)</f>
        <v>L. Dubois</v>
      </c>
      <c r="H226" s="0" t="str">
        <f aca="false">CRM_Raw!H226</f>
        <v>Closed Won</v>
      </c>
      <c r="I226" s="10" t="n">
        <f aca="false">CRM_Raw!I226</f>
        <v>388.57</v>
      </c>
      <c r="J226" s="11" t="n">
        <f aca="false">CRM_Raw!J226</f>
        <v>0</v>
      </c>
      <c r="K226" s="10" t="n">
        <f aca="false">I226*(1-J226)</f>
        <v>388.57</v>
      </c>
      <c r="L226" s="12" t="n">
        <f aca="false">CRM_Raw!K226</f>
        <v>13</v>
      </c>
      <c r="M226" s="12" t="n">
        <f aca="false">IF(H226="Closed Won",1,0)</f>
        <v>1</v>
      </c>
    </row>
    <row r="227" customFormat="false" ht="15" hidden="false" customHeight="false" outlineLevel="0" collapsed="false">
      <c r="A227" s="0" t="str">
        <f aca="false">CRM_Raw!A227</f>
        <v>D-10223</v>
      </c>
      <c r="B227" s="0" t="str">
        <f aca="false">CRM_Raw!B227</f>
        <v>2025-12-05</v>
      </c>
      <c r="C227" s="0" t="n">
        <f aca="false">CRM_Raw!C227</f>
        <v>0</v>
      </c>
      <c r="D227" s="0" t="str">
        <f aca="false">IF(CRM_Raw!D227="DACH","DACH",IF(ISNUMBER(SEARCH("uk",CRM_Raw!D227)),"UK &amp; Ireland",PROPER(CRM_Raw!D227)))</f>
        <v>Southern Europe</v>
      </c>
      <c r="E227" s="0" t="str">
        <f aca="false">CRM_Raw!E227</f>
        <v>Coffee Systems</v>
      </c>
      <c r="F227" s="0" t="str">
        <f aca="false">CRM_Raw!F227</f>
        <v>Web-shop Organic</v>
      </c>
      <c r="G227" s="0" t="str">
        <f aca="false">IF(TRIM(CRM_Raw!G227)="","Unassigned",CRM_Raw!G227)</f>
        <v>K. Nilsson</v>
      </c>
      <c r="H227" s="0" t="str">
        <f aca="false">CRM_Raw!H227</f>
        <v>Negotiation</v>
      </c>
      <c r="I227" s="10" t="n">
        <f aca="false">CRM_Raw!I227</f>
        <v>479.35</v>
      </c>
      <c r="J227" s="11" t="n">
        <f aca="false">CRM_Raw!J227</f>
        <v>0</v>
      </c>
      <c r="K227" s="10" t="n">
        <f aca="false">I227*(1-J227)</f>
        <v>479.35</v>
      </c>
      <c r="L227" s="12" t="n">
        <f aca="false">CRM_Raw!K227</f>
        <v>0</v>
      </c>
      <c r="M227" s="12" t="n">
        <f aca="false">IF(H227="Closed Won",1,0)</f>
        <v>0</v>
      </c>
    </row>
    <row r="228" customFormat="false" ht="15" hidden="false" customHeight="false" outlineLevel="0" collapsed="false">
      <c r="A228" s="0" t="str">
        <f aca="false">CRM_Raw!A228</f>
        <v>D-10224</v>
      </c>
      <c r="B228" s="0" t="str">
        <f aca="false">CRM_Raw!B228</f>
        <v>2026-05-04</v>
      </c>
      <c r="C228" s="0" t="n">
        <f aca="false">CRM_Raw!C228</f>
        <v>0</v>
      </c>
      <c r="D228" s="0" t="str">
        <f aca="false">IF(CRM_Raw!D228="DACH","DACH",IF(ISNUMBER(SEARCH("uk",CRM_Raw!D228)),"UK &amp; Ireland",PROPER(CRM_Raw!D228)))</f>
        <v>Nordics</v>
      </c>
      <c r="E228" s="0" t="str">
        <f aca="false">CRM_Raw!E228</f>
        <v>Coffee Systems</v>
      </c>
      <c r="F228" s="0" t="str">
        <f aca="false">CRM_Raw!F228</f>
        <v>Paid Search</v>
      </c>
      <c r="G228" s="0" t="str">
        <f aca="false">IF(TRIM(CRM_Raw!G228)="","Unassigned",CRM_Raw!G228)</f>
        <v>T. Wagner</v>
      </c>
      <c r="H228" s="0" t="str">
        <f aca="false">CRM_Raw!H228</f>
        <v>Negotiation</v>
      </c>
      <c r="I228" s="10" t="n">
        <f aca="false">CRM_Raw!I228</f>
        <v>562.1</v>
      </c>
      <c r="J228" s="11" t="n">
        <f aca="false">CRM_Raw!J228</f>
        <v>0</v>
      </c>
      <c r="K228" s="10" t="n">
        <f aca="false">I228*(1-J228)</f>
        <v>562.1</v>
      </c>
      <c r="L228" s="12" t="n">
        <f aca="false">CRM_Raw!K228</f>
        <v>0</v>
      </c>
      <c r="M228" s="12" t="n">
        <f aca="false">IF(H228="Closed Won",1,0)</f>
        <v>0</v>
      </c>
    </row>
    <row r="229" customFormat="false" ht="15" hidden="false" customHeight="false" outlineLevel="0" collapsed="false">
      <c r="A229" s="0" t="str">
        <f aca="false">CRM_Raw!A229</f>
        <v>D-10225</v>
      </c>
      <c r="B229" s="0" t="str">
        <f aca="false">CRM_Raw!B229</f>
        <v>2025-08-26</v>
      </c>
      <c r="C229" s="0" t="str">
        <f aca="false">CRM_Raw!C229</f>
        <v>2025-09-12</v>
      </c>
      <c r="D229" s="0" t="str">
        <f aca="false">IF(CRM_Raw!D229="DACH","DACH",IF(ISNUMBER(SEARCH("uk",CRM_Raw!D229)),"UK &amp; Ireland",PROPER(CRM_Raw!D229)))</f>
        <v>France</v>
      </c>
      <c r="E229" s="0" t="str">
        <f aca="false">CRM_Raw!E229</f>
        <v>Small Kitchen Appliances</v>
      </c>
      <c r="F229" s="0" t="str">
        <f aca="false">CRM_Raw!F229</f>
        <v>Web-shop Organic</v>
      </c>
      <c r="G229" s="0" t="str">
        <f aca="false">IF(TRIM(CRM_Raw!G229)="","Unassigned",CRM_Raw!G229)</f>
        <v>L. Dubois</v>
      </c>
      <c r="H229" s="0" t="str">
        <f aca="false">CRM_Raw!H229</f>
        <v>Closed Lost</v>
      </c>
      <c r="I229" s="10" t="n">
        <f aca="false">CRM_Raw!I229</f>
        <v>136.75</v>
      </c>
      <c r="J229" s="11" t="n">
        <f aca="false">CRM_Raw!J229</f>
        <v>0.05</v>
      </c>
      <c r="K229" s="10" t="n">
        <f aca="false">I229*(1-J229)</f>
        <v>129.9125</v>
      </c>
      <c r="L229" s="12" t="n">
        <f aca="false">CRM_Raw!K229</f>
        <v>17</v>
      </c>
      <c r="M229" s="12" t="n">
        <f aca="false">IF(H229="Closed Won",1,0)</f>
        <v>0</v>
      </c>
    </row>
    <row r="230" customFormat="false" ht="15" hidden="false" customHeight="false" outlineLevel="0" collapsed="false">
      <c r="A230" s="0" t="str">
        <f aca="false">CRM_Raw!A230</f>
        <v>D-10226</v>
      </c>
      <c r="B230" s="0" t="str">
        <f aca="false">CRM_Raw!B230</f>
        <v>2026-02-11</v>
      </c>
      <c r="C230" s="0" t="n">
        <f aca="false">CRM_Raw!C230</f>
        <v>0</v>
      </c>
      <c r="D230" s="0" t="str">
        <f aca="false">IF(CRM_Raw!D230="DACH","DACH",IF(ISNUMBER(SEARCH("uk",CRM_Raw!D230)),"UK &amp; Ireland",PROPER(CRM_Raw!D230)))</f>
        <v>North America</v>
      </c>
      <c r="E230" s="0" t="str">
        <f aca="false">CRM_Raw!E230</f>
        <v>Coffee Systems</v>
      </c>
      <c r="F230" s="0" t="str">
        <f aca="false">CRM_Raw!F230</f>
        <v>Retail Referral</v>
      </c>
      <c r="G230" s="0" t="str">
        <f aca="false">IF(TRIM(CRM_Raw!G230)="","Unassigned",CRM_Raw!G230)</f>
        <v>A. Becker</v>
      </c>
      <c r="H230" s="0" t="str">
        <f aca="false">CRM_Raw!H230</f>
        <v>Proposal Sent</v>
      </c>
      <c r="I230" s="10" t="n">
        <f aca="false">CRM_Raw!I230</f>
        <v>490.18</v>
      </c>
      <c r="J230" s="11" t="n">
        <f aca="false">CRM_Raw!J230</f>
        <v>0</v>
      </c>
      <c r="K230" s="10" t="n">
        <f aca="false">I230*(1-J230)</f>
        <v>490.18</v>
      </c>
      <c r="L230" s="12" t="n">
        <f aca="false">CRM_Raw!K230</f>
        <v>0</v>
      </c>
      <c r="M230" s="12" t="n">
        <f aca="false">IF(H230="Closed Won",1,0)</f>
        <v>0</v>
      </c>
    </row>
    <row r="231" customFormat="false" ht="15" hidden="false" customHeight="false" outlineLevel="0" collapsed="false">
      <c r="A231" s="0" t="str">
        <f aca="false">CRM_Raw!A231</f>
        <v>D-10227</v>
      </c>
      <c r="B231" s="0" t="str">
        <f aca="false">CRM_Raw!B231</f>
        <v>2025-12-10</v>
      </c>
      <c r="C231" s="0" t="str">
        <f aca="false">CRM_Raw!C231</f>
        <v>2025-12-13</v>
      </c>
      <c r="D231" s="0" t="str">
        <f aca="false">IF(CRM_Raw!D231="DACH","DACH",IF(ISNUMBER(SEARCH("uk",CRM_Raw!D231)),"UK &amp; Ireland",PROPER(CRM_Raw!D231)))</f>
        <v>DACH</v>
      </c>
      <c r="E231" s="0" t="str">
        <f aca="false">CRM_Raw!E231</f>
        <v>Cordless Vacuums</v>
      </c>
      <c r="F231" s="0" t="str">
        <f aca="false">CRM_Raw!F231</f>
        <v>Social Media Ads</v>
      </c>
      <c r="G231" s="0" t="str">
        <f aca="false">IF(TRIM(CRM_Raw!G231)="","Unassigned",CRM_Raw!G231)</f>
        <v>L. Dubois</v>
      </c>
      <c r="H231" s="0" t="str">
        <f aca="false">CRM_Raw!H231</f>
        <v>Closed Won</v>
      </c>
      <c r="I231" s="10" t="n">
        <f aca="false">CRM_Raw!I231</f>
        <v>1225.11</v>
      </c>
      <c r="J231" s="11" t="n">
        <f aca="false">CRM_Raw!J231</f>
        <v>0.1</v>
      </c>
      <c r="K231" s="10" t="n">
        <f aca="false">I231*(1-J231)</f>
        <v>1102.599</v>
      </c>
      <c r="L231" s="12" t="n">
        <f aca="false">CRM_Raw!K231</f>
        <v>3</v>
      </c>
      <c r="M231" s="12" t="n">
        <f aca="false">IF(H231="Closed Won",1,0)</f>
        <v>1</v>
      </c>
    </row>
    <row r="232" customFormat="false" ht="15" hidden="false" customHeight="false" outlineLevel="0" collapsed="false">
      <c r="A232" s="0" t="str">
        <f aca="false">CRM_Raw!A232</f>
        <v>D-10228</v>
      </c>
      <c r="B232" s="0" t="str">
        <f aca="false">CRM_Raw!B232</f>
        <v>2025-10-07</v>
      </c>
      <c r="C232" s="0" t="str">
        <f aca="false">CRM_Raw!C232</f>
        <v>2025-11-01</v>
      </c>
      <c r="D232" s="0" t="str">
        <f aca="false">IF(CRM_Raw!D232="DACH","DACH",IF(ISNUMBER(SEARCH("uk",CRM_Raw!D232)),"UK &amp; Ireland",PROPER(CRM_Raw!D232)))</f>
        <v>Benelux</v>
      </c>
      <c r="E232" s="0" t="str">
        <f aca="false">CRM_Raw!E232</f>
        <v>Coffee Systems</v>
      </c>
      <c r="F232" s="0" t="str">
        <f aca="false">CRM_Raw!F232</f>
        <v>Retail Referral</v>
      </c>
      <c r="G232" s="0" t="str">
        <f aca="false">IF(TRIM(CRM_Raw!G232)="","Unassigned",CRM_Raw!G232)</f>
        <v>T. Wagner</v>
      </c>
      <c r="H232" s="0" t="str">
        <f aca="false">CRM_Raw!H232</f>
        <v>Closed Won</v>
      </c>
      <c r="I232" s="10" t="n">
        <f aca="false">CRM_Raw!I232</f>
        <v>524.6</v>
      </c>
      <c r="J232" s="11" t="n">
        <f aca="false">CRM_Raw!J232</f>
        <v>0.15</v>
      </c>
      <c r="K232" s="10" t="n">
        <f aca="false">I232*(1-J232)</f>
        <v>445.91</v>
      </c>
      <c r="L232" s="12" t="n">
        <f aca="false">CRM_Raw!K232</f>
        <v>25</v>
      </c>
      <c r="M232" s="12" t="n">
        <f aca="false">IF(H232="Closed Won",1,0)</f>
        <v>1</v>
      </c>
    </row>
    <row r="233" customFormat="false" ht="15" hidden="false" customHeight="false" outlineLevel="0" collapsed="false">
      <c r="A233" s="0" t="str">
        <f aca="false">CRM_Raw!A233</f>
        <v>D-10229</v>
      </c>
      <c r="B233" s="0" t="str">
        <f aca="false">CRM_Raw!B233</f>
        <v>2025-07-17</v>
      </c>
      <c r="C233" s="0" t="str">
        <f aca="false">CRM_Raw!C233</f>
        <v>2025-08-10</v>
      </c>
      <c r="D233" s="0" t="str">
        <f aca="false">IF(CRM_Raw!D233="DACH","DACH",IF(ISNUMBER(SEARCH("uk",CRM_Raw!D233)),"UK &amp; Ireland",PROPER(CRM_Raw!D233)))</f>
        <v>UK &amp; Ireland</v>
      </c>
      <c r="E233" s="0" t="str">
        <f aca="false">CRM_Raw!E233</f>
        <v>Smart Ovens</v>
      </c>
      <c r="F233" s="0" t="str">
        <f aca="false">CRM_Raw!F233</f>
        <v>Affiliate Partner</v>
      </c>
      <c r="G233" s="0" t="str">
        <f aca="false">IF(TRIM(CRM_Raw!G233)="","Unassigned",CRM_Raw!G233)</f>
        <v>J. Murphy</v>
      </c>
      <c r="H233" s="0" t="str">
        <f aca="false">CRM_Raw!H233</f>
        <v>Closed Won</v>
      </c>
      <c r="I233" s="10" t="n">
        <f aca="false">CRM_Raw!I233</f>
        <v>1882.35</v>
      </c>
      <c r="J233" s="11" t="n">
        <f aca="false">CRM_Raw!J233</f>
        <v>0.2</v>
      </c>
      <c r="K233" s="10" t="n">
        <f aca="false">I233*(1-J233)</f>
        <v>1505.88</v>
      </c>
      <c r="L233" s="12" t="n">
        <f aca="false">CRM_Raw!K233</f>
        <v>24</v>
      </c>
      <c r="M233" s="12" t="n">
        <f aca="false">IF(H233="Closed Won",1,0)</f>
        <v>1</v>
      </c>
    </row>
    <row r="234" customFormat="false" ht="15" hidden="false" customHeight="false" outlineLevel="0" collapsed="false">
      <c r="A234" s="0" t="str">
        <f aca="false">CRM_Raw!A234</f>
        <v>D-10230</v>
      </c>
      <c r="B234" s="0" t="str">
        <f aca="false">CRM_Raw!B234</f>
        <v>2025-04-08</v>
      </c>
      <c r="C234" s="0" t="str">
        <f aca="false">CRM_Raw!C234</f>
        <v>2025-05-04</v>
      </c>
      <c r="D234" s="0" t="str">
        <f aca="false">IF(CRM_Raw!D234="DACH","DACH",IF(ISNUMBER(SEARCH("uk",CRM_Raw!D234)),"UK &amp; Ireland",PROPER(CRM_Raw!D234)))</f>
        <v>Benelux</v>
      </c>
      <c r="E234" s="0" t="str">
        <f aca="false">CRM_Raw!E234</f>
        <v>Washing Machines</v>
      </c>
      <c r="F234" s="0" t="str">
        <f aca="false">CRM_Raw!F234</f>
        <v>Paid Search</v>
      </c>
      <c r="G234" s="0" t="str">
        <f aca="false">IF(TRIM(CRM_Raw!G234)="","Unassigned",CRM_Raw!G234)</f>
        <v>K. Nilsson</v>
      </c>
      <c r="H234" s="0" t="str">
        <f aca="false">CRM_Raw!H234</f>
        <v>Closed Won</v>
      </c>
      <c r="I234" s="10" t="n">
        <f aca="false">CRM_Raw!I234</f>
        <v>634.03</v>
      </c>
      <c r="J234" s="11" t="n">
        <f aca="false">CRM_Raw!J234</f>
        <v>0.05</v>
      </c>
      <c r="K234" s="10" t="n">
        <f aca="false">I234*(1-J234)</f>
        <v>602.3285</v>
      </c>
      <c r="L234" s="12" t="n">
        <f aca="false">CRM_Raw!K234</f>
        <v>26</v>
      </c>
      <c r="M234" s="12" t="n">
        <f aca="false">IF(H234="Closed Won",1,0)</f>
        <v>1</v>
      </c>
    </row>
    <row r="235" customFormat="false" ht="15" hidden="false" customHeight="false" outlineLevel="0" collapsed="false">
      <c r="A235" s="0" t="str">
        <f aca="false">CRM_Raw!A235</f>
        <v>D-10231</v>
      </c>
      <c r="B235" s="0" t="str">
        <f aca="false">CRM_Raw!B235</f>
        <v>2025-11-06</v>
      </c>
      <c r="C235" s="0" t="str">
        <f aca="false">CRM_Raw!C235</f>
        <v>2025-12-03</v>
      </c>
      <c r="D235" s="0" t="str">
        <f aca="false">IF(CRM_Raw!D235="DACH","DACH",IF(ISNUMBER(SEARCH("uk",CRM_Raw!D235)),"UK &amp; Ireland",PROPER(CRM_Raw!D235)))</f>
        <v>UK &amp; Ireland</v>
      </c>
      <c r="E235" s="0" t="str">
        <f aca="false">CRM_Raw!E235</f>
        <v>Dishwashers</v>
      </c>
      <c r="F235" s="0" t="str">
        <f aca="false">CRM_Raw!F235</f>
        <v>Email Campaign</v>
      </c>
      <c r="G235" s="0" t="str">
        <f aca="false">IF(TRIM(CRM_Raw!G235)="","Unassigned",CRM_Raw!G235)</f>
        <v>P. Rossi</v>
      </c>
      <c r="H235" s="0" t="str">
        <f aca="false">CRM_Raw!H235</f>
        <v>Closed Lost</v>
      </c>
      <c r="I235" s="10" t="n">
        <f aca="false">CRM_Raw!I235</f>
        <v>735.34</v>
      </c>
      <c r="J235" s="11" t="n">
        <f aca="false">CRM_Raw!J235</f>
        <v>0.15</v>
      </c>
      <c r="K235" s="10" t="n">
        <f aca="false">I235*(1-J235)</f>
        <v>625.039</v>
      </c>
      <c r="L235" s="12" t="n">
        <f aca="false">CRM_Raw!K235</f>
        <v>27</v>
      </c>
      <c r="M235" s="12" t="n">
        <f aca="false">IF(H235="Closed Won",1,0)</f>
        <v>0</v>
      </c>
    </row>
    <row r="236" customFormat="false" ht="15" hidden="false" customHeight="false" outlineLevel="0" collapsed="false">
      <c r="A236" s="0" t="str">
        <f aca="false">CRM_Raw!A236</f>
        <v>D-10232</v>
      </c>
      <c r="B236" s="0" t="str">
        <f aca="false">CRM_Raw!B236</f>
        <v>2026-04-22</v>
      </c>
      <c r="C236" s="0" t="str">
        <f aca="false">CRM_Raw!C236</f>
        <v>2026-05-04</v>
      </c>
      <c r="D236" s="0" t="str">
        <f aca="false">IF(CRM_Raw!D236="DACH","DACH",IF(ISNUMBER(SEARCH("uk",CRM_Raw!D236)),"UK &amp; Ireland",PROPER(CRM_Raw!D236)))</f>
        <v>France</v>
      </c>
      <c r="E236" s="0" t="str">
        <f aca="false">CRM_Raw!E236</f>
        <v>Small Kitchen Appliances</v>
      </c>
      <c r="F236" s="0" t="str">
        <f aca="false">CRM_Raw!F236</f>
        <v>Web-shop Organic</v>
      </c>
      <c r="G236" s="0" t="str">
        <f aca="false">IF(TRIM(CRM_Raw!G236)="","Unassigned",CRM_Raw!G236)</f>
        <v>L. Dubois</v>
      </c>
      <c r="H236" s="0" t="str">
        <f aca="false">CRM_Raw!H236</f>
        <v>Closed Won</v>
      </c>
      <c r="I236" s="10" t="n">
        <f aca="false">CRM_Raw!I236</f>
        <v>136.21</v>
      </c>
      <c r="J236" s="11" t="n">
        <f aca="false">CRM_Raw!J236</f>
        <v>0.15</v>
      </c>
      <c r="K236" s="10" t="n">
        <f aca="false">I236*(1-J236)</f>
        <v>115.7785</v>
      </c>
      <c r="L236" s="12" t="n">
        <f aca="false">CRM_Raw!K236</f>
        <v>12</v>
      </c>
      <c r="M236" s="12" t="n">
        <f aca="false">IF(H236="Closed Won",1,0)</f>
        <v>1</v>
      </c>
    </row>
    <row r="237" customFormat="false" ht="15" hidden="false" customHeight="false" outlineLevel="0" collapsed="false">
      <c r="A237" s="0" t="str">
        <f aca="false">CRM_Raw!A237</f>
        <v>D-10233</v>
      </c>
      <c r="B237" s="0" t="str">
        <f aca="false">CRM_Raw!B237</f>
        <v>2026-01-12</v>
      </c>
      <c r="C237" s="0" t="str">
        <f aca="false">CRM_Raw!C237</f>
        <v>2026-02-07</v>
      </c>
      <c r="D237" s="0" t="str">
        <f aca="false">IF(CRM_Raw!D237="DACH","DACH",IF(ISNUMBER(SEARCH("uk",CRM_Raw!D237)),"UK &amp; Ireland",PROPER(CRM_Raw!D237)))</f>
        <v>DACH</v>
      </c>
      <c r="E237" s="0" t="str">
        <f aca="false">CRM_Raw!E237</f>
        <v>Small Kitchen Appliances</v>
      </c>
      <c r="F237" s="0" t="str">
        <f aca="false">CRM_Raw!F237</f>
        <v>Retail Referral</v>
      </c>
      <c r="G237" s="0" t="str">
        <f aca="false">IF(TRIM(CRM_Raw!G237)="","Unassigned",CRM_Raw!G237)</f>
        <v>J. Murphy</v>
      </c>
      <c r="H237" s="0" t="str">
        <f aca="false">CRM_Raw!H237</f>
        <v>Closed Lost</v>
      </c>
      <c r="I237" s="10" t="n">
        <f aca="false">CRM_Raw!I237</f>
        <v>116.15</v>
      </c>
      <c r="J237" s="11" t="n">
        <f aca="false">CRM_Raw!J237</f>
        <v>0.05</v>
      </c>
      <c r="K237" s="10" t="n">
        <f aca="false">I237*(1-J237)</f>
        <v>110.3425</v>
      </c>
      <c r="L237" s="12" t="n">
        <f aca="false">CRM_Raw!K237</f>
        <v>26</v>
      </c>
      <c r="M237" s="12" t="n">
        <f aca="false">IF(H237="Closed Won",1,0)</f>
        <v>0</v>
      </c>
    </row>
    <row r="238" customFormat="false" ht="15" hidden="false" customHeight="false" outlineLevel="0" collapsed="false">
      <c r="A238" s="0" t="str">
        <f aca="false">CRM_Raw!A238</f>
        <v>D-10234</v>
      </c>
      <c r="B238" s="0" t="str">
        <f aca="false">CRM_Raw!B238</f>
        <v>2026-03-02</v>
      </c>
      <c r="C238" s="0" t="n">
        <f aca="false">CRM_Raw!C238</f>
        <v>0</v>
      </c>
      <c r="D238" s="0" t="str">
        <f aca="false">IF(CRM_Raw!D238="DACH","DACH",IF(ISNUMBER(SEARCH("uk",CRM_Raw!D238)),"UK &amp; Ireland",PROPER(CRM_Raw!D238)))</f>
        <v>UK &amp; Ireland</v>
      </c>
      <c r="E238" s="0" t="str">
        <f aca="false">CRM_Raw!E238</f>
        <v>Dishwashers</v>
      </c>
      <c r="F238" s="0" t="str">
        <f aca="false">CRM_Raw!F238</f>
        <v>Affiliate Partner</v>
      </c>
      <c r="G238" s="0" t="str">
        <f aca="false">IF(TRIM(CRM_Raw!G238)="","Unassigned",CRM_Raw!G238)</f>
        <v>P. Rossi</v>
      </c>
      <c r="H238" s="0" t="str">
        <f aca="false">CRM_Raw!H238</f>
        <v>Negotiation</v>
      </c>
      <c r="I238" s="10" t="n">
        <f aca="false">CRM_Raw!I238</f>
        <v>2381.69</v>
      </c>
      <c r="J238" s="11" t="n">
        <f aca="false">CRM_Raw!J238</f>
        <v>0.2</v>
      </c>
      <c r="K238" s="10" t="n">
        <f aca="false">I238*(1-J238)</f>
        <v>1905.352</v>
      </c>
      <c r="L238" s="12" t="n">
        <f aca="false">CRM_Raw!K238</f>
        <v>0</v>
      </c>
      <c r="M238" s="12" t="n">
        <f aca="false">IF(H238="Closed Won",1,0)</f>
        <v>0</v>
      </c>
    </row>
    <row r="239" customFormat="false" ht="15" hidden="false" customHeight="false" outlineLevel="0" collapsed="false">
      <c r="A239" s="0" t="str">
        <f aca="false">CRM_Raw!A239</f>
        <v>D-10235</v>
      </c>
      <c r="B239" s="0" t="str">
        <f aca="false">CRM_Raw!B239</f>
        <v>2026-04-03</v>
      </c>
      <c r="C239" s="0" t="str">
        <f aca="false">CRM_Raw!C239</f>
        <v>2026-04-11</v>
      </c>
      <c r="D239" s="0" t="str">
        <f aca="false">IF(CRM_Raw!D239="DACH","DACH",IF(ISNUMBER(SEARCH("uk",CRM_Raw!D239)),"UK &amp; Ireland",PROPER(CRM_Raw!D239)))</f>
        <v>Southern Europe</v>
      </c>
      <c r="E239" s="0" t="str">
        <f aca="false">CRM_Raw!E239</f>
        <v>Coffee Systems</v>
      </c>
      <c r="F239" s="0" t="str">
        <f aca="false">CRM_Raw!F239</f>
        <v>Email Campaign</v>
      </c>
      <c r="G239" s="0" t="str">
        <f aca="false">IF(TRIM(CRM_Raw!G239)="","Unassigned",CRM_Raw!G239)</f>
        <v>L. Dubois</v>
      </c>
      <c r="H239" s="0" t="str">
        <f aca="false">CRM_Raw!H239</f>
        <v>Closed Lost</v>
      </c>
      <c r="I239" s="10" t="n">
        <f aca="false">CRM_Raw!I239</f>
        <v>1442.46</v>
      </c>
      <c r="J239" s="11" t="n">
        <f aca="false">CRM_Raw!J239</f>
        <v>0.1</v>
      </c>
      <c r="K239" s="10" t="n">
        <f aca="false">I239*(1-J239)</f>
        <v>1298.214</v>
      </c>
      <c r="L239" s="12" t="n">
        <f aca="false">CRM_Raw!K239</f>
        <v>8</v>
      </c>
      <c r="M239" s="12" t="n">
        <f aca="false">IF(H239="Closed Won",1,0)</f>
        <v>0</v>
      </c>
    </row>
    <row r="240" customFormat="false" ht="15" hidden="false" customHeight="false" outlineLevel="0" collapsed="false">
      <c r="A240" s="0" t="str">
        <f aca="false">CRM_Raw!A240</f>
        <v>D-10236</v>
      </c>
      <c r="B240" s="0" t="str">
        <f aca="false">CRM_Raw!B240</f>
        <v>2025-12-02</v>
      </c>
      <c r="C240" s="0" t="n">
        <f aca="false">CRM_Raw!C240</f>
        <v>0</v>
      </c>
      <c r="D240" s="0" t="str">
        <f aca="false">IF(CRM_Raw!D240="DACH","DACH",IF(ISNUMBER(SEARCH("uk",CRM_Raw!D240)),"UK &amp; Ireland",PROPER(CRM_Raw!D240)))</f>
        <v>UK &amp; Ireland</v>
      </c>
      <c r="E240" s="0" t="str">
        <f aca="false">CRM_Raw!E240</f>
        <v>Washing Machines</v>
      </c>
      <c r="F240" s="0" t="str">
        <f aca="false">CRM_Raw!F240</f>
        <v>Social Media Ads</v>
      </c>
      <c r="G240" s="0" t="str">
        <f aca="false">IF(TRIM(CRM_Raw!G240)="","Unassigned",CRM_Raw!G240)</f>
        <v>M. Hoffmann</v>
      </c>
      <c r="H240" s="0" t="str">
        <f aca="false">CRM_Raw!H240</f>
        <v>Proposal Sent</v>
      </c>
      <c r="I240" s="10" t="n">
        <f aca="false">CRM_Raw!I240</f>
        <v>665.18</v>
      </c>
      <c r="J240" s="11" t="n">
        <f aca="false">CRM_Raw!J240</f>
        <v>0.15</v>
      </c>
      <c r="K240" s="10" t="n">
        <f aca="false">I240*(1-J240)</f>
        <v>565.403</v>
      </c>
      <c r="L240" s="12" t="n">
        <f aca="false">CRM_Raw!K240</f>
        <v>0</v>
      </c>
      <c r="M240" s="12" t="n">
        <f aca="false">IF(H240="Closed Won",1,0)</f>
        <v>0</v>
      </c>
    </row>
    <row r="241" customFormat="false" ht="15" hidden="false" customHeight="false" outlineLevel="0" collapsed="false">
      <c r="A241" s="0" t="str">
        <f aca="false">CRM_Raw!A241</f>
        <v>D-10237</v>
      </c>
      <c r="B241" s="0" t="str">
        <f aca="false">CRM_Raw!B241</f>
        <v>2025-02-26</v>
      </c>
      <c r="C241" s="0" t="str">
        <f aca="false">CRM_Raw!C241</f>
        <v>2025-04-03</v>
      </c>
      <c r="D241" s="0" t="str">
        <f aca="false">IF(CRM_Raw!D241="DACH","DACH",IF(ISNUMBER(SEARCH("uk",CRM_Raw!D241)),"UK &amp; Ireland",PROPER(CRM_Raw!D241)))</f>
        <v>Nordics</v>
      </c>
      <c r="E241" s="0" t="str">
        <f aca="false">CRM_Raw!E241</f>
        <v>Dishwashers</v>
      </c>
      <c r="F241" s="0" t="str">
        <f aca="false">CRM_Raw!F241</f>
        <v>Web-shop Organic</v>
      </c>
      <c r="G241" s="0" t="str">
        <f aca="false">IF(TRIM(CRM_Raw!G241)="","Unassigned",CRM_Raw!G241)</f>
        <v>T. Wagner</v>
      </c>
      <c r="H241" s="0" t="str">
        <f aca="false">CRM_Raw!H241</f>
        <v>Closed Lost</v>
      </c>
      <c r="I241" s="10" t="n">
        <f aca="false">CRM_Raw!I241</f>
        <v>1450.13</v>
      </c>
      <c r="J241" s="11" t="n">
        <f aca="false">CRM_Raw!J241</f>
        <v>0.1</v>
      </c>
      <c r="K241" s="10" t="n">
        <f aca="false">I241*(1-J241)</f>
        <v>1305.117</v>
      </c>
      <c r="L241" s="12" t="n">
        <f aca="false">CRM_Raw!K241</f>
        <v>36</v>
      </c>
      <c r="M241" s="12" t="n">
        <f aca="false">IF(H241="Closed Won",1,0)</f>
        <v>0</v>
      </c>
    </row>
    <row r="242" customFormat="false" ht="15" hidden="false" customHeight="false" outlineLevel="0" collapsed="false">
      <c r="A242" s="0" t="str">
        <f aca="false">CRM_Raw!A242</f>
        <v>D-10238</v>
      </c>
      <c r="B242" s="0" t="str">
        <f aca="false">CRM_Raw!B242</f>
        <v>2025-01-23</v>
      </c>
      <c r="C242" s="0" t="str">
        <f aca="false">CRM_Raw!C242</f>
        <v>2025-02-19</v>
      </c>
      <c r="D242" s="0" t="str">
        <f aca="false">IF(CRM_Raw!D242="DACH","DACH",IF(ISNUMBER(SEARCH("uk",CRM_Raw!D242)),"UK &amp; Ireland",PROPER(CRM_Raw!D242)))</f>
        <v>DACH</v>
      </c>
      <c r="E242" s="0" t="str">
        <f aca="false">CRM_Raw!E242</f>
        <v>Washing Machines</v>
      </c>
      <c r="F242" s="0" t="str">
        <f aca="false">CRM_Raw!F242</f>
        <v>Social Media Ads</v>
      </c>
      <c r="G242" s="0" t="str">
        <f aca="false">IF(TRIM(CRM_Raw!G242)="","Unassigned",CRM_Raw!G242)</f>
        <v>J. Murphy</v>
      </c>
      <c r="H242" s="0" t="str">
        <f aca="false">CRM_Raw!H242</f>
        <v>Closed Lost</v>
      </c>
      <c r="I242" s="10" t="n">
        <f aca="false">CRM_Raw!I242</f>
        <v>687.13</v>
      </c>
      <c r="J242" s="11" t="n">
        <f aca="false">CRM_Raw!J242</f>
        <v>0.05</v>
      </c>
      <c r="K242" s="10" t="n">
        <f aca="false">I242*(1-J242)</f>
        <v>652.7735</v>
      </c>
      <c r="L242" s="12" t="n">
        <f aca="false">CRM_Raw!K242</f>
        <v>27</v>
      </c>
      <c r="M242" s="12" t="n">
        <f aca="false">IF(H242="Closed Won",1,0)</f>
        <v>0</v>
      </c>
    </row>
    <row r="243" customFormat="false" ht="15" hidden="false" customHeight="false" outlineLevel="0" collapsed="false">
      <c r="A243" s="0" t="str">
        <f aca="false">CRM_Raw!A243</f>
        <v>D-10239</v>
      </c>
      <c r="B243" s="0" t="str">
        <f aca="false">CRM_Raw!B243</f>
        <v>2025-03-12</v>
      </c>
      <c r="C243" s="0" t="n">
        <f aca="false">CRM_Raw!C243</f>
        <v>0</v>
      </c>
      <c r="D243" s="0" t="str">
        <f aca="false">IF(CRM_Raw!D243="DACH","DACH",IF(ISNUMBER(SEARCH("uk",CRM_Raw!D243)),"UK &amp; Ireland",PROPER(CRM_Raw!D243)))</f>
        <v>France</v>
      </c>
      <c r="E243" s="0" t="str">
        <f aca="false">CRM_Raw!E243</f>
        <v>Small Kitchen Appliances</v>
      </c>
      <c r="F243" s="0" t="str">
        <f aca="false">CRM_Raw!F243</f>
        <v>Web-shop Organic</v>
      </c>
      <c r="G243" s="0" t="str">
        <f aca="false">IF(TRIM(CRM_Raw!G243)="","Unassigned",CRM_Raw!G243)</f>
        <v>A. Becker</v>
      </c>
      <c r="H243" s="0" t="str">
        <f aca="false">CRM_Raw!H243</f>
        <v>Qualified</v>
      </c>
      <c r="I243" s="10" t="n">
        <f aca="false">CRM_Raw!I243</f>
        <v>123.66</v>
      </c>
      <c r="J243" s="11" t="n">
        <f aca="false">CRM_Raw!J243</f>
        <v>0.05</v>
      </c>
      <c r="K243" s="10" t="n">
        <f aca="false">I243*(1-J243)</f>
        <v>117.477</v>
      </c>
      <c r="L243" s="12" t="n">
        <f aca="false">CRM_Raw!K243</f>
        <v>0</v>
      </c>
      <c r="M243" s="12" t="n">
        <f aca="false">IF(H243="Closed Won",1,0)</f>
        <v>0</v>
      </c>
    </row>
    <row r="244" customFormat="false" ht="15" hidden="false" customHeight="false" outlineLevel="0" collapsed="false">
      <c r="A244" s="0" t="str">
        <f aca="false">CRM_Raw!A244</f>
        <v>D-10240</v>
      </c>
      <c r="B244" s="0" t="str">
        <f aca="false">CRM_Raw!B244</f>
        <v>2026-01-19</v>
      </c>
      <c r="C244" s="0" t="n">
        <f aca="false">CRM_Raw!C244</f>
        <v>0</v>
      </c>
      <c r="D244" s="0" t="str">
        <f aca="false">IF(CRM_Raw!D244="DACH","DACH",IF(ISNUMBER(SEARCH("uk",CRM_Raw!D244)),"UK &amp; Ireland",PROPER(CRM_Raw!D244)))</f>
        <v>UK &amp; Ireland</v>
      </c>
      <c r="E244" s="0" t="str">
        <f aca="false">CRM_Raw!E244</f>
        <v>Coffee Systems</v>
      </c>
      <c r="F244" s="0" t="str">
        <f aca="false">CRM_Raw!F244</f>
        <v>Email Campaign</v>
      </c>
      <c r="G244" s="0" t="str">
        <f aca="false">IF(TRIM(CRM_Raw!G244)="","Unassigned",CRM_Raw!G244)</f>
        <v>K. Nilsson</v>
      </c>
      <c r="H244" s="0" t="str">
        <f aca="false">CRM_Raw!H244</f>
        <v>Qualified</v>
      </c>
      <c r="I244" s="10" t="n">
        <f aca="false">CRM_Raw!I244</f>
        <v>1029.89</v>
      </c>
      <c r="J244" s="11" t="n">
        <f aca="false">CRM_Raw!J244</f>
        <v>0.05</v>
      </c>
      <c r="K244" s="10" t="n">
        <f aca="false">I244*(1-J244)</f>
        <v>978.3955</v>
      </c>
      <c r="L244" s="12" t="n">
        <f aca="false">CRM_Raw!K244</f>
        <v>0</v>
      </c>
      <c r="M244" s="12" t="n">
        <f aca="false">IF(H244="Closed Won",1,0)</f>
        <v>0</v>
      </c>
    </row>
    <row r="245" customFormat="false" ht="15" hidden="false" customHeight="false" outlineLevel="0" collapsed="false">
      <c r="A245" s="0" t="str">
        <f aca="false">CRM_Raw!A245</f>
        <v>D-10241</v>
      </c>
      <c r="B245" s="0" t="str">
        <f aca="false">CRM_Raw!B245</f>
        <v>2025-12-23</v>
      </c>
      <c r="C245" s="0" t="str">
        <f aca="false">CRM_Raw!C245</f>
        <v>2025-12-30</v>
      </c>
      <c r="D245" s="0" t="str">
        <f aca="false">IF(CRM_Raw!D245="DACH","DACH",IF(ISNUMBER(SEARCH("uk",CRM_Raw!D245)),"UK &amp; Ireland",PROPER(CRM_Raw!D245)))</f>
        <v>DACH</v>
      </c>
      <c r="E245" s="0" t="str">
        <f aca="false">CRM_Raw!E245</f>
        <v>Small Kitchen Appliances</v>
      </c>
      <c r="F245" s="0" t="str">
        <f aca="false">CRM_Raw!F245</f>
        <v>Trade Show</v>
      </c>
      <c r="G245" s="0" t="str">
        <f aca="false">IF(TRIM(CRM_Raw!G245)="","Unassigned",CRM_Raw!G245)</f>
        <v>M. Hoffmann</v>
      </c>
      <c r="H245" s="0" t="str">
        <f aca="false">CRM_Raw!H245</f>
        <v>Closed Won</v>
      </c>
      <c r="I245" s="10" t="n">
        <f aca="false">CRM_Raw!I245</f>
        <v>278.22</v>
      </c>
      <c r="J245" s="11" t="n">
        <f aca="false">CRM_Raw!J245</f>
        <v>0.1</v>
      </c>
      <c r="K245" s="10" t="n">
        <f aca="false">I245*(1-J245)</f>
        <v>250.398</v>
      </c>
      <c r="L245" s="12" t="n">
        <f aca="false">CRM_Raw!K245</f>
        <v>7</v>
      </c>
      <c r="M245" s="12" t="n">
        <f aca="false">IF(H245="Closed Won",1,0)</f>
        <v>1</v>
      </c>
    </row>
    <row r="246" customFormat="false" ht="15" hidden="false" customHeight="false" outlineLevel="0" collapsed="false">
      <c r="A246" s="0" t="str">
        <f aca="false">CRM_Raw!A246</f>
        <v>D-10242</v>
      </c>
      <c r="B246" s="0" t="str">
        <f aca="false">CRM_Raw!B246</f>
        <v>2025-01-24</v>
      </c>
      <c r="C246" s="0" t="n">
        <f aca="false">CRM_Raw!C246</f>
        <v>0</v>
      </c>
      <c r="D246" s="0" t="str">
        <f aca="false">IF(CRM_Raw!D246="DACH","DACH",IF(ISNUMBER(SEARCH("uk",CRM_Raw!D246)),"UK &amp; Ireland",PROPER(CRM_Raw!D246)))</f>
        <v>UK &amp; Ireland</v>
      </c>
      <c r="E246" s="0" t="str">
        <f aca="false">CRM_Raw!E246</f>
        <v>Small Kitchen Appliances</v>
      </c>
      <c r="F246" s="0" t="str">
        <f aca="false">CRM_Raw!F246</f>
        <v>Trade Show</v>
      </c>
      <c r="G246" s="0" t="str">
        <f aca="false">IF(TRIM(CRM_Raw!G246)="","Unassigned",CRM_Raw!G246)</f>
        <v>A. Becker</v>
      </c>
      <c r="H246" s="0" t="str">
        <f aca="false">CRM_Raw!H246</f>
        <v>Qualified</v>
      </c>
      <c r="I246" s="10" t="n">
        <f aca="false">CRM_Raw!I246</f>
        <v>370.16</v>
      </c>
      <c r="J246" s="11" t="n">
        <f aca="false">CRM_Raw!J246</f>
        <v>0.05</v>
      </c>
      <c r="K246" s="10" t="n">
        <f aca="false">I246*(1-J246)</f>
        <v>351.652</v>
      </c>
      <c r="L246" s="12" t="n">
        <f aca="false">CRM_Raw!K246</f>
        <v>0</v>
      </c>
      <c r="M246" s="12" t="n">
        <f aca="false">IF(H246="Closed Won",1,0)</f>
        <v>0</v>
      </c>
    </row>
    <row r="247" customFormat="false" ht="15" hidden="false" customHeight="false" outlineLevel="0" collapsed="false">
      <c r="A247" s="0" t="str">
        <f aca="false">CRM_Raw!A247</f>
        <v>D-10243</v>
      </c>
      <c r="B247" s="0" t="str">
        <f aca="false">CRM_Raw!B247</f>
        <v>2026-04-17</v>
      </c>
      <c r="C247" s="0" t="str">
        <f aca="false">CRM_Raw!C247</f>
        <v>2026-05-04</v>
      </c>
      <c r="D247" s="0" t="str">
        <f aca="false">IF(CRM_Raw!D247="DACH","DACH",IF(ISNUMBER(SEARCH("uk",CRM_Raw!D247)),"UK &amp; Ireland",PROPER(CRM_Raw!D247)))</f>
        <v>Nordics</v>
      </c>
      <c r="E247" s="0" t="str">
        <f aca="false">CRM_Raw!E247</f>
        <v>Dishwashers</v>
      </c>
      <c r="F247" s="0" t="str">
        <f aca="false">CRM_Raw!F247</f>
        <v>Email Campaign</v>
      </c>
      <c r="G247" s="0" t="str">
        <f aca="false">IF(TRIM(CRM_Raw!G247)="","Unassigned",CRM_Raw!G247)</f>
        <v>S. Andersson</v>
      </c>
      <c r="H247" s="0" t="str">
        <f aca="false">CRM_Raw!H247</f>
        <v>Closed Won</v>
      </c>
      <c r="I247" s="10" t="n">
        <f aca="false">CRM_Raw!I247</f>
        <v>761.55</v>
      </c>
      <c r="J247" s="11" t="n">
        <f aca="false">CRM_Raw!J247</f>
        <v>0</v>
      </c>
      <c r="K247" s="10" t="n">
        <f aca="false">I247*(1-J247)</f>
        <v>761.55</v>
      </c>
      <c r="L247" s="12" t="n">
        <f aca="false">CRM_Raw!K247</f>
        <v>17</v>
      </c>
      <c r="M247" s="12" t="n">
        <f aca="false">IF(H247="Closed Won",1,0)</f>
        <v>1</v>
      </c>
    </row>
    <row r="248" customFormat="false" ht="15" hidden="false" customHeight="false" outlineLevel="0" collapsed="false">
      <c r="A248" s="0" t="str">
        <f aca="false">CRM_Raw!A248</f>
        <v>D-10244</v>
      </c>
      <c r="B248" s="0" t="str">
        <f aca="false">CRM_Raw!B248</f>
        <v>2025-09-04</v>
      </c>
      <c r="C248" s="0" t="str">
        <f aca="false">CRM_Raw!C248</f>
        <v>2025-10-15</v>
      </c>
      <c r="D248" s="0" t="str">
        <f aca="false">IF(CRM_Raw!D248="DACH","DACH",IF(ISNUMBER(SEARCH("uk",CRM_Raw!D248)),"UK &amp; Ireland",PROPER(CRM_Raw!D248)))</f>
        <v>North America</v>
      </c>
      <c r="E248" s="0" t="str">
        <f aca="false">CRM_Raw!E248</f>
        <v>Small Kitchen Appliances</v>
      </c>
      <c r="F248" s="0" t="str">
        <f aca="false">CRM_Raw!F248</f>
        <v>Paid Search</v>
      </c>
      <c r="G248" s="0" t="str">
        <f aca="false">IF(TRIM(CRM_Raw!G248)="","Unassigned",CRM_Raw!G248)</f>
        <v>Unassigned</v>
      </c>
      <c r="H248" s="0" t="str">
        <f aca="false">CRM_Raw!H248</f>
        <v>Closed Won</v>
      </c>
      <c r="I248" s="10" t="n">
        <f aca="false">CRM_Raw!I248</f>
        <v>112.64</v>
      </c>
      <c r="J248" s="11" t="n">
        <f aca="false">CRM_Raw!J248</f>
        <v>0.05</v>
      </c>
      <c r="K248" s="10" t="n">
        <f aca="false">I248*(1-J248)</f>
        <v>107.008</v>
      </c>
      <c r="L248" s="12" t="n">
        <f aca="false">CRM_Raw!K248</f>
        <v>41</v>
      </c>
      <c r="M248" s="12" t="n">
        <f aca="false">IF(H248="Closed Won",1,0)</f>
        <v>1</v>
      </c>
    </row>
    <row r="249" customFormat="false" ht="15" hidden="false" customHeight="false" outlineLevel="0" collapsed="false">
      <c r="A249" s="0" t="str">
        <f aca="false">CRM_Raw!A249</f>
        <v>D-10245</v>
      </c>
      <c r="B249" s="0" t="str">
        <f aca="false">CRM_Raw!B249</f>
        <v>2025-09-08</v>
      </c>
      <c r="C249" s="0" t="n">
        <f aca="false">CRM_Raw!C249</f>
        <v>0</v>
      </c>
      <c r="D249" s="0" t="str">
        <f aca="false">IF(CRM_Raw!D249="DACH","DACH",IF(ISNUMBER(SEARCH("uk",CRM_Raw!D249)),"UK &amp; Ireland",PROPER(CRM_Raw!D249)))</f>
        <v>Nordics</v>
      </c>
      <c r="E249" s="0" t="str">
        <f aca="false">CRM_Raw!E249</f>
        <v>Small Kitchen Appliances</v>
      </c>
      <c r="F249" s="0" t="str">
        <f aca="false">CRM_Raw!F249</f>
        <v>Affiliate Partner</v>
      </c>
      <c r="G249" s="0" t="str">
        <f aca="false">IF(TRIM(CRM_Raw!G249)="","Unassigned",CRM_Raw!G249)</f>
        <v>A. Becker</v>
      </c>
      <c r="H249" s="0" t="str">
        <f aca="false">CRM_Raw!H249</f>
        <v>Negotiation</v>
      </c>
      <c r="I249" s="10" t="n">
        <f aca="false">CRM_Raw!I249</f>
        <v>121.59</v>
      </c>
      <c r="J249" s="11" t="n">
        <f aca="false">CRM_Raw!J249</f>
        <v>0.1</v>
      </c>
      <c r="K249" s="10" t="n">
        <f aca="false">I249*(1-J249)</f>
        <v>109.431</v>
      </c>
      <c r="L249" s="12" t="n">
        <f aca="false">CRM_Raw!K249</f>
        <v>0</v>
      </c>
      <c r="M249" s="12" t="n">
        <f aca="false">IF(H249="Closed Won",1,0)</f>
        <v>0</v>
      </c>
    </row>
    <row r="250" customFormat="false" ht="15" hidden="false" customHeight="false" outlineLevel="0" collapsed="false">
      <c r="A250" s="0" t="str">
        <f aca="false">CRM_Raw!A250</f>
        <v>D-10246</v>
      </c>
      <c r="B250" s="0" t="str">
        <f aca="false">CRM_Raw!B250</f>
        <v>2025-08-28</v>
      </c>
      <c r="C250" s="0" t="n">
        <f aca="false">CRM_Raw!C250</f>
        <v>0</v>
      </c>
      <c r="D250" s="0" t="str">
        <f aca="false">IF(CRM_Raw!D250="DACH","DACH",IF(ISNUMBER(SEARCH("uk",CRM_Raw!D250)),"UK &amp; Ireland",PROPER(CRM_Raw!D250)))</f>
        <v>UK &amp; Ireland</v>
      </c>
      <c r="E250" s="0" t="str">
        <f aca="false">CRM_Raw!E250</f>
        <v>Smart Ovens</v>
      </c>
      <c r="F250" s="0" t="str">
        <f aca="false">CRM_Raw!F250</f>
        <v>Web-shop Organic</v>
      </c>
      <c r="G250" s="0" t="str">
        <f aca="false">IF(TRIM(CRM_Raw!G250)="","Unassigned",CRM_Raw!G250)</f>
        <v>J. Murphy</v>
      </c>
      <c r="H250" s="0" t="str">
        <f aca="false">CRM_Raw!H250</f>
        <v>Proposal Sent</v>
      </c>
      <c r="I250" s="10" t="n">
        <f aca="false">CRM_Raw!I250</f>
        <v>915.41</v>
      </c>
      <c r="J250" s="11" t="n">
        <f aca="false">CRM_Raw!J250</f>
        <v>0.1</v>
      </c>
      <c r="K250" s="10" t="n">
        <f aca="false">I250*(1-J250)</f>
        <v>823.869</v>
      </c>
      <c r="L250" s="12" t="n">
        <f aca="false">CRM_Raw!K250</f>
        <v>0</v>
      </c>
      <c r="M250" s="12" t="n">
        <f aca="false">IF(H250="Closed Won",1,0)</f>
        <v>0</v>
      </c>
    </row>
    <row r="251" customFormat="false" ht="15" hidden="false" customHeight="false" outlineLevel="0" collapsed="false">
      <c r="A251" s="0" t="str">
        <f aca="false">CRM_Raw!A251</f>
        <v>D-10247</v>
      </c>
      <c r="B251" s="0" t="str">
        <f aca="false">CRM_Raw!B251</f>
        <v>2025-11-06</v>
      </c>
      <c r="C251" s="0" t="n">
        <f aca="false">CRM_Raw!C251</f>
        <v>0</v>
      </c>
      <c r="D251" s="0" t="str">
        <f aca="false">IF(CRM_Raw!D251="DACH","DACH",IF(ISNUMBER(SEARCH("uk",CRM_Raw!D251)),"UK &amp; Ireland",PROPER(CRM_Raw!D251)))</f>
        <v>Nordics</v>
      </c>
      <c r="E251" s="0" t="str">
        <f aca="false">CRM_Raw!E251</f>
        <v>Small Kitchen Appliances</v>
      </c>
      <c r="F251" s="0" t="str">
        <f aca="false">CRM_Raw!F251</f>
        <v>Email Campaign</v>
      </c>
      <c r="G251" s="0" t="str">
        <f aca="false">IF(TRIM(CRM_Raw!G251)="","Unassigned",CRM_Raw!G251)</f>
        <v>S. Andersson</v>
      </c>
      <c r="H251" s="0" t="str">
        <f aca="false">CRM_Raw!H251</f>
        <v>Proposal Sent</v>
      </c>
      <c r="I251" s="10" t="n">
        <f aca="false">CRM_Raw!I251</f>
        <v>416.69</v>
      </c>
      <c r="J251" s="11" t="n">
        <f aca="false">CRM_Raw!J251</f>
        <v>0</v>
      </c>
      <c r="K251" s="10" t="n">
        <f aca="false">I251*(1-J251)</f>
        <v>416.69</v>
      </c>
      <c r="L251" s="12" t="n">
        <f aca="false">CRM_Raw!K251</f>
        <v>0</v>
      </c>
      <c r="M251" s="12" t="n">
        <f aca="false">IF(H251="Closed Won",1,0)</f>
        <v>0</v>
      </c>
    </row>
    <row r="252" customFormat="false" ht="15" hidden="false" customHeight="false" outlineLevel="0" collapsed="false">
      <c r="A252" s="0" t="str">
        <f aca="false">CRM_Raw!A252</f>
        <v>D-10248</v>
      </c>
      <c r="B252" s="0" t="str">
        <f aca="false">CRM_Raw!B252</f>
        <v>2026-03-14</v>
      </c>
      <c r="C252" s="0" t="str">
        <f aca="false">CRM_Raw!C252</f>
        <v>2026-04-11</v>
      </c>
      <c r="D252" s="0" t="str">
        <f aca="false">IF(CRM_Raw!D252="DACH","DACH",IF(ISNUMBER(SEARCH("uk",CRM_Raw!D252)),"UK &amp; Ireland",PROPER(CRM_Raw!D252)))</f>
        <v>Benelux</v>
      </c>
      <c r="E252" s="0" t="str">
        <f aca="false">CRM_Raw!E252</f>
        <v>Cordless Vacuums</v>
      </c>
      <c r="F252" s="0" t="str">
        <f aca="false">CRM_Raw!F252</f>
        <v>Paid Search</v>
      </c>
      <c r="G252" s="0" t="str">
        <f aca="false">IF(TRIM(CRM_Raw!G252)="","Unassigned",CRM_Raw!G252)</f>
        <v>M. Hoffmann</v>
      </c>
      <c r="H252" s="0" t="str">
        <f aca="false">CRM_Raw!H252</f>
        <v>Closed Lost</v>
      </c>
      <c r="I252" s="10" t="n">
        <f aca="false">CRM_Raw!I252</f>
        <v>756.46</v>
      </c>
      <c r="J252" s="11" t="n">
        <f aca="false">CRM_Raw!J252</f>
        <v>0.2</v>
      </c>
      <c r="K252" s="10" t="n">
        <f aca="false">I252*(1-J252)</f>
        <v>605.168</v>
      </c>
      <c r="L252" s="12" t="n">
        <f aca="false">CRM_Raw!K252</f>
        <v>28</v>
      </c>
      <c r="M252" s="12" t="n">
        <f aca="false">IF(H252="Closed Won",1,0)</f>
        <v>0</v>
      </c>
    </row>
    <row r="253" customFormat="false" ht="15" hidden="false" customHeight="false" outlineLevel="0" collapsed="false">
      <c r="A253" s="0" t="str">
        <f aca="false">CRM_Raw!A253</f>
        <v>D-10249</v>
      </c>
      <c r="B253" s="0" t="str">
        <f aca="false">CRM_Raw!B253</f>
        <v>2025-06-02</v>
      </c>
      <c r="C253" s="0" t="str">
        <f aca="false">CRM_Raw!C253</f>
        <v>2025-06-25</v>
      </c>
      <c r="D253" s="0" t="str">
        <f aca="false">IF(CRM_Raw!D253="DACH","DACH",IF(ISNUMBER(SEARCH("uk",CRM_Raw!D253)),"UK &amp; Ireland",PROPER(CRM_Raw!D253)))</f>
        <v>Nordics</v>
      </c>
      <c r="E253" s="0" t="str">
        <f aca="false">CRM_Raw!E253</f>
        <v>Cordless Vacuums</v>
      </c>
      <c r="F253" s="0" t="str">
        <f aca="false">CRM_Raw!F253</f>
        <v>Affiliate Partner</v>
      </c>
      <c r="G253" s="0" t="str">
        <f aca="false">IF(TRIM(CRM_Raw!G253)="","Unassigned",CRM_Raw!G253)</f>
        <v>K. Nilsson</v>
      </c>
      <c r="H253" s="0" t="str">
        <f aca="false">CRM_Raw!H253</f>
        <v>Closed Won</v>
      </c>
      <c r="I253" s="10" t="n">
        <f aca="false">CRM_Raw!I253</f>
        <v>1014.54</v>
      </c>
      <c r="J253" s="11" t="n">
        <f aca="false">CRM_Raw!J253</f>
        <v>0.05</v>
      </c>
      <c r="K253" s="10" t="n">
        <f aca="false">I253*(1-J253)</f>
        <v>963.813</v>
      </c>
      <c r="L253" s="12" t="n">
        <f aca="false">CRM_Raw!K253</f>
        <v>23</v>
      </c>
      <c r="M253" s="12" t="n">
        <f aca="false">IF(H253="Closed Won",1,0)</f>
        <v>1</v>
      </c>
    </row>
    <row r="254" customFormat="false" ht="15" hidden="false" customHeight="false" outlineLevel="0" collapsed="false">
      <c r="A254" s="0" t="str">
        <f aca="false">CRM_Raw!A254</f>
        <v>D-10250</v>
      </c>
      <c r="B254" s="0" t="str">
        <f aca="false">CRM_Raw!B254</f>
        <v>2026-04-20</v>
      </c>
      <c r="C254" s="0" t="n">
        <f aca="false">CRM_Raw!C254</f>
        <v>0</v>
      </c>
      <c r="D254" s="0" t="str">
        <f aca="false">IF(CRM_Raw!D254="DACH","DACH",IF(ISNUMBER(SEARCH("uk",CRM_Raw!D254)),"UK &amp; Ireland",PROPER(CRM_Raw!D254)))</f>
        <v>UK &amp; Ireland</v>
      </c>
      <c r="E254" s="0" t="str">
        <f aca="false">CRM_Raw!E254</f>
        <v>Coffee Systems</v>
      </c>
      <c r="F254" s="0" t="str">
        <f aca="false">CRM_Raw!F254</f>
        <v>Paid Search</v>
      </c>
      <c r="G254" s="0" t="str">
        <f aca="false">IF(TRIM(CRM_Raw!G254)="","Unassigned",CRM_Raw!G254)</f>
        <v>M. Hoffmann</v>
      </c>
      <c r="H254" s="0" t="str">
        <f aca="false">CRM_Raw!H254</f>
        <v>Qualified</v>
      </c>
      <c r="I254" s="10" t="n">
        <f aca="false">CRM_Raw!I254</f>
        <v>1075.32</v>
      </c>
      <c r="J254" s="11" t="n">
        <f aca="false">CRM_Raw!J254</f>
        <v>0.1</v>
      </c>
      <c r="K254" s="10" t="n">
        <f aca="false">I254*(1-J254)</f>
        <v>967.788</v>
      </c>
      <c r="L254" s="12" t="n">
        <f aca="false">CRM_Raw!K254</f>
        <v>0</v>
      </c>
      <c r="M254" s="12" t="n">
        <f aca="false">IF(H254="Closed Won",1,0)</f>
        <v>0</v>
      </c>
    </row>
    <row r="255" customFormat="false" ht="15" hidden="false" customHeight="false" outlineLevel="0" collapsed="false">
      <c r="A255" s="0" t="str">
        <f aca="false">CRM_Raw!A255</f>
        <v>D-10251</v>
      </c>
      <c r="B255" s="0" t="str">
        <f aca="false">CRM_Raw!B255</f>
        <v>2025-07-28</v>
      </c>
      <c r="C255" s="0" t="str">
        <f aca="false">CRM_Raw!C255</f>
        <v>2025-08-26</v>
      </c>
      <c r="D255" s="0" t="str">
        <f aca="false">IF(CRM_Raw!D255="DACH","DACH",IF(ISNUMBER(SEARCH("uk",CRM_Raw!D255)),"UK &amp; Ireland",PROPER(CRM_Raw!D255)))</f>
        <v>Nordics</v>
      </c>
      <c r="E255" s="0" t="str">
        <f aca="false">CRM_Raw!E255</f>
        <v>Coffee Systems</v>
      </c>
      <c r="F255" s="0" t="str">
        <f aca="false">CRM_Raw!F255</f>
        <v>Paid Search</v>
      </c>
      <c r="G255" s="0" t="str">
        <f aca="false">IF(TRIM(CRM_Raw!G255)="","Unassigned",CRM_Raw!G255)</f>
        <v>J. Murphy</v>
      </c>
      <c r="H255" s="0" t="str">
        <f aca="false">CRM_Raw!H255</f>
        <v>Closed Won</v>
      </c>
      <c r="I255" s="10" t="n">
        <f aca="false">CRM_Raw!I255</f>
        <v>1540.52</v>
      </c>
      <c r="J255" s="11" t="n">
        <f aca="false">CRM_Raw!J255</f>
        <v>0.15</v>
      </c>
      <c r="K255" s="10" t="n">
        <f aca="false">I255*(1-J255)</f>
        <v>1309.442</v>
      </c>
      <c r="L255" s="12" t="n">
        <f aca="false">CRM_Raw!K255</f>
        <v>29</v>
      </c>
      <c r="M255" s="12" t="n">
        <f aca="false">IF(H255="Closed Won",1,0)</f>
        <v>1</v>
      </c>
    </row>
    <row r="256" customFormat="false" ht="15" hidden="false" customHeight="false" outlineLevel="0" collapsed="false">
      <c r="A256" s="0" t="str">
        <f aca="false">CRM_Raw!A256</f>
        <v>D-10252</v>
      </c>
      <c r="B256" s="0" t="str">
        <f aca="false">CRM_Raw!B256</f>
        <v>2025-02-10</v>
      </c>
      <c r="C256" s="0" t="n">
        <f aca="false">CRM_Raw!C256</f>
        <v>0</v>
      </c>
      <c r="D256" s="0" t="str">
        <f aca="false">IF(CRM_Raw!D256="DACH","DACH",IF(ISNUMBER(SEARCH("uk",CRM_Raw!D256)),"UK &amp; Ireland",PROPER(CRM_Raw!D256)))</f>
        <v>North America</v>
      </c>
      <c r="E256" s="0" t="str">
        <f aca="false">CRM_Raw!E256</f>
        <v>Coffee Systems</v>
      </c>
      <c r="F256" s="0" t="str">
        <f aca="false">CRM_Raw!F256</f>
        <v>Web-shop Organic</v>
      </c>
      <c r="G256" s="0" t="str">
        <f aca="false">IF(TRIM(CRM_Raw!G256)="","Unassigned",CRM_Raw!G256)</f>
        <v>K. Nilsson</v>
      </c>
      <c r="H256" s="0" t="str">
        <f aca="false">CRM_Raw!H256</f>
        <v>Proposal Sent</v>
      </c>
      <c r="I256" s="10" t="n">
        <f aca="false">CRM_Raw!I256</f>
        <v>1471.23</v>
      </c>
      <c r="J256" s="11" t="n">
        <f aca="false">CRM_Raw!J256</f>
        <v>0.15</v>
      </c>
      <c r="K256" s="10" t="n">
        <f aca="false">I256*(1-J256)</f>
        <v>1250.5455</v>
      </c>
      <c r="L256" s="12" t="n">
        <f aca="false">CRM_Raw!K256</f>
        <v>0</v>
      </c>
      <c r="M256" s="12" t="n">
        <f aca="false">IF(H256="Closed Won",1,0)</f>
        <v>0</v>
      </c>
    </row>
    <row r="257" customFormat="false" ht="15" hidden="false" customHeight="false" outlineLevel="0" collapsed="false">
      <c r="A257" s="0" t="str">
        <f aca="false">CRM_Raw!A257</f>
        <v>D-10253</v>
      </c>
      <c r="B257" s="0" t="str">
        <f aca="false">CRM_Raw!B257</f>
        <v>2025-12-07</v>
      </c>
      <c r="C257" s="0" t="str">
        <f aca="false">CRM_Raw!C257</f>
        <v>2026-01-01</v>
      </c>
      <c r="D257" s="0" t="str">
        <f aca="false">IF(CRM_Raw!D257="DACH","DACH",IF(ISNUMBER(SEARCH("uk",CRM_Raw!D257)),"UK &amp; Ireland",PROPER(CRM_Raw!D257)))</f>
        <v>Southern Europe</v>
      </c>
      <c r="E257" s="0" t="str">
        <f aca="false">CRM_Raw!E257</f>
        <v>Washing Machines</v>
      </c>
      <c r="F257" s="0" t="str">
        <f aca="false">CRM_Raw!F257</f>
        <v>Web-shop Organic</v>
      </c>
      <c r="G257" s="0" t="str">
        <f aca="false">IF(TRIM(CRM_Raw!G257)="","Unassigned",CRM_Raw!G257)</f>
        <v>S. Andersson</v>
      </c>
      <c r="H257" s="0" t="str">
        <f aca="false">CRM_Raw!H257</f>
        <v>Closed Won</v>
      </c>
      <c r="I257" s="10" t="n">
        <f aca="false">CRM_Raw!I257</f>
        <v>740.29</v>
      </c>
      <c r="J257" s="11" t="n">
        <f aca="false">CRM_Raw!J257</f>
        <v>0</v>
      </c>
      <c r="K257" s="10" t="n">
        <f aca="false">I257*(1-J257)</f>
        <v>740.29</v>
      </c>
      <c r="L257" s="12" t="n">
        <f aca="false">CRM_Raw!K257</f>
        <v>25</v>
      </c>
      <c r="M257" s="12" t="n">
        <f aca="false">IF(H257="Closed Won",1,0)</f>
        <v>1</v>
      </c>
    </row>
    <row r="258" customFormat="false" ht="15" hidden="false" customHeight="false" outlineLevel="0" collapsed="false">
      <c r="A258" s="0" t="str">
        <f aca="false">CRM_Raw!A258</f>
        <v>D-10254</v>
      </c>
      <c r="B258" s="0" t="str">
        <f aca="false">CRM_Raw!B258</f>
        <v>2025-09-06</v>
      </c>
      <c r="C258" s="0" t="n">
        <f aca="false">CRM_Raw!C258</f>
        <v>0</v>
      </c>
      <c r="D258" s="0" t="str">
        <f aca="false">IF(CRM_Raw!D258="DACH","DACH",IF(ISNUMBER(SEARCH("uk",CRM_Raw!D258)),"UK &amp; Ireland",PROPER(CRM_Raw!D258)))</f>
        <v>Southern Europe</v>
      </c>
      <c r="E258" s="0" t="str">
        <f aca="false">CRM_Raw!E258</f>
        <v>Smart Ovens</v>
      </c>
      <c r="F258" s="0" t="str">
        <f aca="false">CRM_Raw!F258</f>
        <v>Affiliate Partner</v>
      </c>
      <c r="G258" s="0" t="str">
        <f aca="false">IF(TRIM(CRM_Raw!G258)="","Unassigned",CRM_Raw!G258)</f>
        <v>T. Wagner</v>
      </c>
      <c r="H258" s="0" t="str">
        <f aca="false">CRM_Raw!H258</f>
        <v>Negotiation</v>
      </c>
      <c r="I258" s="10" t="n">
        <f aca="false">CRM_Raw!I258</f>
        <v>1819.34</v>
      </c>
      <c r="J258" s="11" t="n">
        <f aca="false">CRM_Raw!J258</f>
        <v>0</v>
      </c>
      <c r="K258" s="10" t="n">
        <f aca="false">I258*(1-J258)</f>
        <v>1819.34</v>
      </c>
      <c r="L258" s="12" t="n">
        <f aca="false">CRM_Raw!K258</f>
        <v>0</v>
      </c>
      <c r="M258" s="12" t="n">
        <f aca="false">IF(H258="Closed Won",1,0)</f>
        <v>0</v>
      </c>
    </row>
    <row r="259" customFormat="false" ht="15" hidden="false" customHeight="false" outlineLevel="0" collapsed="false">
      <c r="A259" s="0" t="str">
        <f aca="false">CRM_Raw!A259</f>
        <v>D-10255</v>
      </c>
      <c r="B259" s="0" t="str">
        <f aca="false">CRM_Raw!B259</f>
        <v>2026-04-23</v>
      </c>
      <c r="C259" s="0" t="str">
        <f aca="false">CRM_Raw!C259</f>
        <v>2026-05-09</v>
      </c>
      <c r="D259" s="0" t="str">
        <f aca="false">IF(CRM_Raw!D259="DACH","DACH",IF(ISNUMBER(SEARCH("uk",CRM_Raw!D259)),"UK &amp; Ireland",PROPER(CRM_Raw!D259)))</f>
        <v>Nordics</v>
      </c>
      <c r="E259" s="0" t="str">
        <f aca="false">CRM_Raw!E259</f>
        <v>Cordless Vacuums</v>
      </c>
      <c r="F259" s="0" t="str">
        <f aca="false">CRM_Raw!F259</f>
        <v>Email Campaign</v>
      </c>
      <c r="G259" s="0" t="str">
        <f aca="false">IF(TRIM(CRM_Raw!G259)="","Unassigned",CRM_Raw!G259)</f>
        <v>Unassigned</v>
      </c>
      <c r="H259" s="0" t="str">
        <f aca="false">CRM_Raw!H259</f>
        <v>Closed Lost</v>
      </c>
      <c r="I259" s="10" t="n">
        <f aca="false">CRM_Raw!I259</f>
        <v>733.7</v>
      </c>
      <c r="J259" s="11" t="n">
        <f aca="false">CRM_Raw!J259</f>
        <v>0.05</v>
      </c>
      <c r="K259" s="10" t="n">
        <f aca="false">I259*(1-J259)</f>
        <v>697.015</v>
      </c>
      <c r="L259" s="12" t="n">
        <f aca="false">CRM_Raw!K259</f>
        <v>16</v>
      </c>
      <c r="M259" s="12" t="n">
        <f aca="false">IF(H259="Closed Won",1,0)</f>
        <v>0</v>
      </c>
    </row>
    <row r="260" customFormat="false" ht="15" hidden="false" customHeight="false" outlineLevel="0" collapsed="false">
      <c r="A260" s="0" t="str">
        <f aca="false">CRM_Raw!A260</f>
        <v>D-10256</v>
      </c>
      <c r="B260" s="0" t="str">
        <f aca="false">CRM_Raw!B260</f>
        <v>2025-07-28</v>
      </c>
      <c r="C260" s="0" t="str">
        <f aca="false">CRM_Raw!C260</f>
        <v>2025-08-23</v>
      </c>
      <c r="D260" s="0" t="str">
        <f aca="false">IF(CRM_Raw!D260="DACH","DACH",IF(ISNUMBER(SEARCH("uk",CRM_Raw!D260)),"UK &amp; Ireland",PROPER(CRM_Raw!D260)))</f>
        <v>DACH</v>
      </c>
      <c r="E260" s="0" t="str">
        <f aca="false">CRM_Raw!E260</f>
        <v>Small Kitchen Appliances</v>
      </c>
      <c r="F260" s="0" t="str">
        <f aca="false">CRM_Raw!F260</f>
        <v>Social Media Ads</v>
      </c>
      <c r="G260" s="0" t="str">
        <f aca="false">IF(TRIM(CRM_Raw!G260)="","Unassigned",CRM_Raw!G260)</f>
        <v>P. Rossi</v>
      </c>
      <c r="H260" s="0" t="str">
        <f aca="false">CRM_Raw!H260</f>
        <v>Closed Won</v>
      </c>
      <c r="I260" s="10" t="n">
        <f aca="false">CRM_Raw!I260</f>
        <v>365.79</v>
      </c>
      <c r="J260" s="11" t="n">
        <f aca="false">CRM_Raw!J260</f>
        <v>0.2</v>
      </c>
      <c r="K260" s="10" t="n">
        <f aca="false">I260*(1-J260)</f>
        <v>292.632</v>
      </c>
      <c r="L260" s="12" t="n">
        <f aca="false">CRM_Raw!K260</f>
        <v>26</v>
      </c>
      <c r="M260" s="12" t="n">
        <f aca="false">IF(H260="Closed Won",1,0)</f>
        <v>1</v>
      </c>
    </row>
    <row r="261" customFormat="false" ht="15" hidden="false" customHeight="false" outlineLevel="0" collapsed="false">
      <c r="A261" s="0" t="str">
        <f aca="false">CRM_Raw!A261</f>
        <v>D-10257</v>
      </c>
      <c r="B261" s="0" t="str">
        <f aca="false">CRM_Raw!B261</f>
        <v>2026-03-04</v>
      </c>
      <c r="C261" s="0" t="str">
        <f aca="false">CRM_Raw!C261</f>
        <v>2026-03-27</v>
      </c>
      <c r="D261" s="0" t="str">
        <f aca="false">IF(CRM_Raw!D261="DACH","DACH",IF(ISNUMBER(SEARCH("uk",CRM_Raw!D261)),"UK &amp; Ireland",PROPER(CRM_Raw!D261)))</f>
        <v>UK &amp; Ireland</v>
      </c>
      <c r="E261" s="0" t="str">
        <f aca="false">CRM_Raw!E261</f>
        <v>Small Kitchen Appliances</v>
      </c>
      <c r="F261" s="0" t="str">
        <f aca="false">CRM_Raw!F261</f>
        <v>Web-shop Organic</v>
      </c>
      <c r="G261" s="0" t="str">
        <f aca="false">IF(TRIM(CRM_Raw!G261)="","Unassigned",CRM_Raw!G261)</f>
        <v>J. Murphy</v>
      </c>
      <c r="H261" s="0" t="str">
        <f aca="false">CRM_Raw!H261</f>
        <v>Closed Won</v>
      </c>
      <c r="I261" s="10" t="n">
        <f aca="false">CRM_Raw!I261</f>
        <v>126.56</v>
      </c>
      <c r="J261" s="11" t="n">
        <f aca="false">CRM_Raw!J261</f>
        <v>0.05</v>
      </c>
      <c r="K261" s="10" t="n">
        <f aca="false">I261*(1-J261)</f>
        <v>120.232</v>
      </c>
      <c r="L261" s="12" t="n">
        <f aca="false">CRM_Raw!K261</f>
        <v>23</v>
      </c>
      <c r="M261" s="12" t="n">
        <f aca="false">IF(H261="Closed Won",1,0)</f>
        <v>1</v>
      </c>
    </row>
    <row r="262" customFormat="false" ht="15" hidden="false" customHeight="false" outlineLevel="0" collapsed="false">
      <c r="A262" s="0" t="str">
        <f aca="false">CRM_Raw!A262</f>
        <v>D-10258</v>
      </c>
      <c r="B262" s="0" t="str">
        <f aca="false">CRM_Raw!B262</f>
        <v>2025-09-21</v>
      </c>
      <c r="C262" s="0" t="n">
        <f aca="false">CRM_Raw!C262</f>
        <v>0</v>
      </c>
      <c r="D262" s="0" t="str">
        <f aca="false">IF(CRM_Raw!D262="DACH","DACH",IF(ISNUMBER(SEARCH("uk",CRM_Raw!D262)),"UK &amp; Ireland",PROPER(CRM_Raw!D262)))</f>
        <v>Nordics</v>
      </c>
      <c r="E262" s="0" t="str">
        <f aca="false">CRM_Raw!E262</f>
        <v>Small Kitchen Appliances</v>
      </c>
      <c r="F262" s="0" t="str">
        <f aca="false">CRM_Raw!F262</f>
        <v>Retail Referral</v>
      </c>
      <c r="G262" s="0" t="str">
        <f aca="false">IF(TRIM(CRM_Raw!G262)="","Unassigned",CRM_Raw!G262)</f>
        <v>P. Rossi</v>
      </c>
      <c r="H262" s="0" t="str">
        <f aca="false">CRM_Raw!H262</f>
        <v>Proposal Sent</v>
      </c>
      <c r="I262" s="10" t="n">
        <f aca="false">CRM_Raw!I262</f>
        <v>248.29</v>
      </c>
      <c r="J262" s="11" t="n">
        <f aca="false">CRM_Raw!J262</f>
        <v>0.05</v>
      </c>
      <c r="K262" s="10" t="n">
        <f aca="false">I262*(1-J262)</f>
        <v>235.8755</v>
      </c>
      <c r="L262" s="12" t="n">
        <f aca="false">CRM_Raw!K262</f>
        <v>0</v>
      </c>
      <c r="M262" s="12" t="n">
        <f aca="false">IF(H262="Closed Won",1,0)</f>
        <v>0</v>
      </c>
    </row>
    <row r="263" customFormat="false" ht="15" hidden="false" customHeight="false" outlineLevel="0" collapsed="false">
      <c r="A263" s="0" t="str">
        <f aca="false">CRM_Raw!A263</f>
        <v>D-10259</v>
      </c>
      <c r="B263" s="0" t="str">
        <f aca="false">CRM_Raw!B263</f>
        <v>2025-05-24</v>
      </c>
      <c r="C263" s="0" t="n">
        <f aca="false">CRM_Raw!C263</f>
        <v>0</v>
      </c>
      <c r="D263" s="0" t="str">
        <f aca="false">IF(CRM_Raw!D263="DACH","DACH",IF(ISNUMBER(SEARCH("uk",CRM_Raw!D263)),"UK &amp; Ireland",PROPER(CRM_Raw!D263)))</f>
        <v>UK &amp; Ireland</v>
      </c>
      <c r="E263" s="0" t="str">
        <f aca="false">CRM_Raw!E263</f>
        <v>Small Kitchen Appliances</v>
      </c>
      <c r="F263" s="0" t="str">
        <f aca="false">CRM_Raw!F263</f>
        <v>Email Campaign</v>
      </c>
      <c r="G263" s="0" t="str">
        <f aca="false">IF(TRIM(CRM_Raw!G263)="","Unassigned",CRM_Raw!G263)</f>
        <v>M. Hoffmann</v>
      </c>
      <c r="H263" s="0" t="str">
        <f aca="false">CRM_Raw!H263</f>
        <v>Negotiation</v>
      </c>
      <c r="I263" s="10" t="n">
        <f aca="false">CRM_Raw!I263</f>
        <v>372.42</v>
      </c>
      <c r="J263" s="11" t="n">
        <f aca="false">CRM_Raw!J263</f>
        <v>0.15</v>
      </c>
      <c r="K263" s="10" t="n">
        <f aca="false">I263*(1-J263)</f>
        <v>316.557</v>
      </c>
      <c r="L263" s="12" t="n">
        <f aca="false">CRM_Raw!K263</f>
        <v>0</v>
      </c>
      <c r="M263" s="12" t="n">
        <f aca="false">IF(H263="Closed Won",1,0)</f>
        <v>0</v>
      </c>
    </row>
    <row r="264" customFormat="false" ht="15" hidden="false" customHeight="false" outlineLevel="0" collapsed="false">
      <c r="A264" s="0" t="str">
        <f aca="false">CRM_Raw!A264</f>
        <v>D-10260</v>
      </c>
      <c r="B264" s="0" t="str">
        <f aca="false">CRM_Raw!B264</f>
        <v>2025-02-19</v>
      </c>
      <c r="C264" s="0" t="n">
        <f aca="false">CRM_Raw!C264</f>
        <v>0</v>
      </c>
      <c r="D264" s="0" t="str">
        <f aca="false">IF(CRM_Raw!D264="DACH","DACH",IF(ISNUMBER(SEARCH("uk",CRM_Raw!D264)),"UK &amp; Ireland",PROPER(CRM_Raw!D264)))</f>
        <v>DACH</v>
      </c>
      <c r="E264" s="0" t="str">
        <f aca="false">CRM_Raw!E264</f>
        <v>Washing Machines</v>
      </c>
      <c r="F264" s="0" t="str">
        <f aca="false">CRM_Raw!F264</f>
        <v>Web-shop Organic</v>
      </c>
      <c r="G264" s="0" t="str">
        <f aca="false">IF(TRIM(CRM_Raw!G264)="","Unassigned",CRM_Raw!G264)</f>
        <v>L. Dubois</v>
      </c>
      <c r="H264" s="0" t="str">
        <f aca="false">CRM_Raw!H264</f>
        <v>Proposal Sent</v>
      </c>
      <c r="I264" s="10" t="n">
        <f aca="false">CRM_Raw!I264</f>
        <v>660.45</v>
      </c>
      <c r="J264" s="11" t="n">
        <f aca="false">CRM_Raw!J264</f>
        <v>0</v>
      </c>
      <c r="K264" s="10" t="n">
        <f aca="false">I264*(1-J264)</f>
        <v>660.45</v>
      </c>
      <c r="L264" s="12" t="n">
        <f aca="false">CRM_Raw!K264</f>
        <v>0</v>
      </c>
      <c r="M264" s="12" t="n">
        <f aca="false">IF(H264="Closed Won",1,0)</f>
        <v>0</v>
      </c>
    </row>
    <row r="265" customFormat="false" ht="15" hidden="false" customHeight="false" outlineLevel="0" collapsed="false">
      <c r="A265" s="0" t="str">
        <f aca="false">CRM_Raw!A265</f>
        <v>D-10261</v>
      </c>
      <c r="B265" s="0" t="str">
        <f aca="false">CRM_Raw!B265</f>
        <v>2026-01-18</v>
      </c>
      <c r="C265" s="0" t="str">
        <f aca="false">CRM_Raw!C265</f>
        <v>2026-02-14</v>
      </c>
      <c r="D265" s="0" t="str">
        <f aca="false">IF(CRM_Raw!D265="DACH","DACH",IF(ISNUMBER(SEARCH("uk",CRM_Raw!D265)),"UK &amp; Ireland",PROPER(CRM_Raw!D265)))</f>
        <v>Southern Europe</v>
      </c>
      <c r="E265" s="0" t="str">
        <f aca="false">CRM_Raw!E265</f>
        <v>Coffee Systems</v>
      </c>
      <c r="F265" s="0" t="str">
        <f aca="false">CRM_Raw!F265</f>
        <v>Web-shop Organic</v>
      </c>
      <c r="G265" s="0" t="str">
        <f aca="false">IF(TRIM(CRM_Raw!G265)="","Unassigned",CRM_Raw!G265)</f>
        <v>Unassigned</v>
      </c>
      <c r="H265" s="0" t="str">
        <f aca="false">CRM_Raw!H265</f>
        <v>Closed Won</v>
      </c>
      <c r="I265" s="10" t="n">
        <f aca="false">CRM_Raw!I265</f>
        <v>1641.53</v>
      </c>
      <c r="J265" s="11" t="n">
        <f aca="false">CRM_Raw!J265</f>
        <v>0.05</v>
      </c>
      <c r="K265" s="10" t="n">
        <f aca="false">I265*(1-J265)</f>
        <v>1559.4535</v>
      </c>
      <c r="L265" s="12" t="n">
        <f aca="false">CRM_Raw!K265</f>
        <v>27</v>
      </c>
      <c r="M265" s="12" t="n">
        <f aca="false">IF(H265="Closed Won",1,0)</f>
        <v>1</v>
      </c>
    </row>
    <row r="266" customFormat="false" ht="15" hidden="false" customHeight="false" outlineLevel="0" collapsed="false">
      <c r="A266" s="0" t="str">
        <f aca="false">CRM_Raw!A266</f>
        <v>D-10262</v>
      </c>
      <c r="B266" s="0" t="str">
        <f aca="false">CRM_Raw!B266</f>
        <v>2025-01-13</v>
      </c>
      <c r="C266" s="0" t="str">
        <f aca="false">CRM_Raw!C266</f>
        <v>2025-02-01</v>
      </c>
      <c r="D266" s="0" t="str">
        <f aca="false">IF(CRM_Raw!D266="DACH","DACH",IF(ISNUMBER(SEARCH("uk",CRM_Raw!D266)),"UK &amp; Ireland",PROPER(CRM_Raw!D266)))</f>
        <v>Southern Europe</v>
      </c>
      <c r="E266" s="0" t="str">
        <f aca="false">CRM_Raw!E266</f>
        <v>Dishwashers</v>
      </c>
      <c r="F266" s="0" t="str">
        <f aca="false">CRM_Raw!F266</f>
        <v>Web-shop Organic</v>
      </c>
      <c r="G266" s="0" t="str">
        <f aca="false">IF(TRIM(CRM_Raw!G266)="","Unassigned",CRM_Raw!G266)</f>
        <v>K. Nilsson</v>
      </c>
      <c r="H266" s="0" t="str">
        <f aca="false">CRM_Raw!H266</f>
        <v>Closed Won</v>
      </c>
      <c r="I266" s="10" t="n">
        <f aca="false">CRM_Raw!I266</f>
        <v>2058.11</v>
      </c>
      <c r="J266" s="11" t="n">
        <f aca="false">CRM_Raw!J266</f>
        <v>0.2</v>
      </c>
      <c r="K266" s="10" t="n">
        <f aca="false">I266*(1-J266)</f>
        <v>1646.488</v>
      </c>
      <c r="L266" s="12" t="n">
        <f aca="false">CRM_Raw!K266</f>
        <v>19</v>
      </c>
      <c r="M266" s="12" t="n">
        <f aca="false">IF(H266="Closed Won",1,0)</f>
        <v>1</v>
      </c>
    </row>
    <row r="267" customFormat="false" ht="15" hidden="false" customHeight="false" outlineLevel="0" collapsed="false">
      <c r="A267" s="0" t="str">
        <f aca="false">CRM_Raw!A267</f>
        <v>D-10263</v>
      </c>
      <c r="B267" s="0" t="str">
        <f aca="false">CRM_Raw!B267</f>
        <v>2025-04-20</v>
      </c>
      <c r="C267" s="0" t="n">
        <f aca="false">CRM_Raw!C267</f>
        <v>0</v>
      </c>
      <c r="D267" s="0" t="str">
        <f aca="false">IF(CRM_Raw!D267="DACH","DACH",IF(ISNUMBER(SEARCH("uk",CRM_Raw!D267)),"UK &amp; Ireland",PROPER(CRM_Raw!D267)))</f>
        <v>Southern Europe</v>
      </c>
      <c r="E267" s="0" t="str">
        <f aca="false">CRM_Raw!E267</f>
        <v>Small Kitchen Appliances</v>
      </c>
      <c r="F267" s="0" t="str">
        <f aca="false">CRM_Raw!F267</f>
        <v>Paid Search</v>
      </c>
      <c r="G267" s="0" t="str">
        <f aca="false">IF(TRIM(CRM_Raw!G267)="","Unassigned",CRM_Raw!G267)</f>
        <v>M. Hoffmann</v>
      </c>
      <c r="H267" s="0" t="str">
        <f aca="false">CRM_Raw!H267</f>
        <v>Qualified</v>
      </c>
      <c r="I267" s="10" t="n">
        <f aca="false">CRM_Raw!I267</f>
        <v>125.21</v>
      </c>
      <c r="J267" s="11" t="n">
        <f aca="false">CRM_Raw!J267</f>
        <v>0</v>
      </c>
      <c r="K267" s="10" t="n">
        <f aca="false">I267*(1-J267)</f>
        <v>125.21</v>
      </c>
      <c r="L267" s="12" t="n">
        <f aca="false">CRM_Raw!K267</f>
        <v>0</v>
      </c>
      <c r="M267" s="12" t="n">
        <f aca="false">IF(H267="Closed Won",1,0)</f>
        <v>0</v>
      </c>
    </row>
    <row r="268" customFormat="false" ht="15" hidden="false" customHeight="false" outlineLevel="0" collapsed="false">
      <c r="A268" s="0" t="str">
        <f aca="false">CRM_Raw!A268</f>
        <v>D-10264</v>
      </c>
      <c r="B268" s="0" t="str">
        <f aca="false">CRM_Raw!B268</f>
        <v>2025-10-01</v>
      </c>
      <c r="C268" s="0" t="n">
        <f aca="false">CRM_Raw!C268</f>
        <v>0</v>
      </c>
      <c r="D268" s="0" t="str">
        <f aca="false">IF(CRM_Raw!D268="DACH","DACH",IF(ISNUMBER(SEARCH("uk",CRM_Raw!D268)),"UK &amp; Ireland",PROPER(CRM_Raw!D268)))</f>
        <v>Nordics</v>
      </c>
      <c r="E268" s="0" t="str">
        <f aca="false">CRM_Raw!E268</f>
        <v>Washing Machines</v>
      </c>
      <c r="F268" s="0" t="str">
        <f aca="false">CRM_Raw!F268</f>
        <v>Paid Search</v>
      </c>
      <c r="G268" s="0" t="str">
        <f aca="false">IF(TRIM(CRM_Raw!G268)="","Unassigned",CRM_Raw!G268)</f>
        <v>P. Rossi</v>
      </c>
      <c r="H268" s="0" t="str">
        <f aca="false">CRM_Raw!H268</f>
        <v>Proposal Sent</v>
      </c>
      <c r="I268" s="10" t="n">
        <f aca="false">CRM_Raw!I268</f>
        <v>1213.71</v>
      </c>
      <c r="J268" s="11" t="n">
        <f aca="false">CRM_Raw!J268</f>
        <v>0.05</v>
      </c>
      <c r="K268" s="10" t="n">
        <f aca="false">I268*(1-J268)</f>
        <v>1153.0245</v>
      </c>
      <c r="L268" s="12" t="n">
        <f aca="false">CRM_Raw!K268</f>
        <v>0</v>
      </c>
      <c r="M268" s="12" t="n">
        <f aca="false">IF(H268="Closed Won",1,0)</f>
        <v>0</v>
      </c>
    </row>
    <row r="269" customFormat="false" ht="15" hidden="false" customHeight="false" outlineLevel="0" collapsed="false">
      <c r="A269" s="0" t="str">
        <f aca="false">CRM_Raw!A269</f>
        <v>D-10265</v>
      </c>
      <c r="B269" s="0" t="str">
        <f aca="false">CRM_Raw!B269</f>
        <v>2025-11-04</v>
      </c>
      <c r="C269" s="0" t="n">
        <f aca="false">CRM_Raw!C269</f>
        <v>0</v>
      </c>
      <c r="D269" s="0" t="str">
        <f aca="false">IF(CRM_Raw!D269="DACH","DACH",IF(ISNUMBER(SEARCH("uk",CRM_Raw!D269)),"UK &amp; Ireland",PROPER(CRM_Raw!D269)))</f>
        <v>Nordics</v>
      </c>
      <c r="E269" s="0" t="str">
        <f aca="false">CRM_Raw!E269</f>
        <v>Coffee Systems</v>
      </c>
      <c r="F269" s="0" t="str">
        <f aca="false">CRM_Raw!F269</f>
        <v>Trade Show</v>
      </c>
      <c r="G269" s="0" t="str">
        <f aca="false">IF(TRIM(CRM_Raw!G269)="","Unassigned",CRM_Raw!G269)</f>
        <v>S. Andersson</v>
      </c>
      <c r="H269" s="0" t="str">
        <f aca="false">CRM_Raw!H269</f>
        <v>Negotiation</v>
      </c>
      <c r="I269" s="10" t="n">
        <f aca="false">CRM_Raw!I269</f>
        <v>573.71</v>
      </c>
      <c r="J269" s="11" t="n">
        <f aca="false">CRM_Raw!J269</f>
        <v>0</v>
      </c>
      <c r="K269" s="10" t="n">
        <f aca="false">I269*(1-J269)</f>
        <v>573.71</v>
      </c>
      <c r="L269" s="12" t="n">
        <f aca="false">CRM_Raw!K269</f>
        <v>0</v>
      </c>
      <c r="M269" s="12" t="n">
        <f aca="false">IF(H269="Closed Won",1,0)</f>
        <v>0</v>
      </c>
    </row>
    <row r="270" customFormat="false" ht="15" hidden="false" customHeight="false" outlineLevel="0" collapsed="false">
      <c r="A270" s="0" t="str">
        <f aca="false">CRM_Raw!A270</f>
        <v>D-10266</v>
      </c>
      <c r="B270" s="0" t="str">
        <f aca="false">CRM_Raw!B270</f>
        <v>2025-02-27</v>
      </c>
      <c r="C270" s="0" t="n">
        <f aca="false">CRM_Raw!C270</f>
        <v>0</v>
      </c>
      <c r="D270" s="0" t="str">
        <f aca="false">IF(CRM_Raw!D270="DACH","DACH",IF(ISNUMBER(SEARCH("uk",CRM_Raw!D270)),"UK &amp; Ireland",PROPER(CRM_Raw!D270)))</f>
        <v>Benelux</v>
      </c>
      <c r="E270" s="0" t="str">
        <f aca="false">CRM_Raw!E270</f>
        <v>Dishwashers</v>
      </c>
      <c r="F270" s="0" t="str">
        <f aca="false">CRM_Raw!F270</f>
        <v>Paid Search</v>
      </c>
      <c r="G270" s="0" t="str">
        <f aca="false">IF(TRIM(CRM_Raw!G270)="","Unassigned",CRM_Raw!G270)</f>
        <v>T. Wagner</v>
      </c>
      <c r="H270" s="0" t="str">
        <f aca="false">CRM_Raw!H270</f>
        <v>Negotiation</v>
      </c>
      <c r="I270" s="10" t="n">
        <f aca="false">CRM_Raw!I270</f>
        <v>757.73</v>
      </c>
      <c r="J270" s="11" t="n">
        <f aca="false">CRM_Raw!J270</f>
        <v>0.05</v>
      </c>
      <c r="K270" s="10" t="n">
        <f aca="false">I270*(1-J270)</f>
        <v>719.8435</v>
      </c>
      <c r="L270" s="12" t="n">
        <f aca="false">CRM_Raw!K270</f>
        <v>0</v>
      </c>
      <c r="M270" s="12" t="n">
        <f aca="false">IF(H270="Closed Won",1,0)</f>
        <v>0</v>
      </c>
    </row>
    <row r="271" customFormat="false" ht="15" hidden="false" customHeight="false" outlineLevel="0" collapsed="false">
      <c r="A271" s="0" t="str">
        <f aca="false">CRM_Raw!A271</f>
        <v>D-10267</v>
      </c>
      <c r="B271" s="0" t="str">
        <f aca="false">CRM_Raw!B271</f>
        <v>2025-04-08</v>
      </c>
      <c r="C271" s="0" t="n">
        <f aca="false">CRM_Raw!C271</f>
        <v>0</v>
      </c>
      <c r="D271" s="0" t="str">
        <f aca="false">IF(CRM_Raw!D271="DACH","DACH",IF(ISNUMBER(SEARCH("uk",CRM_Raw!D271)),"UK &amp; Ireland",PROPER(CRM_Raw!D271)))</f>
        <v>North America</v>
      </c>
      <c r="E271" s="0" t="str">
        <f aca="false">CRM_Raw!E271</f>
        <v>Dishwashers</v>
      </c>
      <c r="F271" s="0" t="str">
        <f aca="false">CRM_Raw!F271</f>
        <v>Affiliate Partner</v>
      </c>
      <c r="G271" s="0" t="str">
        <f aca="false">IF(TRIM(CRM_Raw!G271)="","Unassigned",CRM_Raw!G271)</f>
        <v>P. Rossi</v>
      </c>
      <c r="H271" s="0" t="str">
        <f aca="false">CRM_Raw!H271</f>
        <v>Qualified</v>
      </c>
      <c r="I271" s="10" t="n">
        <f aca="false">CRM_Raw!I271</f>
        <v>794.99</v>
      </c>
      <c r="J271" s="11" t="n">
        <f aca="false">CRM_Raw!J271</f>
        <v>0</v>
      </c>
      <c r="K271" s="10" t="n">
        <f aca="false">I271*(1-J271)</f>
        <v>794.99</v>
      </c>
      <c r="L271" s="12" t="n">
        <f aca="false">CRM_Raw!K271</f>
        <v>0</v>
      </c>
      <c r="M271" s="12" t="n">
        <f aca="false">IF(H271="Closed Won",1,0)</f>
        <v>0</v>
      </c>
    </row>
    <row r="272" customFormat="false" ht="15" hidden="false" customHeight="false" outlineLevel="0" collapsed="false">
      <c r="A272" s="0" t="str">
        <f aca="false">CRM_Raw!A272</f>
        <v>D-10268</v>
      </c>
      <c r="B272" s="0" t="str">
        <f aca="false">CRM_Raw!B272</f>
        <v>2025-10-05</v>
      </c>
      <c r="C272" s="0" t="str">
        <f aca="false">CRM_Raw!C272</f>
        <v>2025-10-15</v>
      </c>
      <c r="D272" s="0" t="str">
        <f aca="false">IF(CRM_Raw!D272="DACH","DACH",IF(ISNUMBER(SEARCH("uk",CRM_Raw!D272)),"UK &amp; Ireland",PROPER(CRM_Raw!D272)))</f>
        <v>North America</v>
      </c>
      <c r="E272" s="0" t="str">
        <f aca="false">CRM_Raw!E272</f>
        <v>Small Kitchen Appliances</v>
      </c>
      <c r="F272" s="0" t="str">
        <f aca="false">CRM_Raw!F272</f>
        <v>Retail Referral</v>
      </c>
      <c r="G272" s="0" t="str">
        <f aca="false">IF(TRIM(CRM_Raw!G272)="","Unassigned",CRM_Raw!G272)</f>
        <v>T. Wagner</v>
      </c>
      <c r="H272" s="0" t="str">
        <f aca="false">CRM_Raw!H272</f>
        <v>Closed Won</v>
      </c>
      <c r="I272" s="10" t="n">
        <f aca="false">CRM_Raw!I272</f>
        <v>111.86</v>
      </c>
      <c r="J272" s="11" t="n">
        <f aca="false">CRM_Raw!J272</f>
        <v>0.1</v>
      </c>
      <c r="K272" s="10" t="n">
        <f aca="false">I272*(1-J272)</f>
        <v>100.674</v>
      </c>
      <c r="L272" s="12" t="n">
        <f aca="false">CRM_Raw!K272</f>
        <v>10</v>
      </c>
      <c r="M272" s="12" t="n">
        <f aca="false">IF(H272="Closed Won",1,0)</f>
        <v>1</v>
      </c>
    </row>
    <row r="273" customFormat="false" ht="15" hidden="false" customHeight="false" outlineLevel="0" collapsed="false">
      <c r="A273" s="0" t="str">
        <f aca="false">CRM_Raw!A273</f>
        <v>D-10269</v>
      </c>
      <c r="B273" s="0" t="str">
        <f aca="false">CRM_Raw!B273</f>
        <v>2025-01-17</v>
      </c>
      <c r="C273" s="0" t="n">
        <f aca="false">CRM_Raw!C273</f>
        <v>0</v>
      </c>
      <c r="D273" s="0" t="str">
        <f aca="false">IF(CRM_Raw!D273="DACH","DACH",IF(ISNUMBER(SEARCH("uk",CRM_Raw!D273)),"UK &amp; Ireland",PROPER(CRM_Raw!D273)))</f>
        <v>Nordics</v>
      </c>
      <c r="E273" s="0" t="str">
        <f aca="false">CRM_Raw!E273</f>
        <v>Small Kitchen Appliances</v>
      </c>
      <c r="F273" s="0" t="str">
        <f aca="false">CRM_Raw!F273</f>
        <v>Web-shop Organic</v>
      </c>
      <c r="G273" s="0" t="str">
        <f aca="false">IF(TRIM(CRM_Raw!G273)="","Unassigned",CRM_Raw!G273)</f>
        <v>P. Rossi</v>
      </c>
      <c r="H273" s="0" t="str">
        <f aca="false">CRM_Raw!H273</f>
        <v>Qualified</v>
      </c>
      <c r="I273" s="10" t="n">
        <f aca="false">CRM_Raw!I273</f>
        <v>254.13</v>
      </c>
      <c r="J273" s="11" t="n">
        <f aca="false">CRM_Raw!J273</f>
        <v>0</v>
      </c>
      <c r="K273" s="10" t="n">
        <f aca="false">I273*(1-J273)</f>
        <v>254.13</v>
      </c>
      <c r="L273" s="12" t="n">
        <f aca="false">CRM_Raw!K273</f>
        <v>0</v>
      </c>
      <c r="M273" s="12" t="n">
        <f aca="false">IF(H273="Closed Won",1,0)</f>
        <v>0</v>
      </c>
    </row>
    <row r="274" customFormat="false" ht="15" hidden="false" customHeight="false" outlineLevel="0" collapsed="false">
      <c r="A274" s="0" t="str">
        <f aca="false">CRM_Raw!A274</f>
        <v>D-10270</v>
      </c>
      <c r="B274" s="0" t="str">
        <f aca="false">CRM_Raw!B274</f>
        <v>2025-12-06</v>
      </c>
      <c r="C274" s="0" t="str">
        <f aca="false">CRM_Raw!C274</f>
        <v>2025-12-25</v>
      </c>
      <c r="D274" s="0" t="str">
        <f aca="false">IF(CRM_Raw!D274="DACH","DACH",IF(ISNUMBER(SEARCH("uk",CRM_Raw!D274)),"UK &amp; Ireland",PROPER(CRM_Raw!D274)))</f>
        <v>France</v>
      </c>
      <c r="E274" s="0" t="str">
        <f aca="false">CRM_Raw!E274</f>
        <v>Coffee Systems</v>
      </c>
      <c r="F274" s="0" t="str">
        <f aca="false">CRM_Raw!F274</f>
        <v>Social Media Ads</v>
      </c>
      <c r="G274" s="0" t="str">
        <f aca="false">IF(TRIM(CRM_Raw!G274)="","Unassigned",CRM_Raw!G274)</f>
        <v>K. Nilsson</v>
      </c>
      <c r="H274" s="0" t="str">
        <f aca="false">CRM_Raw!H274</f>
        <v>Closed Lost</v>
      </c>
      <c r="I274" s="10" t="n">
        <f aca="false">CRM_Raw!I274</f>
        <v>553.69</v>
      </c>
      <c r="J274" s="11" t="n">
        <f aca="false">CRM_Raw!J274</f>
        <v>0.1</v>
      </c>
      <c r="K274" s="10" t="n">
        <f aca="false">I274*(1-J274)</f>
        <v>498.321</v>
      </c>
      <c r="L274" s="12" t="n">
        <f aca="false">CRM_Raw!K274</f>
        <v>19</v>
      </c>
      <c r="M274" s="12" t="n">
        <f aca="false">IF(H274="Closed Won",1,0)</f>
        <v>0</v>
      </c>
    </row>
    <row r="275" customFormat="false" ht="15" hidden="false" customHeight="false" outlineLevel="0" collapsed="false">
      <c r="A275" s="0" t="str">
        <f aca="false">CRM_Raw!A275</f>
        <v>D-10271</v>
      </c>
      <c r="B275" s="0" t="str">
        <f aca="false">CRM_Raw!B275</f>
        <v>2025-08-26</v>
      </c>
      <c r="C275" s="0" t="n">
        <f aca="false">CRM_Raw!C275</f>
        <v>0</v>
      </c>
      <c r="D275" s="0" t="str">
        <f aca="false">IF(CRM_Raw!D275="DACH","DACH",IF(ISNUMBER(SEARCH("uk",CRM_Raw!D275)),"UK &amp; Ireland",PROPER(CRM_Raw!D275)))</f>
        <v>Southern Europe</v>
      </c>
      <c r="E275" s="0" t="str">
        <f aca="false">CRM_Raw!E275</f>
        <v>Cordless Vacuums</v>
      </c>
      <c r="F275" s="0" t="str">
        <f aca="false">CRM_Raw!F275</f>
        <v>Web-shop Organic</v>
      </c>
      <c r="G275" s="0" t="str">
        <f aca="false">IF(TRIM(CRM_Raw!G275)="","Unassigned",CRM_Raw!G275)</f>
        <v>K. Nilsson</v>
      </c>
      <c r="H275" s="0" t="str">
        <f aca="false">CRM_Raw!H275</f>
        <v>Proposal Sent</v>
      </c>
      <c r="I275" s="10" t="n">
        <f aca="false">CRM_Raw!I275</f>
        <v>1055.52</v>
      </c>
      <c r="J275" s="11" t="n">
        <f aca="false">CRM_Raw!J275</f>
        <v>0.1</v>
      </c>
      <c r="K275" s="10" t="n">
        <f aca="false">I275*(1-J275)</f>
        <v>949.968</v>
      </c>
      <c r="L275" s="12" t="n">
        <f aca="false">CRM_Raw!K275</f>
        <v>0</v>
      </c>
      <c r="M275" s="12" t="n">
        <f aca="false">IF(H275="Closed Won",1,0)</f>
        <v>0</v>
      </c>
    </row>
    <row r="276" customFormat="false" ht="15" hidden="false" customHeight="false" outlineLevel="0" collapsed="false">
      <c r="A276" s="0" t="str">
        <f aca="false">CRM_Raw!A276</f>
        <v>D-10272</v>
      </c>
      <c r="B276" s="0" t="str">
        <f aca="false">CRM_Raw!B276</f>
        <v>2026-04-07</v>
      </c>
      <c r="C276" s="0" t="str">
        <f aca="false">CRM_Raw!C276</f>
        <v>2026-04-12</v>
      </c>
      <c r="D276" s="0" t="str">
        <f aca="false">IF(CRM_Raw!D276="DACH","DACH",IF(ISNUMBER(SEARCH("uk",CRM_Raw!D276)),"UK &amp; Ireland",PROPER(CRM_Raw!D276)))</f>
        <v>Benelux</v>
      </c>
      <c r="E276" s="0" t="str">
        <f aca="false">CRM_Raw!E276</f>
        <v>Cordless Vacuums</v>
      </c>
      <c r="F276" s="0" t="str">
        <f aca="false">CRM_Raw!F276</f>
        <v>Web-shop Organic</v>
      </c>
      <c r="G276" s="0" t="str">
        <f aca="false">IF(TRIM(CRM_Raw!G276)="","Unassigned",CRM_Raw!G276)</f>
        <v>J. Murphy</v>
      </c>
      <c r="H276" s="0" t="str">
        <f aca="false">CRM_Raw!H276</f>
        <v>Closed Lost</v>
      </c>
      <c r="I276" s="10" t="n">
        <f aca="false">CRM_Raw!I276</f>
        <v>706.33</v>
      </c>
      <c r="J276" s="11" t="n">
        <f aca="false">CRM_Raw!J276</f>
        <v>0.05</v>
      </c>
      <c r="K276" s="10" t="n">
        <f aca="false">I276*(1-J276)</f>
        <v>671.0135</v>
      </c>
      <c r="L276" s="12" t="n">
        <f aca="false">CRM_Raw!K276</f>
        <v>5</v>
      </c>
      <c r="M276" s="12" t="n">
        <f aca="false">IF(H276="Closed Won",1,0)</f>
        <v>0</v>
      </c>
    </row>
    <row r="277" customFormat="false" ht="15" hidden="false" customHeight="false" outlineLevel="0" collapsed="false">
      <c r="A277" s="0" t="str">
        <f aca="false">CRM_Raw!A277</f>
        <v>D-10273</v>
      </c>
      <c r="B277" s="0" t="str">
        <f aca="false">CRM_Raw!B277</f>
        <v>2025-03-29</v>
      </c>
      <c r="C277" s="0" t="n">
        <f aca="false">CRM_Raw!C277</f>
        <v>0</v>
      </c>
      <c r="D277" s="0" t="str">
        <f aca="false">IF(CRM_Raw!D277="DACH","DACH",IF(ISNUMBER(SEARCH("uk",CRM_Raw!D277)),"UK &amp; Ireland",PROPER(CRM_Raw!D277)))</f>
        <v>UK &amp; Ireland</v>
      </c>
      <c r="E277" s="0" t="str">
        <f aca="false">CRM_Raw!E277</f>
        <v>Small Kitchen Appliances</v>
      </c>
      <c r="F277" s="0" t="str">
        <f aca="false">CRM_Raw!F277</f>
        <v>Social Media Ads</v>
      </c>
      <c r="G277" s="0" t="str">
        <f aca="false">IF(TRIM(CRM_Raw!G277)="","Unassigned",CRM_Raw!G277)</f>
        <v>K. Nilsson</v>
      </c>
      <c r="H277" s="0" t="str">
        <f aca="false">CRM_Raw!H277</f>
        <v>Proposal Sent</v>
      </c>
      <c r="I277" s="10" t="n">
        <f aca="false">CRM_Raw!I277</f>
        <v>118.41</v>
      </c>
      <c r="J277" s="11" t="n">
        <f aca="false">CRM_Raw!J277</f>
        <v>0.15</v>
      </c>
      <c r="K277" s="10" t="n">
        <f aca="false">I277*(1-J277)</f>
        <v>100.6485</v>
      </c>
      <c r="L277" s="12" t="n">
        <f aca="false">CRM_Raw!K277</f>
        <v>0</v>
      </c>
      <c r="M277" s="12" t="n">
        <f aca="false">IF(H277="Closed Won",1,0)</f>
        <v>0</v>
      </c>
    </row>
    <row r="278" customFormat="false" ht="15" hidden="false" customHeight="false" outlineLevel="0" collapsed="false">
      <c r="A278" s="0" t="str">
        <f aca="false">CRM_Raw!A278</f>
        <v>D-10274</v>
      </c>
      <c r="B278" s="0" t="str">
        <f aca="false">CRM_Raw!B278</f>
        <v>2025-06-07</v>
      </c>
      <c r="C278" s="0" t="n">
        <f aca="false">CRM_Raw!C278</f>
        <v>0</v>
      </c>
      <c r="D278" s="0" t="str">
        <f aca="false">IF(CRM_Raw!D278="DACH","DACH",IF(ISNUMBER(SEARCH("uk",CRM_Raw!D278)),"UK &amp; Ireland",PROPER(CRM_Raw!D278)))</f>
        <v>DACH</v>
      </c>
      <c r="E278" s="0" t="str">
        <f aca="false">CRM_Raw!E278</f>
        <v>Smart Ovens</v>
      </c>
      <c r="F278" s="0" t="str">
        <f aca="false">CRM_Raw!F278</f>
        <v>Paid Search</v>
      </c>
      <c r="G278" s="0" t="str">
        <f aca="false">IF(TRIM(CRM_Raw!G278)="","Unassigned",CRM_Raw!G278)</f>
        <v>K. Nilsson</v>
      </c>
      <c r="H278" s="0" t="str">
        <f aca="false">CRM_Raw!H278</f>
        <v>Negotiation</v>
      </c>
      <c r="I278" s="10" t="n">
        <f aca="false">CRM_Raw!I278</f>
        <v>829.63</v>
      </c>
      <c r="J278" s="11" t="n">
        <f aca="false">CRM_Raw!J278</f>
        <v>0</v>
      </c>
      <c r="K278" s="10" t="n">
        <f aca="false">I278*(1-J278)</f>
        <v>829.63</v>
      </c>
      <c r="L278" s="12" t="n">
        <f aca="false">CRM_Raw!K278</f>
        <v>0</v>
      </c>
      <c r="M278" s="12" t="n">
        <f aca="false">IF(H278="Closed Won",1,0)</f>
        <v>0</v>
      </c>
    </row>
    <row r="279" customFormat="false" ht="15" hidden="false" customHeight="false" outlineLevel="0" collapsed="false">
      <c r="A279" s="0" t="str">
        <f aca="false">CRM_Raw!A279</f>
        <v>D-10275</v>
      </c>
      <c r="B279" s="0" t="str">
        <f aca="false">CRM_Raw!B279</f>
        <v>2025-04-15</v>
      </c>
      <c r="C279" s="0" t="str">
        <f aca="false">CRM_Raw!C279</f>
        <v>2025-05-09</v>
      </c>
      <c r="D279" s="0" t="str">
        <f aca="false">IF(CRM_Raw!D279="DACH","DACH",IF(ISNUMBER(SEARCH("uk",CRM_Raw!D279)),"UK &amp; Ireland",PROPER(CRM_Raw!D279)))</f>
        <v>DACH</v>
      </c>
      <c r="E279" s="0" t="str">
        <f aca="false">CRM_Raw!E279</f>
        <v>Cordless Vacuums</v>
      </c>
      <c r="F279" s="0" t="str">
        <f aca="false">CRM_Raw!F279</f>
        <v>Paid Search</v>
      </c>
      <c r="G279" s="0" t="str">
        <f aca="false">IF(TRIM(CRM_Raw!G279)="","Unassigned",CRM_Raw!G279)</f>
        <v>J. Murphy</v>
      </c>
      <c r="H279" s="0" t="str">
        <f aca="false">CRM_Raw!H279</f>
        <v>Closed Won</v>
      </c>
      <c r="I279" s="10" t="n">
        <f aca="false">CRM_Raw!I279</f>
        <v>741.01</v>
      </c>
      <c r="J279" s="11" t="n">
        <f aca="false">CRM_Raw!J279</f>
        <v>0</v>
      </c>
      <c r="K279" s="10" t="n">
        <f aca="false">I279*(1-J279)</f>
        <v>741.01</v>
      </c>
      <c r="L279" s="12" t="n">
        <f aca="false">CRM_Raw!K279</f>
        <v>24</v>
      </c>
      <c r="M279" s="12" t="n">
        <f aca="false">IF(H279="Closed Won",1,0)</f>
        <v>1</v>
      </c>
    </row>
    <row r="280" customFormat="false" ht="15" hidden="false" customHeight="false" outlineLevel="0" collapsed="false">
      <c r="A280" s="0" t="str">
        <f aca="false">CRM_Raw!A280</f>
        <v>D-10276</v>
      </c>
      <c r="B280" s="0" t="str">
        <f aca="false">CRM_Raw!B280</f>
        <v>2025-11-29</v>
      </c>
      <c r="C280" s="0" t="n">
        <f aca="false">CRM_Raw!C280</f>
        <v>0</v>
      </c>
      <c r="D280" s="0" t="str">
        <f aca="false">IF(CRM_Raw!D280="DACH","DACH",IF(ISNUMBER(SEARCH("uk",CRM_Raw!D280)),"UK &amp; Ireland",PROPER(CRM_Raw!D280)))</f>
        <v>DACH</v>
      </c>
      <c r="E280" s="0" t="str">
        <f aca="false">CRM_Raw!E280</f>
        <v>Smart Ovens</v>
      </c>
      <c r="F280" s="0" t="str">
        <f aca="false">CRM_Raw!F280</f>
        <v>Paid Search</v>
      </c>
      <c r="G280" s="0" t="str">
        <f aca="false">IF(TRIM(CRM_Raw!G280)="","Unassigned",CRM_Raw!G280)</f>
        <v>L. Dubois</v>
      </c>
      <c r="H280" s="0" t="str">
        <f aca="false">CRM_Raw!H280</f>
        <v>Proposal Sent</v>
      </c>
      <c r="I280" s="10" t="n">
        <f aca="false">CRM_Raw!I280</f>
        <v>1533.4</v>
      </c>
      <c r="J280" s="11" t="n">
        <f aca="false">CRM_Raw!J280</f>
        <v>0.05</v>
      </c>
      <c r="K280" s="10" t="n">
        <f aca="false">I280*(1-J280)</f>
        <v>1456.73</v>
      </c>
      <c r="L280" s="12" t="n">
        <f aca="false">CRM_Raw!K280</f>
        <v>0</v>
      </c>
      <c r="M280" s="12" t="n">
        <f aca="false">IF(H280="Closed Won",1,0)</f>
        <v>0</v>
      </c>
    </row>
    <row r="281" customFormat="false" ht="15" hidden="false" customHeight="false" outlineLevel="0" collapsed="false">
      <c r="A281" s="0" t="str">
        <f aca="false">CRM_Raw!A281</f>
        <v>D-10277</v>
      </c>
      <c r="B281" s="0" t="str">
        <f aca="false">CRM_Raw!B281</f>
        <v>2025-06-23</v>
      </c>
      <c r="C281" s="0" t="n">
        <f aca="false">CRM_Raw!C281</f>
        <v>0</v>
      </c>
      <c r="D281" s="0" t="str">
        <f aca="false">IF(CRM_Raw!D281="DACH","DACH",IF(ISNUMBER(SEARCH("uk",CRM_Raw!D281)),"UK &amp; Ireland",PROPER(CRM_Raw!D281)))</f>
        <v>North America</v>
      </c>
      <c r="E281" s="0" t="str">
        <f aca="false">CRM_Raw!E281</f>
        <v>Smart Ovens</v>
      </c>
      <c r="F281" s="0" t="str">
        <f aca="false">CRM_Raw!F281</f>
        <v>Affiliate Partner</v>
      </c>
      <c r="G281" s="0" t="str">
        <f aca="false">IF(TRIM(CRM_Raw!G281)="","Unassigned",CRM_Raw!G281)</f>
        <v>S. Andersson</v>
      </c>
      <c r="H281" s="0" t="str">
        <f aca="false">CRM_Raw!H281</f>
        <v>Negotiation</v>
      </c>
      <c r="I281" s="10" t="n">
        <f aca="false">CRM_Raw!I281</f>
        <v>799.2</v>
      </c>
      <c r="J281" s="11" t="n">
        <f aca="false">CRM_Raw!J281</f>
        <v>0</v>
      </c>
      <c r="K281" s="10" t="n">
        <f aca="false">I281*(1-J281)</f>
        <v>799.2</v>
      </c>
      <c r="L281" s="12" t="n">
        <f aca="false">CRM_Raw!K281</f>
        <v>0</v>
      </c>
      <c r="M281" s="12" t="n">
        <f aca="false">IF(H281="Closed Won",1,0)</f>
        <v>0</v>
      </c>
    </row>
    <row r="282" customFormat="false" ht="15" hidden="false" customHeight="false" outlineLevel="0" collapsed="false">
      <c r="A282" s="0" t="str">
        <f aca="false">CRM_Raw!A282</f>
        <v>D-10278</v>
      </c>
      <c r="B282" s="0" t="str">
        <f aca="false">CRM_Raw!B282</f>
        <v>2026-03-22</v>
      </c>
      <c r="C282" s="0" t="str">
        <f aca="false">CRM_Raw!C282</f>
        <v>2026-04-21</v>
      </c>
      <c r="D282" s="0" t="str">
        <f aca="false">IF(CRM_Raw!D282="DACH","DACH",IF(ISNUMBER(SEARCH("uk",CRM_Raw!D282)),"UK &amp; Ireland",PROPER(CRM_Raw!D282)))</f>
        <v>France</v>
      </c>
      <c r="E282" s="0" t="str">
        <f aca="false">CRM_Raw!E282</f>
        <v>Dishwashers</v>
      </c>
      <c r="F282" s="0" t="str">
        <f aca="false">CRM_Raw!F282</f>
        <v>Web-shop Organic</v>
      </c>
      <c r="G282" s="0" t="str">
        <f aca="false">IF(TRIM(CRM_Raw!G282)="","Unassigned",CRM_Raw!G282)</f>
        <v>M. Hoffmann</v>
      </c>
      <c r="H282" s="0" t="str">
        <f aca="false">CRM_Raw!H282</f>
        <v>Closed Won</v>
      </c>
      <c r="I282" s="10" t="n">
        <f aca="false">CRM_Raw!I282</f>
        <v>688.29</v>
      </c>
      <c r="J282" s="11" t="n">
        <f aca="false">CRM_Raw!J282</f>
        <v>0</v>
      </c>
      <c r="K282" s="10" t="n">
        <f aca="false">I282*(1-J282)</f>
        <v>688.29</v>
      </c>
      <c r="L282" s="12" t="n">
        <f aca="false">CRM_Raw!K282</f>
        <v>30</v>
      </c>
      <c r="M282" s="12" t="n">
        <f aca="false">IF(H282="Closed Won",1,0)</f>
        <v>1</v>
      </c>
    </row>
    <row r="283" customFormat="false" ht="15" hidden="false" customHeight="false" outlineLevel="0" collapsed="false">
      <c r="A283" s="0" t="str">
        <f aca="false">CRM_Raw!A283</f>
        <v>D-10279</v>
      </c>
      <c r="B283" s="0" t="str">
        <f aca="false">CRM_Raw!B283</f>
        <v>2025-07-20</v>
      </c>
      <c r="C283" s="0" t="str">
        <f aca="false">CRM_Raw!C283</f>
        <v>2025-08-10</v>
      </c>
      <c r="D283" s="0" t="str">
        <f aca="false">IF(CRM_Raw!D283="DACH","DACH",IF(ISNUMBER(SEARCH("uk",CRM_Raw!D283)),"UK &amp; Ireland",PROPER(CRM_Raw!D283)))</f>
        <v>France</v>
      </c>
      <c r="E283" s="0" t="str">
        <f aca="false">CRM_Raw!E283</f>
        <v>Coffee Systems</v>
      </c>
      <c r="F283" s="0" t="str">
        <f aca="false">CRM_Raw!F283</f>
        <v>Affiliate Partner</v>
      </c>
      <c r="G283" s="0" t="str">
        <f aca="false">IF(TRIM(CRM_Raw!G283)="","Unassigned",CRM_Raw!G283)</f>
        <v>T. Wagner</v>
      </c>
      <c r="H283" s="0" t="str">
        <f aca="false">CRM_Raw!H283</f>
        <v>Closed Lost</v>
      </c>
      <c r="I283" s="10" t="n">
        <f aca="false">CRM_Raw!I283</f>
        <v>1549.84</v>
      </c>
      <c r="J283" s="11" t="n">
        <f aca="false">CRM_Raw!J283</f>
        <v>0.05</v>
      </c>
      <c r="K283" s="10" t="n">
        <f aca="false">I283*(1-J283)</f>
        <v>1472.348</v>
      </c>
      <c r="L283" s="12" t="n">
        <f aca="false">CRM_Raw!K283</f>
        <v>21</v>
      </c>
      <c r="M283" s="12" t="n">
        <f aca="false">IF(H283="Closed Won",1,0)</f>
        <v>0</v>
      </c>
    </row>
    <row r="284" customFormat="false" ht="15" hidden="false" customHeight="false" outlineLevel="0" collapsed="false">
      <c r="A284" s="0" t="str">
        <f aca="false">CRM_Raw!A284</f>
        <v>D-10280</v>
      </c>
      <c r="B284" s="0" t="str">
        <f aca="false">CRM_Raw!B284</f>
        <v>2025-05-20</v>
      </c>
      <c r="C284" s="0" t="str">
        <f aca="false">CRM_Raw!C284</f>
        <v>2025-06-10</v>
      </c>
      <c r="D284" s="0" t="str">
        <f aca="false">IF(CRM_Raw!D284="DACH","DACH",IF(ISNUMBER(SEARCH("uk",CRM_Raw!D284)),"UK &amp; Ireland",PROPER(CRM_Raw!D284)))</f>
        <v>North America</v>
      </c>
      <c r="E284" s="0" t="str">
        <f aca="false">CRM_Raw!E284</f>
        <v>Cordless Vacuums</v>
      </c>
      <c r="F284" s="0" t="str">
        <f aca="false">CRM_Raw!F284</f>
        <v>Paid Search</v>
      </c>
      <c r="G284" s="0" t="str">
        <f aca="false">IF(TRIM(CRM_Raw!G284)="","Unassigned",CRM_Raw!G284)</f>
        <v>K. Nilsson</v>
      </c>
      <c r="H284" s="0" t="str">
        <f aca="false">CRM_Raw!H284</f>
        <v>Closed Won</v>
      </c>
      <c r="I284" s="10" t="n">
        <f aca="false">CRM_Raw!I284</f>
        <v>374.73</v>
      </c>
      <c r="J284" s="11" t="n">
        <f aca="false">CRM_Raw!J284</f>
        <v>0.05</v>
      </c>
      <c r="K284" s="10" t="n">
        <f aca="false">I284*(1-J284)</f>
        <v>355.9935</v>
      </c>
      <c r="L284" s="12" t="n">
        <f aca="false">CRM_Raw!K284</f>
        <v>21</v>
      </c>
      <c r="M284" s="12" t="n">
        <f aca="false">IF(H284="Closed Won",1,0)</f>
        <v>1</v>
      </c>
    </row>
    <row r="285" customFormat="false" ht="15" hidden="false" customHeight="false" outlineLevel="0" collapsed="false">
      <c r="A285" s="0" t="str">
        <f aca="false">CRM_Raw!A285</f>
        <v>D-10281</v>
      </c>
      <c r="B285" s="0" t="str">
        <f aca="false">CRM_Raw!B285</f>
        <v>2025-10-26</v>
      </c>
      <c r="C285" s="0" t="n">
        <f aca="false">CRM_Raw!C285</f>
        <v>0</v>
      </c>
      <c r="D285" s="0" t="str">
        <f aca="false">IF(CRM_Raw!D285="DACH","DACH",IF(ISNUMBER(SEARCH("uk",CRM_Raw!D285)),"UK &amp; Ireland",PROPER(CRM_Raw!D285)))</f>
        <v>France</v>
      </c>
      <c r="E285" s="0" t="str">
        <f aca="false">CRM_Raw!E285</f>
        <v>Coffee Systems</v>
      </c>
      <c r="F285" s="0" t="str">
        <f aca="false">CRM_Raw!F285</f>
        <v>Trade Show</v>
      </c>
      <c r="G285" s="0" t="str">
        <f aca="false">IF(TRIM(CRM_Raw!G285)="","Unassigned",CRM_Raw!G285)</f>
        <v>P. Rossi</v>
      </c>
      <c r="H285" s="0" t="str">
        <f aca="false">CRM_Raw!H285</f>
        <v>Negotiation</v>
      </c>
      <c r="I285" s="10" t="n">
        <f aca="false">CRM_Raw!I285</f>
        <v>1639.7</v>
      </c>
      <c r="J285" s="11" t="n">
        <f aca="false">CRM_Raw!J285</f>
        <v>0.2</v>
      </c>
      <c r="K285" s="10" t="n">
        <f aca="false">I285*(1-J285)</f>
        <v>1311.76</v>
      </c>
      <c r="L285" s="12" t="n">
        <f aca="false">CRM_Raw!K285</f>
        <v>0</v>
      </c>
      <c r="M285" s="12" t="n">
        <f aca="false">IF(H285="Closed Won",1,0)</f>
        <v>0</v>
      </c>
    </row>
    <row r="286" customFormat="false" ht="15" hidden="false" customHeight="false" outlineLevel="0" collapsed="false">
      <c r="A286" s="0" t="str">
        <f aca="false">CRM_Raw!A286</f>
        <v>D-10282</v>
      </c>
      <c r="B286" s="0" t="str">
        <f aca="false">CRM_Raw!B286</f>
        <v>2026-01-09</v>
      </c>
      <c r="C286" s="0" t="str">
        <f aca="false">CRM_Raw!C286</f>
        <v>2026-01-18</v>
      </c>
      <c r="D286" s="0" t="str">
        <f aca="false">IF(CRM_Raw!D286="DACH","DACH",IF(ISNUMBER(SEARCH("uk",CRM_Raw!D286)),"UK &amp; Ireland",PROPER(CRM_Raw!D286)))</f>
        <v>UK &amp; Ireland</v>
      </c>
      <c r="E286" s="0" t="str">
        <f aca="false">CRM_Raw!E286</f>
        <v>Cordless Vacuums</v>
      </c>
      <c r="F286" s="0" t="str">
        <f aca="false">CRM_Raw!F286</f>
        <v>Paid Search</v>
      </c>
      <c r="G286" s="0" t="str">
        <f aca="false">IF(TRIM(CRM_Raw!G286)="","Unassigned",CRM_Raw!G286)</f>
        <v>K. Nilsson</v>
      </c>
      <c r="H286" s="0" t="str">
        <f aca="false">CRM_Raw!H286</f>
        <v>Closed Won</v>
      </c>
      <c r="I286" s="10" t="n">
        <f aca="false">CRM_Raw!I286</f>
        <v>1109.14</v>
      </c>
      <c r="J286" s="11" t="n">
        <f aca="false">CRM_Raw!J286</f>
        <v>0</v>
      </c>
      <c r="K286" s="10" t="n">
        <f aca="false">I286*(1-J286)</f>
        <v>1109.14</v>
      </c>
      <c r="L286" s="12" t="n">
        <f aca="false">CRM_Raw!K286</f>
        <v>9</v>
      </c>
      <c r="M286" s="12" t="n">
        <f aca="false">IF(H286="Closed Won",1,0)</f>
        <v>1</v>
      </c>
    </row>
    <row r="287" customFormat="false" ht="15" hidden="false" customHeight="false" outlineLevel="0" collapsed="false">
      <c r="A287" s="0" t="str">
        <f aca="false">CRM_Raw!A287</f>
        <v>D-10283</v>
      </c>
      <c r="B287" s="0" t="str">
        <f aca="false">CRM_Raw!B287</f>
        <v>2026-03-25</v>
      </c>
      <c r="C287" s="0" t="n">
        <f aca="false">CRM_Raw!C287</f>
        <v>0</v>
      </c>
      <c r="D287" s="0" t="str">
        <f aca="false">IF(CRM_Raw!D287="DACH","DACH",IF(ISNUMBER(SEARCH("uk",CRM_Raw!D287)),"UK &amp; Ireland",PROPER(CRM_Raw!D287)))</f>
        <v>Southern Europe</v>
      </c>
      <c r="E287" s="0" t="str">
        <f aca="false">CRM_Raw!E287</f>
        <v>Dishwashers</v>
      </c>
      <c r="F287" s="0" t="str">
        <f aca="false">CRM_Raw!F287</f>
        <v>Retail Referral</v>
      </c>
      <c r="G287" s="0" t="str">
        <f aca="false">IF(TRIM(CRM_Raw!G287)="","Unassigned",CRM_Raw!G287)</f>
        <v>S. Andersson</v>
      </c>
      <c r="H287" s="0" t="str">
        <f aca="false">CRM_Raw!H287</f>
        <v>Proposal Sent</v>
      </c>
      <c r="I287" s="10" t="n">
        <f aca="false">CRM_Raw!I287</f>
        <v>779.85</v>
      </c>
      <c r="J287" s="11" t="n">
        <f aca="false">CRM_Raw!J287</f>
        <v>0.2</v>
      </c>
      <c r="K287" s="10" t="n">
        <f aca="false">I287*(1-J287)</f>
        <v>623.88</v>
      </c>
      <c r="L287" s="12" t="n">
        <f aca="false">CRM_Raw!K287</f>
        <v>0</v>
      </c>
      <c r="M287" s="12" t="n">
        <f aca="false">IF(H287="Closed Won",1,0)</f>
        <v>0</v>
      </c>
    </row>
    <row r="288" customFormat="false" ht="15" hidden="false" customHeight="false" outlineLevel="0" collapsed="false">
      <c r="A288" s="0" t="str">
        <f aca="false">CRM_Raw!A288</f>
        <v>D-10284</v>
      </c>
      <c r="B288" s="0" t="str">
        <f aca="false">CRM_Raw!B288</f>
        <v>2025-11-07</v>
      </c>
      <c r="C288" s="0" t="str">
        <f aca="false">CRM_Raw!C288</f>
        <v>2025-11-23</v>
      </c>
      <c r="D288" s="0" t="str">
        <f aca="false">IF(CRM_Raw!D288="DACH","DACH",IF(ISNUMBER(SEARCH("uk",CRM_Raw!D288)),"UK &amp; Ireland",PROPER(CRM_Raw!D288)))</f>
        <v>North America</v>
      </c>
      <c r="E288" s="0" t="str">
        <f aca="false">CRM_Raw!E288</f>
        <v>Dishwashers</v>
      </c>
      <c r="F288" s="0" t="str">
        <f aca="false">CRM_Raw!F288</f>
        <v>Affiliate Partner</v>
      </c>
      <c r="G288" s="0" t="str">
        <f aca="false">IF(TRIM(CRM_Raw!G288)="","Unassigned",CRM_Raw!G288)</f>
        <v>M. Hoffmann</v>
      </c>
      <c r="H288" s="0" t="str">
        <f aca="false">CRM_Raw!H288</f>
        <v>Closed Won</v>
      </c>
      <c r="I288" s="10" t="n">
        <f aca="false">CRM_Raw!I288</f>
        <v>1500.24</v>
      </c>
      <c r="J288" s="11" t="n">
        <f aca="false">CRM_Raw!J288</f>
        <v>0.2</v>
      </c>
      <c r="K288" s="10" t="n">
        <f aca="false">I288*(1-J288)</f>
        <v>1200.192</v>
      </c>
      <c r="L288" s="12" t="n">
        <f aca="false">CRM_Raw!K288</f>
        <v>16</v>
      </c>
      <c r="M288" s="12" t="n">
        <f aca="false">IF(H288="Closed Won",1,0)</f>
        <v>1</v>
      </c>
    </row>
    <row r="289" customFormat="false" ht="15" hidden="false" customHeight="false" outlineLevel="0" collapsed="false">
      <c r="A289" s="0" t="str">
        <f aca="false">CRM_Raw!A289</f>
        <v>D-10285</v>
      </c>
      <c r="B289" s="0" t="str">
        <f aca="false">CRM_Raw!B289</f>
        <v>2026-02-15</v>
      </c>
      <c r="C289" s="0" t="str">
        <f aca="false">CRM_Raw!C289</f>
        <v>2026-03-24</v>
      </c>
      <c r="D289" s="0" t="str">
        <f aca="false">IF(CRM_Raw!D289="DACH","DACH",IF(ISNUMBER(SEARCH("uk",CRM_Raw!D289)),"UK &amp; Ireland",PROPER(CRM_Raw!D289)))</f>
        <v>Benelux</v>
      </c>
      <c r="E289" s="0" t="str">
        <f aca="false">CRM_Raw!E289</f>
        <v>Smart Ovens</v>
      </c>
      <c r="F289" s="0" t="str">
        <f aca="false">CRM_Raw!F289</f>
        <v>Paid Search</v>
      </c>
      <c r="G289" s="0" t="str">
        <f aca="false">IF(TRIM(CRM_Raw!G289)="","Unassigned",CRM_Raw!G289)</f>
        <v>T. Wagner</v>
      </c>
      <c r="H289" s="0" t="str">
        <f aca="false">CRM_Raw!H289</f>
        <v>Closed Lost</v>
      </c>
      <c r="I289" s="10" t="n">
        <f aca="false">CRM_Raw!I289</f>
        <v>850.64</v>
      </c>
      <c r="J289" s="11" t="n">
        <f aca="false">CRM_Raw!J289</f>
        <v>0.2</v>
      </c>
      <c r="K289" s="10" t="n">
        <f aca="false">I289*(1-J289)</f>
        <v>680.512</v>
      </c>
      <c r="L289" s="12" t="n">
        <f aca="false">CRM_Raw!K289</f>
        <v>37</v>
      </c>
      <c r="M289" s="12" t="n">
        <f aca="false">IF(H289="Closed Won",1,0)</f>
        <v>0</v>
      </c>
    </row>
    <row r="290" customFormat="false" ht="15" hidden="false" customHeight="false" outlineLevel="0" collapsed="false">
      <c r="A290" s="0" t="str">
        <f aca="false">CRM_Raw!A290</f>
        <v>D-10286</v>
      </c>
      <c r="B290" s="0" t="str">
        <f aca="false">CRM_Raw!B290</f>
        <v>2025-04-22</v>
      </c>
      <c r="C290" s="0" t="n">
        <f aca="false">CRM_Raw!C290</f>
        <v>0</v>
      </c>
      <c r="D290" s="0" t="str">
        <f aca="false">IF(CRM_Raw!D290="DACH","DACH",IF(ISNUMBER(SEARCH("uk",CRM_Raw!D290)),"UK &amp; Ireland",PROPER(CRM_Raw!D290)))</f>
        <v>France</v>
      </c>
      <c r="E290" s="0" t="str">
        <f aca="false">CRM_Raw!E290</f>
        <v>Small Kitchen Appliances</v>
      </c>
      <c r="F290" s="0" t="str">
        <f aca="false">CRM_Raw!F290</f>
        <v>Retail Referral</v>
      </c>
      <c r="G290" s="0" t="str">
        <f aca="false">IF(TRIM(CRM_Raw!G290)="","Unassigned",CRM_Raw!G290)</f>
        <v>L. Dubois</v>
      </c>
      <c r="H290" s="0" t="str">
        <f aca="false">CRM_Raw!H290</f>
        <v>Proposal Sent</v>
      </c>
      <c r="I290" s="10" t="n">
        <f aca="false">CRM_Raw!I290</f>
        <v>129.16</v>
      </c>
      <c r="J290" s="11" t="n">
        <f aca="false">CRM_Raw!J290</f>
        <v>0</v>
      </c>
      <c r="K290" s="10" t="n">
        <f aca="false">I290*(1-J290)</f>
        <v>129.16</v>
      </c>
      <c r="L290" s="12" t="n">
        <f aca="false">CRM_Raw!K290</f>
        <v>0</v>
      </c>
      <c r="M290" s="12" t="n">
        <f aca="false">IF(H290="Closed Won",1,0)</f>
        <v>0</v>
      </c>
    </row>
    <row r="291" customFormat="false" ht="15" hidden="false" customHeight="false" outlineLevel="0" collapsed="false">
      <c r="A291" s="0" t="str">
        <f aca="false">CRM_Raw!A291</f>
        <v>D-10287</v>
      </c>
      <c r="B291" s="0" t="str">
        <f aca="false">CRM_Raw!B291</f>
        <v>2025-12-06</v>
      </c>
      <c r="C291" s="0" t="n">
        <f aca="false">CRM_Raw!C291</f>
        <v>0</v>
      </c>
      <c r="D291" s="0" t="str">
        <f aca="false">IF(CRM_Raw!D291="DACH","DACH",IF(ISNUMBER(SEARCH("uk",CRM_Raw!D291)),"UK &amp; Ireland",PROPER(CRM_Raw!D291)))</f>
        <v>Southern Europe</v>
      </c>
      <c r="E291" s="0" t="str">
        <f aca="false">CRM_Raw!E291</f>
        <v>Washing Machines</v>
      </c>
      <c r="F291" s="0" t="str">
        <f aca="false">CRM_Raw!F291</f>
        <v>Web-shop Organic</v>
      </c>
      <c r="G291" s="0" t="str">
        <f aca="false">IF(TRIM(CRM_Raw!G291)="","Unassigned",CRM_Raw!G291)</f>
        <v>K. Nilsson</v>
      </c>
      <c r="H291" s="0" t="str">
        <f aca="false">CRM_Raw!H291</f>
        <v>Qualified</v>
      </c>
      <c r="I291" s="10" t="n">
        <f aca="false">CRM_Raw!I291</f>
        <v>663.35</v>
      </c>
      <c r="J291" s="11" t="n">
        <f aca="false">CRM_Raw!J291</f>
        <v>0</v>
      </c>
      <c r="K291" s="10" t="n">
        <f aca="false">I291*(1-J291)</f>
        <v>663.35</v>
      </c>
      <c r="L291" s="12" t="n">
        <f aca="false">CRM_Raw!K291</f>
        <v>0</v>
      </c>
      <c r="M291" s="12" t="n">
        <f aca="false">IF(H291="Closed Won",1,0)</f>
        <v>0</v>
      </c>
    </row>
    <row r="292" customFormat="false" ht="15" hidden="false" customHeight="false" outlineLevel="0" collapsed="false">
      <c r="A292" s="0" t="str">
        <f aca="false">CRM_Raw!A292</f>
        <v>D-10288</v>
      </c>
      <c r="B292" s="0" t="str">
        <f aca="false">CRM_Raw!B292</f>
        <v>2026-04-02</v>
      </c>
      <c r="C292" s="0" t="str">
        <f aca="false">CRM_Raw!C292</f>
        <v>2026-04-14</v>
      </c>
      <c r="D292" s="0" t="str">
        <f aca="false">IF(CRM_Raw!D292="DACH","DACH",IF(ISNUMBER(SEARCH("uk",CRM_Raw!D292)),"UK &amp; Ireland",PROPER(CRM_Raw!D292)))</f>
        <v>France</v>
      </c>
      <c r="E292" s="0" t="str">
        <f aca="false">CRM_Raw!E292</f>
        <v>Coffee Systems</v>
      </c>
      <c r="F292" s="0" t="str">
        <f aca="false">CRM_Raw!F292</f>
        <v>Social Media Ads</v>
      </c>
      <c r="G292" s="0" t="str">
        <f aca="false">IF(TRIM(CRM_Raw!G292)="","Unassigned",CRM_Raw!G292)</f>
        <v>S. Andersson</v>
      </c>
      <c r="H292" s="0" t="str">
        <f aca="false">CRM_Raw!H292</f>
        <v>Closed Won</v>
      </c>
      <c r="I292" s="10" t="n">
        <f aca="false">CRM_Raw!I292</f>
        <v>1575.36</v>
      </c>
      <c r="J292" s="11" t="n">
        <f aca="false">CRM_Raw!J292</f>
        <v>0.15</v>
      </c>
      <c r="K292" s="10" t="n">
        <f aca="false">I292*(1-J292)</f>
        <v>1339.056</v>
      </c>
      <c r="L292" s="12" t="n">
        <f aca="false">CRM_Raw!K292</f>
        <v>12</v>
      </c>
      <c r="M292" s="12" t="n">
        <f aca="false">IF(H292="Closed Won",1,0)</f>
        <v>1</v>
      </c>
    </row>
    <row r="293" customFormat="false" ht="15" hidden="false" customHeight="false" outlineLevel="0" collapsed="false">
      <c r="A293" s="0" t="str">
        <f aca="false">CRM_Raw!A293</f>
        <v>D-10289</v>
      </c>
      <c r="B293" s="0" t="str">
        <f aca="false">CRM_Raw!B293</f>
        <v>2026-05-10</v>
      </c>
      <c r="C293" s="0" t="str">
        <f aca="false">CRM_Raw!C293</f>
        <v>2026-05-13</v>
      </c>
      <c r="D293" s="0" t="str">
        <f aca="false">IF(CRM_Raw!D293="DACH","DACH",IF(ISNUMBER(SEARCH("uk",CRM_Raw!D293)),"UK &amp; Ireland",PROPER(CRM_Raw!D293)))</f>
        <v>Nordics</v>
      </c>
      <c r="E293" s="0" t="str">
        <f aca="false">CRM_Raw!E293</f>
        <v>Coffee Systems</v>
      </c>
      <c r="F293" s="0" t="str">
        <f aca="false">CRM_Raw!F293</f>
        <v>Paid Search</v>
      </c>
      <c r="G293" s="0" t="str">
        <f aca="false">IF(TRIM(CRM_Raw!G293)="","Unassigned",CRM_Raw!G293)</f>
        <v>A. Becker</v>
      </c>
      <c r="H293" s="0" t="str">
        <f aca="false">CRM_Raw!H293</f>
        <v>Closed Won</v>
      </c>
      <c r="I293" s="10" t="n">
        <f aca="false">CRM_Raw!I293</f>
        <v>481.31</v>
      </c>
      <c r="J293" s="11" t="n">
        <f aca="false">CRM_Raw!J293</f>
        <v>0</v>
      </c>
      <c r="K293" s="10" t="n">
        <f aca="false">I293*(1-J293)</f>
        <v>481.31</v>
      </c>
      <c r="L293" s="12" t="n">
        <f aca="false">CRM_Raw!K293</f>
        <v>3</v>
      </c>
      <c r="M293" s="12" t="n">
        <f aca="false">IF(H293="Closed Won",1,0)</f>
        <v>1</v>
      </c>
    </row>
    <row r="294" customFormat="false" ht="15" hidden="false" customHeight="false" outlineLevel="0" collapsed="false">
      <c r="A294" s="0" t="str">
        <f aca="false">CRM_Raw!A294</f>
        <v>D-10290</v>
      </c>
      <c r="B294" s="0" t="str">
        <f aca="false">CRM_Raw!B294</f>
        <v>2026-05-10</v>
      </c>
      <c r="C294" s="0" t="str">
        <f aca="false">CRM_Raw!C294</f>
        <v>2026-06-01</v>
      </c>
      <c r="D294" s="0" t="str">
        <f aca="false">IF(CRM_Raw!D294="DACH","DACH",IF(ISNUMBER(SEARCH("uk",CRM_Raw!D294)),"UK &amp; Ireland",PROPER(CRM_Raw!D294)))</f>
        <v>France</v>
      </c>
      <c r="E294" s="0" t="str">
        <f aca="false">CRM_Raw!E294</f>
        <v>Cordless Vacuums</v>
      </c>
      <c r="F294" s="0" t="str">
        <f aca="false">CRM_Raw!F294</f>
        <v>Social Media Ads</v>
      </c>
      <c r="G294" s="0" t="str">
        <f aca="false">IF(TRIM(CRM_Raw!G294)="","Unassigned",CRM_Raw!G294)</f>
        <v>S. Andersson</v>
      </c>
      <c r="H294" s="0" t="str">
        <f aca="false">CRM_Raw!H294</f>
        <v>Closed Won</v>
      </c>
      <c r="I294" s="10" t="n">
        <f aca="false">CRM_Raw!I294</f>
        <v>661.32</v>
      </c>
      <c r="J294" s="11" t="n">
        <f aca="false">CRM_Raw!J294</f>
        <v>0</v>
      </c>
      <c r="K294" s="10" t="n">
        <f aca="false">I294*(1-J294)</f>
        <v>661.32</v>
      </c>
      <c r="L294" s="12" t="n">
        <f aca="false">CRM_Raw!K294</f>
        <v>32</v>
      </c>
      <c r="M294" s="12" t="n">
        <f aca="false">IF(H294="Closed Won",1,0)</f>
        <v>1</v>
      </c>
    </row>
    <row r="295" customFormat="false" ht="15" hidden="false" customHeight="false" outlineLevel="0" collapsed="false">
      <c r="A295" s="0" t="str">
        <f aca="false">CRM_Raw!A295</f>
        <v>D-10291</v>
      </c>
      <c r="B295" s="0" t="str">
        <f aca="false">CRM_Raw!B295</f>
        <v>2025-01-24</v>
      </c>
      <c r="C295" s="0" t="n">
        <f aca="false">CRM_Raw!C295</f>
        <v>0</v>
      </c>
      <c r="D295" s="0" t="str">
        <f aca="false">IF(CRM_Raw!D295="DACH","DACH",IF(ISNUMBER(SEARCH("uk",CRM_Raw!D295)),"UK &amp; Ireland",PROPER(CRM_Raw!D295)))</f>
        <v>DACH</v>
      </c>
      <c r="E295" s="0" t="str">
        <f aca="false">CRM_Raw!E295</f>
        <v>Cordless Vacuums</v>
      </c>
      <c r="F295" s="0" t="str">
        <f aca="false">CRM_Raw!F295</f>
        <v>Web-shop Organic</v>
      </c>
      <c r="G295" s="0" t="str">
        <f aca="false">IF(TRIM(CRM_Raw!G295)="","Unassigned",CRM_Raw!G295)</f>
        <v>L. Dubois</v>
      </c>
      <c r="H295" s="0" t="str">
        <f aca="false">CRM_Raw!H295</f>
        <v>Proposal Sent</v>
      </c>
      <c r="I295" s="10" t="n">
        <f aca="false">CRM_Raw!I295</f>
        <v>378.63</v>
      </c>
      <c r="J295" s="11" t="n">
        <f aca="false">CRM_Raw!J295</f>
        <v>0.15</v>
      </c>
      <c r="K295" s="10" t="n">
        <f aca="false">I295*(1-J295)</f>
        <v>321.8355</v>
      </c>
      <c r="L295" s="12" t="n">
        <f aca="false">CRM_Raw!K295</f>
        <v>0</v>
      </c>
      <c r="M295" s="12" t="n">
        <f aca="false">IF(H295="Closed Won",1,0)</f>
        <v>0</v>
      </c>
    </row>
    <row r="296" customFormat="false" ht="15" hidden="false" customHeight="false" outlineLevel="0" collapsed="false">
      <c r="A296" s="0" t="str">
        <f aca="false">CRM_Raw!A296</f>
        <v>D-10292</v>
      </c>
      <c r="B296" s="0" t="str">
        <f aca="false">CRM_Raw!B296</f>
        <v>2025-12-05</v>
      </c>
      <c r="C296" s="0" t="str">
        <f aca="false">CRM_Raw!C296</f>
        <v>2026-01-01</v>
      </c>
      <c r="D296" s="0" t="str">
        <f aca="false">IF(CRM_Raw!D296="DACH","DACH",IF(ISNUMBER(SEARCH("uk",CRM_Raw!D296)),"UK &amp; Ireland",PROPER(CRM_Raw!D296)))</f>
        <v>UK &amp; Ireland</v>
      </c>
      <c r="E296" s="0" t="str">
        <f aca="false">CRM_Raw!E296</f>
        <v>Washing Machines</v>
      </c>
      <c r="F296" s="0" t="str">
        <f aca="false">CRM_Raw!F296</f>
        <v>Web-shop Organic</v>
      </c>
      <c r="G296" s="0" t="str">
        <f aca="false">IF(TRIM(CRM_Raw!G296)="","Unassigned",CRM_Raw!G296)</f>
        <v>M. Hoffmann</v>
      </c>
      <c r="H296" s="0" t="str">
        <f aca="false">CRM_Raw!H296</f>
        <v>Closed Lost</v>
      </c>
      <c r="I296" s="10" t="n">
        <f aca="false">CRM_Raw!I296</f>
        <v>659.27</v>
      </c>
      <c r="J296" s="11" t="n">
        <f aca="false">CRM_Raw!J296</f>
        <v>0</v>
      </c>
      <c r="K296" s="10" t="n">
        <f aca="false">I296*(1-J296)</f>
        <v>659.27</v>
      </c>
      <c r="L296" s="12" t="n">
        <f aca="false">CRM_Raw!K296</f>
        <v>27</v>
      </c>
      <c r="M296" s="12" t="n">
        <f aca="false">IF(H296="Closed Won",1,0)</f>
        <v>0</v>
      </c>
    </row>
    <row r="297" customFormat="false" ht="15" hidden="false" customHeight="false" outlineLevel="0" collapsed="false">
      <c r="A297" s="0" t="str">
        <f aca="false">CRM_Raw!A297</f>
        <v>D-10293</v>
      </c>
      <c r="B297" s="0" t="str">
        <f aca="false">CRM_Raw!B297</f>
        <v>2025-07-22</v>
      </c>
      <c r="C297" s="0" t="str">
        <f aca="false">CRM_Raw!C297</f>
        <v>2025-08-10</v>
      </c>
      <c r="D297" s="0" t="str">
        <f aca="false">IF(CRM_Raw!D297="DACH","DACH",IF(ISNUMBER(SEARCH("uk",CRM_Raw!D297)),"UK &amp; Ireland",PROPER(CRM_Raw!D297)))</f>
        <v>Southern Europe</v>
      </c>
      <c r="E297" s="0" t="str">
        <f aca="false">CRM_Raw!E297</f>
        <v>Small Kitchen Appliances</v>
      </c>
      <c r="F297" s="0" t="str">
        <f aca="false">CRM_Raw!F297</f>
        <v>Paid Search</v>
      </c>
      <c r="G297" s="0" t="str">
        <f aca="false">IF(TRIM(CRM_Raw!G297)="","Unassigned",CRM_Raw!G297)</f>
        <v>A. Becker</v>
      </c>
      <c r="H297" s="0" t="str">
        <f aca="false">CRM_Raw!H297</f>
        <v>Closed Lost</v>
      </c>
      <c r="I297" s="10" t="n">
        <f aca="false">CRM_Raw!I297</f>
        <v>122.39</v>
      </c>
      <c r="J297" s="11" t="n">
        <f aca="false">CRM_Raw!J297</f>
        <v>0.15</v>
      </c>
      <c r="K297" s="10" t="n">
        <f aca="false">I297*(1-J297)</f>
        <v>104.0315</v>
      </c>
      <c r="L297" s="12" t="n">
        <f aca="false">CRM_Raw!K297</f>
        <v>19</v>
      </c>
      <c r="M297" s="12" t="n">
        <f aca="false">IF(H297="Closed Won",1,0)</f>
        <v>0</v>
      </c>
    </row>
    <row r="298" customFormat="false" ht="15" hidden="false" customHeight="false" outlineLevel="0" collapsed="false">
      <c r="A298" s="0" t="str">
        <f aca="false">CRM_Raw!A298</f>
        <v>D-10294</v>
      </c>
      <c r="B298" s="0" t="str">
        <f aca="false">CRM_Raw!B298</f>
        <v>2025-04-15</v>
      </c>
      <c r="C298" s="0" t="n">
        <f aca="false">CRM_Raw!C298</f>
        <v>0</v>
      </c>
      <c r="D298" s="0" t="str">
        <f aca="false">IF(CRM_Raw!D298="DACH","DACH",IF(ISNUMBER(SEARCH("uk",CRM_Raw!D298)),"UK &amp; Ireland",PROPER(CRM_Raw!D298)))</f>
        <v>UK &amp; Ireland</v>
      </c>
      <c r="E298" s="0" t="str">
        <f aca="false">CRM_Raw!E298</f>
        <v>Coffee Systems</v>
      </c>
      <c r="F298" s="0" t="str">
        <f aca="false">CRM_Raw!F298</f>
        <v>Paid Search</v>
      </c>
      <c r="G298" s="0" t="str">
        <f aca="false">IF(TRIM(CRM_Raw!G298)="","Unassigned",CRM_Raw!G298)</f>
        <v>L. Dubois</v>
      </c>
      <c r="H298" s="0" t="str">
        <f aca="false">CRM_Raw!H298</f>
        <v>Proposal Sent</v>
      </c>
      <c r="I298" s="10" t="n">
        <f aca="false">CRM_Raw!I298</f>
        <v>534.44</v>
      </c>
      <c r="J298" s="11" t="n">
        <f aca="false">CRM_Raw!J298</f>
        <v>0</v>
      </c>
      <c r="K298" s="10" t="n">
        <f aca="false">I298*(1-J298)</f>
        <v>534.44</v>
      </c>
      <c r="L298" s="12" t="n">
        <f aca="false">CRM_Raw!K298</f>
        <v>0</v>
      </c>
      <c r="M298" s="12" t="n">
        <f aca="false">IF(H298="Closed Won",1,0)</f>
        <v>0</v>
      </c>
    </row>
    <row r="299" customFormat="false" ht="15" hidden="false" customHeight="false" outlineLevel="0" collapsed="false">
      <c r="A299" s="0" t="str">
        <f aca="false">CRM_Raw!A299</f>
        <v>D-10295</v>
      </c>
      <c r="B299" s="0" t="str">
        <f aca="false">CRM_Raw!B299</f>
        <v>2025-11-17</v>
      </c>
      <c r="C299" s="0" t="str">
        <f aca="false">CRM_Raw!C299</f>
        <v>2025-11-28</v>
      </c>
      <c r="D299" s="0" t="str">
        <f aca="false">IF(CRM_Raw!D299="DACH","DACH",IF(ISNUMBER(SEARCH("uk",CRM_Raw!D299)),"UK &amp; Ireland",PROPER(CRM_Raw!D299)))</f>
        <v>UK &amp; Ireland</v>
      </c>
      <c r="E299" s="0" t="str">
        <f aca="false">CRM_Raw!E299</f>
        <v>Dishwashers</v>
      </c>
      <c r="F299" s="0" t="str">
        <f aca="false">CRM_Raw!F299</f>
        <v>Web-shop Organic</v>
      </c>
      <c r="G299" s="0" t="str">
        <f aca="false">IF(TRIM(CRM_Raw!G299)="","Unassigned",CRM_Raw!G299)</f>
        <v>T. Wagner</v>
      </c>
      <c r="H299" s="0" t="str">
        <f aca="false">CRM_Raw!H299</f>
        <v>Closed Lost</v>
      </c>
      <c r="I299" s="10" t="n">
        <f aca="false">CRM_Raw!I299</f>
        <v>1393.17</v>
      </c>
      <c r="J299" s="11" t="n">
        <f aca="false">CRM_Raw!J299</f>
        <v>0.1</v>
      </c>
      <c r="K299" s="10" t="n">
        <f aca="false">I299*(1-J299)</f>
        <v>1253.853</v>
      </c>
      <c r="L299" s="12" t="n">
        <f aca="false">CRM_Raw!K299</f>
        <v>11</v>
      </c>
      <c r="M299" s="12" t="n">
        <f aca="false">IF(H299="Closed Won",1,0)</f>
        <v>0</v>
      </c>
    </row>
    <row r="300" customFormat="false" ht="15" hidden="false" customHeight="false" outlineLevel="0" collapsed="false">
      <c r="A300" s="0" t="str">
        <f aca="false">CRM_Raw!A300</f>
        <v>D-10296</v>
      </c>
      <c r="B300" s="0" t="str">
        <f aca="false">CRM_Raw!B300</f>
        <v>2025-03-28</v>
      </c>
      <c r="C300" s="0" t="n">
        <f aca="false">CRM_Raw!C300</f>
        <v>0</v>
      </c>
      <c r="D300" s="0" t="str">
        <f aca="false">IF(CRM_Raw!D300="DACH","DACH",IF(ISNUMBER(SEARCH("uk",CRM_Raw!D300)),"UK &amp; Ireland",PROPER(CRM_Raw!D300)))</f>
        <v>UK &amp; Ireland</v>
      </c>
      <c r="E300" s="0" t="str">
        <f aca="false">CRM_Raw!E300</f>
        <v>Small Kitchen Appliances</v>
      </c>
      <c r="F300" s="0" t="str">
        <f aca="false">CRM_Raw!F300</f>
        <v>Affiliate Partner</v>
      </c>
      <c r="G300" s="0" t="str">
        <f aca="false">IF(TRIM(CRM_Raw!G300)="","Unassigned",CRM_Raw!G300)</f>
        <v>J. Murphy</v>
      </c>
      <c r="H300" s="0" t="str">
        <f aca="false">CRM_Raw!H300</f>
        <v>Negotiation</v>
      </c>
      <c r="I300" s="10" t="n">
        <f aca="false">CRM_Raw!I300</f>
        <v>118.94</v>
      </c>
      <c r="J300" s="11" t="n">
        <f aca="false">CRM_Raw!J300</f>
        <v>0</v>
      </c>
      <c r="K300" s="10" t="n">
        <f aca="false">I300*(1-J300)</f>
        <v>118.94</v>
      </c>
      <c r="L300" s="12" t="n">
        <f aca="false">CRM_Raw!K300</f>
        <v>0</v>
      </c>
      <c r="M300" s="12" t="n">
        <f aca="false">IF(H300="Closed Won",1,0)</f>
        <v>0</v>
      </c>
    </row>
    <row r="301" customFormat="false" ht="15" hidden="false" customHeight="false" outlineLevel="0" collapsed="false">
      <c r="A301" s="0" t="str">
        <f aca="false">CRM_Raw!A301</f>
        <v>D-10297</v>
      </c>
      <c r="B301" s="0" t="str">
        <f aca="false">CRM_Raw!B301</f>
        <v>2026-02-02</v>
      </c>
      <c r="C301" s="0" t="str">
        <f aca="false">CRM_Raw!C301</f>
        <v>2026-02-15</v>
      </c>
      <c r="D301" s="0" t="str">
        <f aca="false">IF(CRM_Raw!D301="DACH","DACH",IF(ISNUMBER(SEARCH("uk",CRM_Raw!D301)),"UK &amp; Ireland",PROPER(CRM_Raw!D301)))</f>
        <v>DACH</v>
      </c>
      <c r="E301" s="0" t="str">
        <f aca="false">CRM_Raw!E301</f>
        <v>Coffee Systems</v>
      </c>
      <c r="F301" s="0" t="str">
        <f aca="false">CRM_Raw!F301</f>
        <v>Paid Search</v>
      </c>
      <c r="G301" s="0" t="str">
        <f aca="false">IF(TRIM(CRM_Raw!G301)="","Unassigned",CRM_Raw!G301)</f>
        <v>M. Hoffmann</v>
      </c>
      <c r="H301" s="0" t="str">
        <f aca="false">CRM_Raw!H301</f>
        <v>Closed Lost</v>
      </c>
      <c r="I301" s="10" t="n">
        <f aca="false">CRM_Raw!I301</f>
        <v>968.12</v>
      </c>
      <c r="J301" s="11" t="n">
        <f aca="false">CRM_Raw!J301</f>
        <v>0.05</v>
      </c>
      <c r="K301" s="10" t="n">
        <f aca="false">I301*(1-J301)</f>
        <v>919.714</v>
      </c>
      <c r="L301" s="12" t="n">
        <f aca="false">CRM_Raw!K301</f>
        <v>13</v>
      </c>
      <c r="M301" s="12" t="n">
        <f aca="false">IF(H301="Closed Won",1,0)</f>
        <v>0</v>
      </c>
    </row>
    <row r="302" customFormat="false" ht="15" hidden="false" customHeight="false" outlineLevel="0" collapsed="false">
      <c r="A302" s="0" t="str">
        <f aca="false">CRM_Raw!A302</f>
        <v>D-10298</v>
      </c>
      <c r="B302" s="0" t="str">
        <f aca="false">CRM_Raw!B302</f>
        <v>2025-06-20</v>
      </c>
      <c r="C302" s="0" t="str">
        <f aca="false">CRM_Raw!C302</f>
        <v>2025-07-15</v>
      </c>
      <c r="D302" s="0" t="str">
        <f aca="false">IF(CRM_Raw!D302="DACH","DACH",IF(ISNUMBER(SEARCH("uk",CRM_Raw!D302)),"UK &amp; Ireland",PROPER(CRM_Raw!D302)))</f>
        <v>UK &amp; Ireland</v>
      </c>
      <c r="E302" s="0" t="str">
        <f aca="false">CRM_Raw!E302</f>
        <v>Dishwashers</v>
      </c>
      <c r="F302" s="0" t="str">
        <f aca="false">CRM_Raw!F302</f>
        <v>Affiliate Partner</v>
      </c>
      <c r="G302" s="0" t="str">
        <f aca="false">IF(TRIM(CRM_Raw!G302)="","Unassigned",CRM_Raw!G302)</f>
        <v>M. Hoffmann</v>
      </c>
      <c r="H302" s="0" t="str">
        <f aca="false">CRM_Raw!H302</f>
        <v>Closed Lost</v>
      </c>
      <c r="I302" s="10" t="n">
        <f aca="false">CRM_Raw!I302</f>
        <v>714.34</v>
      </c>
      <c r="J302" s="11" t="n">
        <f aca="false">CRM_Raw!J302</f>
        <v>0.2</v>
      </c>
      <c r="K302" s="10" t="n">
        <f aca="false">I302*(1-J302)</f>
        <v>571.472</v>
      </c>
      <c r="L302" s="12" t="n">
        <f aca="false">CRM_Raw!K302</f>
        <v>25</v>
      </c>
      <c r="M302" s="12" t="n">
        <f aca="false">IF(H302="Closed Won",1,0)</f>
        <v>0</v>
      </c>
    </row>
    <row r="303" customFormat="false" ht="15" hidden="false" customHeight="false" outlineLevel="0" collapsed="false">
      <c r="A303" s="0" t="str">
        <f aca="false">CRM_Raw!A303</f>
        <v>D-10299</v>
      </c>
      <c r="B303" s="0" t="str">
        <f aca="false">CRM_Raw!B303</f>
        <v>2026-01-29</v>
      </c>
      <c r="C303" s="0" t="n">
        <f aca="false">CRM_Raw!C303</f>
        <v>0</v>
      </c>
      <c r="D303" s="0" t="str">
        <f aca="false">IF(CRM_Raw!D303="DACH","DACH",IF(ISNUMBER(SEARCH("uk",CRM_Raw!D303)),"UK &amp; Ireland",PROPER(CRM_Raw!D303)))</f>
        <v>France</v>
      </c>
      <c r="E303" s="0" t="str">
        <f aca="false">CRM_Raw!E303</f>
        <v>Smart Ovens</v>
      </c>
      <c r="F303" s="0" t="str">
        <f aca="false">CRM_Raw!F303</f>
        <v>Social Media Ads</v>
      </c>
      <c r="G303" s="0" t="str">
        <f aca="false">IF(TRIM(CRM_Raw!G303)="","Unassigned",CRM_Raw!G303)</f>
        <v>S. Andersson</v>
      </c>
      <c r="H303" s="0" t="str">
        <f aca="false">CRM_Raw!H303</f>
        <v>Qualified</v>
      </c>
      <c r="I303" s="10" t="n">
        <f aca="false">CRM_Raw!I303</f>
        <v>1737.32</v>
      </c>
      <c r="J303" s="11" t="n">
        <f aca="false">CRM_Raw!J303</f>
        <v>0.05</v>
      </c>
      <c r="K303" s="10" t="n">
        <f aca="false">I303*(1-J303)</f>
        <v>1650.454</v>
      </c>
      <c r="L303" s="12" t="n">
        <f aca="false">CRM_Raw!K303</f>
        <v>0</v>
      </c>
      <c r="M303" s="12" t="n">
        <f aca="false">IF(H303="Closed Won",1,0)</f>
        <v>0</v>
      </c>
    </row>
    <row r="304" customFormat="false" ht="15" hidden="false" customHeight="false" outlineLevel="0" collapsed="false">
      <c r="A304" s="0" t="str">
        <f aca="false">CRM_Raw!A304</f>
        <v>D-10300</v>
      </c>
      <c r="B304" s="0" t="str">
        <f aca="false">CRM_Raw!B304</f>
        <v>2026-05-16</v>
      </c>
      <c r="C304" s="0" t="str">
        <f aca="false">CRM_Raw!C304</f>
        <v>2026-06-01</v>
      </c>
      <c r="D304" s="0" t="str">
        <f aca="false">IF(CRM_Raw!D304="DACH","DACH",IF(ISNUMBER(SEARCH("uk",CRM_Raw!D304)),"UK &amp; Ireland",PROPER(CRM_Raw!D304)))</f>
        <v>Southern Europe</v>
      </c>
      <c r="E304" s="0" t="str">
        <f aca="false">CRM_Raw!E304</f>
        <v>Dishwashers</v>
      </c>
      <c r="F304" s="0" t="str">
        <f aca="false">CRM_Raw!F304</f>
        <v>Paid Search</v>
      </c>
      <c r="G304" s="0" t="str">
        <f aca="false">IF(TRIM(CRM_Raw!G304)="","Unassigned",CRM_Raw!G304)</f>
        <v>T. Wagner</v>
      </c>
      <c r="H304" s="0" t="str">
        <f aca="false">CRM_Raw!H304</f>
        <v>Closed Won</v>
      </c>
      <c r="I304" s="10" t="n">
        <f aca="false">CRM_Raw!I304</f>
        <v>734.05</v>
      </c>
      <c r="J304" s="11" t="n">
        <f aca="false">CRM_Raw!J304</f>
        <v>0</v>
      </c>
      <c r="K304" s="10" t="n">
        <f aca="false">I304*(1-J304)</f>
        <v>734.05</v>
      </c>
      <c r="L304" s="12" t="n">
        <f aca="false">CRM_Raw!K304</f>
        <v>27</v>
      </c>
      <c r="M304" s="12" t="n">
        <f aca="false">IF(H304="Closed Won",1,0)</f>
        <v>1</v>
      </c>
    </row>
    <row r="305" customFormat="false" ht="15" hidden="false" customHeight="false" outlineLevel="0" collapsed="false">
      <c r="A305" s="0" t="str">
        <f aca="false">CRM_Raw!A305</f>
        <v>D-10301</v>
      </c>
      <c r="B305" s="0" t="str">
        <f aca="false">CRM_Raw!B305</f>
        <v>2025-06-22</v>
      </c>
      <c r="C305" s="0" t="n">
        <f aca="false">CRM_Raw!C305</f>
        <v>0</v>
      </c>
      <c r="D305" s="0" t="str">
        <f aca="false">IF(CRM_Raw!D305="DACH","DACH",IF(ISNUMBER(SEARCH("uk",CRM_Raw!D305)),"UK &amp; Ireland",PROPER(CRM_Raw!D305)))</f>
        <v>DACH</v>
      </c>
      <c r="E305" s="0" t="str">
        <f aca="false">CRM_Raw!E305</f>
        <v>Cordless Vacuums</v>
      </c>
      <c r="F305" s="0" t="str">
        <f aca="false">CRM_Raw!F305</f>
        <v>Web-shop Organic</v>
      </c>
      <c r="G305" s="0" t="str">
        <f aca="false">IF(TRIM(CRM_Raw!G305)="","Unassigned",CRM_Raw!G305)</f>
        <v>J. Murphy</v>
      </c>
      <c r="H305" s="0" t="str">
        <f aca="false">CRM_Raw!H305</f>
        <v>Proposal Sent</v>
      </c>
      <c r="I305" s="10" t="n">
        <f aca="false">CRM_Raw!I305</f>
        <v>742.92</v>
      </c>
      <c r="J305" s="11" t="n">
        <f aca="false">CRM_Raw!J305</f>
        <v>0.1</v>
      </c>
      <c r="K305" s="10" t="n">
        <f aca="false">I305*(1-J305)</f>
        <v>668.628</v>
      </c>
      <c r="L305" s="12" t="n">
        <f aca="false">CRM_Raw!K305</f>
        <v>0</v>
      </c>
      <c r="M305" s="12" t="n">
        <f aca="false">IF(H305="Closed Won",1,0)</f>
        <v>0</v>
      </c>
    </row>
    <row r="306" customFormat="false" ht="15" hidden="false" customHeight="false" outlineLevel="0" collapsed="false">
      <c r="A306" s="0" t="str">
        <f aca="false">CRM_Raw!A306</f>
        <v>D-10302</v>
      </c>
      <c r="B306" s="0" t="str">
        <f aca="false">CRM_Raw!B306</f>
        <v>2026-01-11</v>
      </c>
      <c r="C306" s="0" t="str">
        <f aca="false">CRM_Raw!C306</f>
        <v>2026-02-01</v>
      </c>
      <c r="D306" s="0" t="str">
        <f aca="false">IF(CRM_Raw!D306="DACH","DACH",IF(ISNUMBER(SEARCH("uk",CRM_Raw!D306)),"UK &amp; Ireland",PROPER(CRM_Raw!D306)))</f>
        <v>Nordics</v>
      </c>
      <c r="E306" s="0" t="str">
        <f aca="false">CRM_Raw!E306</f>
        <v>Smart Ovens</v>
      </c>
      <c r="F306" s="0" t="str">
        <f aca="false">CRM_Raw!F306</f>
        <v>Social Media Ads</v>
      </c>
      <c r="G306" s="0" t="str">
        <f aca="false">IF(TRIM(CRM_Raw!G306)="","Unassigned",CRM_Raw!G306)</f>
        <v>J. Murphy</v>
      </c>
      <c r="H306" s="0" t="str">
        <f aca="false">CRM_Raw!H306</f>
        <v>Closed Lost</v>
      </c>
      <c r="I306" s="10" t="n">
        <f aca="false">CRM_Raw!I306</f>
        <v>855.41</v>
      </c>
      <c r="J306" s="11" t="n">
        <f aca="false">CRM_Raw!J306</f>
        <v>0.05</v>
      </c>
      <c r="K306" s="10" t="n">
        <f aca="false">I306*(1-J306)</f>
        <v>812.6395</v>
      </c>
      <c r="L306" s="12" t="n">
        <f aca="false">CRM_Raw!K306</f>
        <v>21</v>
      </c>
      <c r="M306" s="12" t="n">
        <f aca="false">IF(H306="Closed Won",1,0)</f>
        <v>0</v>
      </c>
    </row>
    <row r="307" customFormat="false" ht="15" hidden="false" customHeight="false" outlineLevel="0" collapsed="false">
      <c r="A307" s="0" t="str">
        <f aca="false">CRM_Raw!A307</f>
        <v>D-10303</v>
      </c>
      <c r="B307" s="0" t="str">
        <f aca="false">CRM_Raw!B307</f>
        <v>2025-11-01</v>
      </c>
      <c r="C307" s="0" t="n">
        <f aca="false">CRM_Raw!C307</f>
        <v>0</v>
      </c>
      <c r="D307" s="0" t="str">
        <f aca="false">IF(CRM_Raw!D307="DACH","DACH",IF(ISNUMBER(SEARCH("uk",CRM_Raw!D307)),"UK &amp; Ireland",PROPER(CRM_Raw!D307)))</f>
        <v>DACH</v>
      </c>
      <c r="E307" s="0" t="str">
        <f aca="false">CRM_Raw!E307</f>
        <v>Small Kitchen Appliances</v>
      </c>
      <c r="F307" s="0" t="str">
        <f aca="false">CRM_Raw!F307</f>
        <v>Email Campaign</v>
      </c>
      <c r="G307" s="0" t="str">
        <f aca="false">IF(TRIM(CRM_Raw!G307)="","Unassigned",CRM_Raw!G307)</f>
        <v>S. Andersson</v>
      </c>
      <c r="H307" s="0" t="str">
        <f aca="false">CRM_Raw!H307</f>
        <v>Proposal Sent</v>
      </c>
      <c r="I307" s="10" t="n">
        <f aca="false">CRM_Raw!I307</f>
        <v>110.61</v>
      </c>
      <c r="J307" s="11" t="n">
        <f aca="false">CRM_Raw!J307</f>
        <v>0</v>
      </c>
      <c r="K307" s="10" t="n">
        <f aca="false">I307*(1-J307)</f>
        <v>110.61</v>
      </c>
      <c r="L307" s="12" t="n">
        <f aca="false">CRM_Raw!K307</f>
        <v>0</v>
      </c>
      <c r="M307" s="12" t="n">
        <f aca="false">IF(H307="Closed Won",1,0)</f>
        <v>0</v>
      </c>
    </row>
    <row r="308" customFormat="false" ht="15" hidden="false" customHeight="false" outlineLevel="0" collapsed="false">
      <c r="A308" s="0" t="str">
        <f aca="false">CRM_Raw!A308</f>
        <v>D-10304</v>
      </c>
      <c r="B308" s="0" t="str">
        <f aca="false">CRM_Raw!B308</f>
        <v>2025-08-31</v>
      </c>
      <c r="C308" s="0" t="str">
        <f aca="false">CRM_Raw!C308</f>
        <v>2025-09-05</v>
      </c>
      <c r="D308" s="0" t="str">
        <f aca="false">IF(CRM_Raw!D308="DACH","DACH",IF(ISNUMBER(SEARCH("uk",CRM_Raw!D308)),"UK &amp; Ireland",PROPER(CRM_Raw!D308)))</f>
        <v>North America</v>
      </c>
      <c r="E308" s="0" t="str">
        <f aca="false">CRM_Raw!E308</f>
        <v>Smart Ovens</v>
      </c>
      <c r="F308" s="0" t="str">
        <f aca="false">CRM_Raw!F308</f>
        <v>Paid Search</v>
      </c>
      <c r="G308" s="0" t="str">
        <f aca="false">IF(TRIM(CRM_Raw!G308)="","Unassigned",CRM_Raw!G308)</f>
        <v>L. Dubois</v>
      </c>
      <c r="H308" s="0" t="str">
        <f aca="false">CRM_Raw!H308</f>
        <v>Closed Won</v>
      </c>
      <c r="I308" s="10" t="n">
        <f aca="false">CRM_Raw!I308</f>
        <v>916.67</v>
      </c>
      <c r="J308" s="11" t="n">
        <f aca="false">CRM_Raw!J308</f>
        <v>0.2</v>
      </c>
      <c r="K308" s="10" t="n">
        <f aca="false">I308*(1-J308)</f>
        <v>733.336</v>
      </c>
      <c r="L308" s="12" t="n">
        <f aca="false">CRM_Raw!K308</f>
        <v>5</v>
      </c>
      <c r="M308" s="12" t="n">
        <f aca="false">IF(H308="Closed Won",1,0)</f>
        <v>1</v>
      </c>
    </row>
    <row r="309" customFormat="false" ht="15" hidden="false" customHeight="false" outlineLevel="0" collapsed="false">
      <c r="A309" s="0" t="str">
        <f aca="false">CRM_Raw!A309</f>
        <v>D-10305</v>
      </c>
      <c r="B309" s="0" t="str">
        <f aca="false">CRM_Raw!B309</f>
        <v>2025-05-23</v>
      </c>
      <c r="C309" s="0" t="n">
        <f aca="false">CRM_Raw!C309</f>
        <v>0</v>
      </c>
      <c r="D309" s="0" t="str">
        <f aca="false">IF(CRM_Raw!D309="DACH","DACH",IF(ISNUMBER(SEARCH("uk",CRM_Raw!D309)),"UK &amp; Ireland",PROPER(CRM_Raw!D309)))</f>
        <v>Southern Europe</v>
      </c>
      <c r="E309" s="0" t="str">
        <f aca="false">CRM_Raw!E309</f>
        <v>Washing Machines</v>
      </c>
      <c r="F309" s="0" t="str">
        <f aca="false">CRM_Raw!F309</f>
        <v>Affiliate Partner</v>
      </c>
      <c r="G309" s="0" t="str">
        <f aca="false">IF(TRIM(CRM_Raw!G309)="","Unassigned",CRM_Raw!G309)</f>
        <v>M. Hoffmann</v>
      </c>
      <c r="H309" s="0" t="str">
        <f aca="false">CRM_Raw!H309</f>
        <v>Proposal Sent</v>
      </c>
      <c r="I309" s="10" t="n">
        <f aca="false">CRM_Raw!I309</f>
        <v>724.94</v>
      </c>
      <c r="J309" s="11" t="n">
        <f aca="false">CRM_Raw!J309</f>
        <v>0.1</v>
      </c>
      <c r="K309" s="10" t="n">
        <f aca="false">I309*(1-J309)</f>
        <v>652.446</v>
      </c>
      <c r="L309" s="12" t="n">
        <f aca="false">CRM_Raw!K309</f>
        <v>0</v>
      </c>
      <c r="M309" s="12" t="n">
        <f aca="false">IF(H309="Closed Won",1,0)</f>
        <v>0</v>
      </c>
    </row>
    <row r="310" customFormat="false" ht="15" hidden="false" customHeight="false" outlineLevel="0" collapsed="false">
      <c r="A310" s="0" t="str">
        <f aca="false">CRM_Raw!A310</f>
        <v>D-10306</v>
      </c>
      <c r="B310" s="0" t="str">
        <f aca="false">CRM_Raw!B310</f>
        <v>2025-11-28</v>
      </c>
      <c r="C310" s="0" t="n">
        <f aca="false">CRM_Raw!C310</f>
        <v>0</v>
      </c>
      <c r="D310" s="0" t="str">
        <f aca="false">IF(CRM_Raw!D310="DACH","DACH",IF(ISNUMBER(SEARCH("uk",CRM_Raw!D310)),"UK &amp; Ireland",PROPER(CRM_Raw!D310)))</f>
        <v>France</v>
      </c>
      <c r="E310" s="0" t="str">
        <f aca="false">CRM_Raw!E310</f>
        <v>Washing Machines</v>
      </c>
      <c r="F310" s="0" t="str">
        <f aca="false">CRM_Raw!F310</f>
        <v>Paid Search</v>
      </c>
      <c r="G310" s="0" t="str">
        <f aca="false">IF(TRIM(CRM_Raw!G310)="","Unassigned",CRM_Raw!G310)</f>
        <v>M. Hoffmann</v>
      </c>
      <c r="H310" s="0" t="str">
        <f aca="false">CRM_Raw!H310</f>
        <v>Qualified</v>
      </c>
      <c r="I310" s="10" t="n">
        <f aca="false">CRM_Raw!I310</f>
        <v>1923.59</v>
      </c>
      <c r="J310" s="11" t="n">
        <f aca="false">CRM_Raw!J310</f>
        <v>0</v>
      </c>
      <c r="K310" s="10" t="n">
        <f aca="false">I310*(1-J310)</f>
        <v>1923.59</v>
      </c>
      <c r="L310" s="12" t="n">
        <f aca="false">CRM_Raw!K310</f>
        <v>0</v>
      </c>
      <c r="M310" s="12" t="n">
        <f aca="false">IF(H310="Closed Won",1,0)</f>
        <v>0</v>
      </c>
    </row>
    <row r="311" customFormat="false" ht="15" hidden="false" customHeight="false" outlineLevel="0" collapsed="false">
      <c r="A311" s="0" t="str">
        <f aca="false">CRM_Raw!A311</f>
        <v>D-10307</v>
      </c>
      <c r="B311" s="0" t="str">
        <f aca="false">CRM_Raw!B311</f>
        <v>2025-05-19</v>
      </c>
      <c r="C311" s="0" t="n">
        <f aca="false">CRM_Raw!C311</f>
        <v>0</v>
      </c>
      <c r="D311" s="0" t="str">
        <f aca="false">IF(CRM_Raw!D311="DACH","DACH",IF(ISNUMBER(SEARCH("uk",CRM_Raw!D311)),"UK &amp; Ireland",PROPER(CRM_Raw!D311)))</f>
        <v>North America</v>
      </c>
      <c r="E311" s="0" t="str">
        <f aca="false">CRM_Raw!E311</f>
        <v>Washing Machines</v>
      </c>
      <c r="F311" s="0" t="str">
        <f aca="false">CRM_Raw!F311</f>
        <v>Trade Show</v>
      </c>
      <c r="G311" s="0" t="str">
        <f aca="false">IF(TRIM(CRM_Raw!G311)="","Unassigned",CRM_Raw!G311)</f>
        <v>L. Dubois</v>
      </c>
      <c r="H311" s="0" t="str">
        <f aca="false">CRM_Raw!H311</f>
        <v>Qualified</v>
      </c>
      <c r="I311" s="10" t="n">
        <f aca="false">CRM_Raw!I311</f>
        <v>720.47</v>
      </c>
      <c r="J311" s="11" t="n">
        <f aca="false">CRM_Raw!J311</f>
        <v>0</v>
      </c>
      <c r="K311" s="10" t="n">
        <f aca="false">I311*(1-J311)</f>
        <v>720.47</v>
      </c>
      <c r="L311" s="12" t="n">
        <f aca="false">CRM_Raw!K311</f>
        <v>0</v>
      </c>
      <c r="M311" s="12" t="n">
        <f aca="false">IF(H311="Closed Won",1,0)</f>
        <v>0</v>
      </c>
    </row>
    <row r="312" customFormat="false" ht="15" hidden="false" customHeight="false" outlineLevel="0" collapsed="false">
      <c r="A312" s="0" t="str">
        <f aca="false">CRM_Raw!A312</f>
        <v>D-10308</v>
      </c>
      <c r="B312" s="0" t="str">
        <f aca="false">CRM_Raw!B312</f>
        <v>2025-09-13</v>
      </c>
      <c r="C312" s="0" t="str">
        <f aca="false">CRM_Raw!C312</f>
        <v>2025-10-01</v>
      </c>
      <c r="D312" s="0" t="str">
        <f aca="false">IF(CRM_Raw!D312="DACH","DACH",IF(ISNUMBER(SEARCH("uk",CRM_Raw!D312)),"UK &amp; Ireland",PROPER(CRM_Raw!D312)))</f>
        <v>North America</v>
      </c>
      <c r="E312" s="0" t="str">
        <f aca="false">CRM_Raw!E312</f>
        <v>Small Kitchen Appliances</v>
      </c>
      <c r="F312" s="0" t="str">
        <f aca="false">CRM_Raw!F312</f>
        <v>Web-shop Organic</v>
      </c>
      <c r="G312" s="0" t="str">
        <f aca="false">IF(TRIM(CRM_Raw!G312)="","Unassigned",CRM_Raw!G312)</f>
        <v>M. Hoffmann</v>
      </c>
      <c r="H312" s="0" t="str">
        <f aca="false">CRM_Raw!H312</f>
        <v>Closed Won</v>
      </c>
      <c r="I312" s="10" t="n">
        <f aca="false">CRM_Raw!I312</f>
        <v>269.36</v>
      </c>
      <c r="J312" s="11" t="n">
        <f aca="false">CRM_Raw!J312</f>
        <v>0.05</v>
      </c>
      <c r="K312" s="10" t="n">
        <f aca="false">I312*(1-J312)</f>
        <v>255.892</v>
      </c>
      <c r="L312" s="12" t="n">
        <f aca="false">CRM_Raw!K312</f>
        <v>18</v>
      </c>
      <c r="M312" s="12" t="n">
        <f aca="false">IF(H312="Closed Won",1,0)</f>
        <v>1</v>
      </c>
    </row>
    <row r="313" customFormat="false" ht="15" hidden="false" customHeight="false" outlineLevel="0" collapsed="false">
      <c r="A313" s="0" t="str">
        <f aca="false">CRM_Raw!A313</f>
        <v>D-10309</v>
      </c>
      <c r="B313" s="0" t="str">
        <f aca="false">CRM_Raw!B313</f>
        <v>2026-01-20</v>
      </c>
      <c r="C313" s="0" t="str">
        <f aca="false">CRM_Raw!C313</f>
        <v>2026-02-16</v>
      </c>
      <c r="D313" s="0" t="str">
        <f aca="false">IF(CRM_Raw!D313="DACH","DACH",IF(ISNUMBER(SEARCH("uk",CRM_Raw!D313)),"UK &amp; Ireland",PROPER(CRM_Raw!D313)))</f>
        <v>UK &amp; Ireland</v>
      </c>
      <c r="E313" s="0" t="str">
        <f aca="false">CRM_Raw!E313</f>
        <v>Washing Machines</v>
      </c>
      <c r="F313" s="0" t="str">
        <f aca="false">CRM_Raw!F313</f>
        <v>Affiliate Partner</v>
      </c>
      <c r="G313" s="0" t="str">
        <f aca="false">IF(TRIM(CRM_Raw!G313)="","Unassigned",CRM_Raw!G313)</f>
        <v>K. Nilsson</v>
      </c>
      <c r="H313" s="0" t="str">
        <f aca="false">CRM_Raw!H313</f>
        <v>Closed Lost</v>
      </c>
      <c r="I313" s="10" t="n">
        <f aca="false">CRM_Raw!I313</f>
        <v>696.02</v>
      </c>
      <c r="J313" s="11" t="n">
        <f aca="false">CRM_Raw!J313</f>
        <v>0.05</v>
      </c>
      <c r="K313" s="10" t="n">
        <f aca="false">I313*(1-J313)</f>
        <v>661.219</v>
      </c>
      <c r="L313" s="12" t="n">
        <f aca="false">CRM_Raw!K313</f>
        <v>27</v>
      </c>
      <c r="M313" s="12" t="n">
        <f aca="false">IF(H313="Closed Won",1,0)</f>
        <v>0</v>
      </c>
    </row>
    <row r="314" customFormat="false" ht="15" hidden="false" customHeight="false" outlineLevel="0" collapsed="false">
      <c r="A314" s="0" t="str">
        <f aca="false">CRM_Raw!A314</f>
        <v>D-10310</v>
      </c>
      <c r="B314" s="0" t="str">
        <f aca="false">CRM_Raw!B314</f>
        <v>2026-04-11</v>
      </c>
      <c r="C314" s="0" t="n">
        <f aca="false">CRM_Raw!C314</f>
        <v>0</v>
      </c>
      <c r="D314" s="0" t="str">
        <f aca="false">IF(CRM_Raw!D314="DACH","DACH",IF(ISNUMBER(SEARCH("uk",CRM_Raw!D314)),"UK &amp; Ireland",PROPER(CRM_Raw!D314)))</f>
        <v>Nordics</v>
      </c>
      <c r="E314" s="0" t="str">
        <f aca="false">CRM_Raw!E314</f>
        <v>Small Kitchen Appliances</v>
      </c>
      <c r="F314" s="0" t="str">
        <f aca="false">CRM_Raw!F314</f>
        <v>Paid Search</v>
      </c>
      <c r="G314" s="0" t="str">
        <f aca="false">IF(TRIM(CRM_Raw!G314)="","Unassigned",CRM_Raw!G314)</f>
        <v>P. Rossi</v>
      </c>
      <c r="H314" s="0" t="str">
        <f aca="false">CRM_Raw!H314</f>
        <v>Qualified</v>
      </c>
      <c r="I314" s="10" t="n">
        <f aca="false">CRM_Raw!I314</f>
        <v>119.36</v>
      </c>
      <c r="J314" s="11" t="n">
        <f aca="false">CRM_Raw!J314</f>
        <v>0.2</v>
      </c>
      <c r="K314" s="10" t="n">
        <f aca="false">I314*(1-J314)</f>
        <v>95.488</v>
      </c>
      <c r="L314" s="12" t="n">
        <f aca="false">CRM_Raw!K314</f>
        <v>0</v>
      </c>
      <c r="M314" s="12" t="n">
        <f aca="false">IF(H314="Closed Won",1,0)</f>
        <v>0</v>
      </c>
    </row>
    <row r="315" customFormat="false" ht="15" hidden="false" customHeight="false" outlineLevel="0" collapsed="false">
      <c r="A315" s="0" t="str">
        <f aca="false">CRM_Raw!A315</f>
        <v>D-10311</v>
      </c>
      <c r="B315" s="0" t="str">
        <f aca="false">CRM_Raw!B315</f>
        <v>2026-01-02</v>
      </c>
      <c r="C315" s="0" t="n">
        <f aca="false">CRM_Raw!C315</f>
        <v>0</v>
      </c>
      <c r="D315" s="0" t="str">
        <f aca="false">IF(CRM_Raw!D315="DACH","DACH",IF(ISNUMBER(SEARCH("uk",CRM_Raw!D315)),"UK &amp; Ireland",PROPER(CRM_Raw!D315)))</f>
        <v>North America</v>
      </c>
      <c r="E315" s="0" t="str">
        <f aca="false">CRM_Raw!E315</f>
        <v>Small Kitchen Appliances</v>
      </c>
      <c r="F315" s="0" t="str">
        <f aca="false">CRM_Raw!F315</f>
        <v>Web-shop Organic</v>
      </c>
      <c r="G315" s="0" t="str">
        <f aca="false">IF(TRIM(CRM_Raw!G315)="","Unassigned",CRM_Raw!G315)</f>
        <v>T. Wagner</v>
      </c>
      <c r="H315" s="0" t="str">
        <f aca="false">CRM_Raw!H315</f>
        <v>Proposal Sent</v>
      </c>
      <c r="I315" s="10" t="n">
        <f aca="false">CRM_Raw!I315</f>
        <v>266.52</v>
      </c>
      <c r="J315" s="11" t="n">
        <f aca="false">CRM_Raw!J315</f>
        <v>0</v>
      </c>
      <c r="K315" s="10" t="n">
        <f aca="false">I315*(1-J315)</f>
        <v>266.52</v>
      </c>
      <c r="L315" s="12" t="n">
        <f aca="false">CRM_Raw!K315</f>
        <v>0</v>
      </c>
      <c r="M315" s="12" t="n">
        <f aca="false">IF(H315="Closed Won",1,0)</f>
        <v>0</v>
      </c>
    </row>
    <row r="316" customFormat="false" ht="15" hidden="false" customHeight="false" outlineLevel="0" collapsed="false">
      <c r="A316" s="0" t="str">
        <f aca="false">CRM_Raw!A316</f>
        <v>D-10312</v>
      </c>
      <c r="B316" s="0" t="str">
        <f aca="false">CRM_Raw!B316</f>
        <v>2025-10-18</v>
      </c>
      <c r="C316" s="0" t="str">
        <f aca="false">CRM_Raw!C316</f>
        <v>2025-10-28</v>
      </c>
      <c r="D316" s="0" t="str">
        <f aca="false">IF(CRM_Raw!D316="DACH","DACH",IF(ISNUMBER(SEARCH("uk",CRM_Raw!D316)),"UK &amp; Ireland",PROPER(CRM_Raw!D316)))</f>
        <v>Benelux</v>
      </c>
      <c r="E316" s="0" t="str">
        <f aca="false">CRM_Raw!E316</f>
        <v>Coffee Systems</v>
      </c>
      <c r="F316" s="0" t="str">
        <f aca="false">CRM_Raw!F316</f>
        <v>Social Media Ads</v>
      </c>
      <c r="G316" s="0" t="str">
        <f aca="false">IF(TRIM(CRM_Raw!G316)="","Unassigned",CRM_Raw!G316)</f>
        <v>P. Rossi</v>
      </c>
      <c r="H316" s="0" t="str">
        <f aca="false">CRM_Raw!H316</f>
        <v>Closed Won</v>
      </c>
      <c r="I316" s="10" t="n">
        <f aca="false">CRM_Raw!I316</f>
        <v>527.93</v>
      </c>
      <c r="J316" s="11" t="n">
        <f aca="false">CRM_Raw!J316</f>
        <v>0.15</v>
      </c>
      <c r="K316" s="10" t="n">
        <f aca="false">I316*(1-J316)</f>
        <v>448.7405</v>
      </c>
      <c r="L316" s="12" t="n">
        <f aca="false">CRM_Raw!K316</f>
        <v>10</v>
      </c>
      <c r="M316" s="12" t="n">
        <f aca="false">IF(H316="Closed Won",1,0)</f>
        <v>1</v>
      </c>
    </row>
    <row r="317" customFormat="false" ht="15" hidden="false" customHeight="false" outlineLevel="0" collapsed="false">
      <c r="A317" s="0" t="str">
        <f aca="false">CRM_Raw!A317</f>
        <v>D-10313</v>
      </c>
      <c r="B317" s="0" t="str">
        <f aca="false">CRM_Raw!B317</f>
        <v>2025-01-17</v>
      </c>
      <c r="C317" s="0" t="str">
        <f aca="false">CRM_Raw!C317</f>
        <v>2025-02-01</v>
      </c>
      <c r="D317" s="0" t="str">
        <f aca="false">IF(CRM_Raw!D317="DACH","DACH",IF(ISNUMBER(SEARCH("uk",CRM_Raw!D317)),"UK &amp; Ireland",PROPER(CRM_Raw!D317)))</f>
        <v>North America</v>
      </c>
      <c r="E317" s="0" t="str">
        <f aca="false">CRM_Raw!E317</f>
        <v>Smart Ovens</v>
      </c>
      <c r="F317" s="0" t="str">
        <f aca="false">CRM_Raw!F317</f>
        <v>Web-shop Organic</v>
      </c>
      <c r="G317" s="0" t="str">
        <f aca="false">IF(TRIM(CRM_Raw!G317)="","Unassigned",CRM_Raw!G317)</f>
        <v>T. Wagner</v>
      </c>
      <c r="H317" s="0" t="str">
        <f aca="false">CRM_Raw!H317</f>
        <v>Closed Won</v>
      </c>
      <c r="I317" s="10" t="n">
        <f aca="false">CRM_Raw!I317</f>
        <v>1882.97</v>
      </c>
      <c r="J317" s="11" t="n">
        <f aca="false">CRM_Raw!J317</f>
        <v>0.05</v>
      </c>
      <c r="K317" s="10" t="n">
        <f aca="false">I317*(1-J317)</f>
        <v>1788.8215</v>
      </c>
      <c r="L317" s="12" t="n">
        <f aca="false">CRM_Raw!K317</f>
        <v>15</v>
      </c>
      <c r="M317" s="12" t="n">
        <f aca="false">IF(H317="Closed Won",1,0)</f>
        <v>1</v>
      </c>
    </row>
    <row r="318" customFormat="false" ht="15" hidden="false" customHeight="false" outlineLevel="0" collapsed="false">
      <c r="A318" s="0" t="str">
        <f aca="false">CRM_Raw!A318</f>
        <v>D-10314</v>
      </c>
      <c r="B318" s="0" t="str">
        <f aca="false">CRM_Raw!B318</f>
        <v>2025-11-06</v>
      </c>
      <c r="C318" s="0" t="str">
        <f aca="false">CRM_Raw!C318</f>
        <v>2025-12-03</v>
      </c>
      <c r="D318" s="0" t="str">
        <f aca="false">IF(CRM_Raw!D318="DACH","DACH",IF(ISNUMBER(SEARCH("uk",CRM_Raw!D318)),"UK &amp; Ireland",PROPER(CRM_Raw!D318)))</f>
        <v>DACH</v>
      </c>
      <c r="E318" s="0" t="str">
        <f aca="false">CRM_Raw!E318</f>
        <v>Dishwashers</v>
      </c>
      <c r="F318" s="0" t="str">
        <f aca="false">CRM_Raw!F318</f>
        <v>Web-shop Organic</v>
      </c>
      <c r="G318" s="0" t="str">
        <f aca="false">IF(TRIM(CRM_Raw!G318)="","Unassigned",CRM_Raw!G318)</f>
        <v>M. Hoffmann</v>
      </c>
      <c r="H318" s="0" t="str">
        <f aca="false">CRM_Raw!H318</f>
        <v>Closed Won</v>
      </c>
      <c r="I318" s="10" t="n">
        <f aca="false">CRM_Raw!I318</f>
        <v>749.42</v>
      </c>
      <c r="J318" s="11" t="n">
        <f aca="false">CRM_Raw!J318</f>
        <v>0</v>
      </c>
      <c r="K318" s="10" t="n">
        <f aca="false">I318*(1-J318)</f>
        <v>749.42</v>
      </c>
      <c r="L318" s="12" t="n">
        <f aca="false">CRM_Raw!K318</f>
        <v>27</v>
      </c>
      <c r="M318" s="12" t="n">
        <f aca="false">IF(H318="Closed Won",1,0)</f>
        <v>1</v>
      </c>
    </row>
    <row r="319" customFormat="false" ht="15" hidden="false" customHeight="false" outlineLevel="0" collapsed="false">
      <c r="A319" s="0" t="str">
        <f aca="false">CRM_Raw!A319</f>
        <v>D-10315</v>
      </c>
      <c r="B319" s="0" t="str">
        <f aca="false">CRM_Raw!B319</f>
        <v>2025-02-23</v>
      </c>
      <c r="C319" s="0" t="str">
        <f aca="false">CRM_Raw!C319</f>
        <v>2025-03-13</v>
      </c>
      <c r="D319" s="0" t="str">
        <f aca="false">IF(CRM_Raw!D319="DACH","DACH",IF(ISNUMBER(SEARCH("uk",CRM_Raw!D319)),"UK &amp; Ireland",PROPER(CRM_Raw!D319)))</f>
        <v>France</v>
      </c>
      <c r="E319" s="0" t="str">
        <f aca="false">CRM_Raw!E319</f>
        <v>Small Kitchen Appliances</v>
      </c>
      <c r="F319" s="0" t="str">
        <f aca="false">CRM_Raw!F319</f>
        <v>Retail Referral</v>
      </c>
      <c r="G319" s="0" t="str">
        <f aca="false">IF(TRIM(CRM_Raw!G319)="","Unassigned",CRM_Raw!G319)</f>
        <v>Unassigned</v>
      </c>
      <c r="H319" s="0" t="str">
        <f aca="false">CRM_Raw!H319</f>
        <v>Closed Lost</v>
      </c>
      <c r="I319" s="10" t="n">
        <f aca="false">CRM_Raw!I319</f>
        <v>118.71</v>
      </c>
      <c r="J319" s="11" t="n">
        <f aca="false">CRM_Raw!J319</f>
        <v>0.05</v>
      </c>
      <c r="K319" s="10" t="n">
        <f aca="false">I319*(1-J319)</f>
        <v>112.7745</v>
      </c>
      <c r="L319" s="12" t="n">
        <f aca="false">CRM_Raw!K319</f>
        <v>18</v>
      </c>
      <c r="M319" s="12" t="n">
        <f aca="false">IF(H319="Closed Won",1,0)</f>
        <v>0</v>
      </c>
    </row>
    <row r="320" customFormat="false" ht="15" hidden="false" customHeight="false" outlineLevel="0" collapsed="false">
      <c r="A320" s="0" t="str">
        <f aca="false">CRM_Raw!A320</f>
        <v>D-10316</v>
      </c>
      <c r="B320" s="0" t="str">
        <f aca="false">CRM_Raw!B320</f>
        <v>2025-08-07</v>
      </c>
      <c r="C320" s="0" t="str">
        <f aca="false">CRM_Raw!C320</f>
        <v>2025-09-01</v>
      </c>
      <c r="D320" s="0" t="str">
        <f aca="false">IF(CRM_Raw!D320="DACH","DACH",IF(ISNUMBER(SEARCH("uk",CRM_Raw!D320)),"UK &amp; Ireland",PROPER(CRM_Raw!D320)))</f>
        <v>Southern Europe</v>
      </c>
      <c r="E320" s="0" t="str">
        <f aca="false">CRM_Raw!E320</f>
        <v>Smart Ovens</v>
      </c>
      <c r="F320" s="0" t="str">
        <f aca="false">CRM_Raw!F320</f>
        <v>Affiliate Partner</v>
      </c>
      <c r="G320" s="0" t="str">
        <f aca="false">IF(TRIM(CRM_Raw!G320)="","Unassigned",CRM_Raw!G320)</f>
        <v>A. Becker</v>
      </c>
      <c r="H320" s="0" t="str">
        <f aca="false">CRM_Raw!H320</f>
        <v>Closed Lost</v>
      </c>
      <c r="I320" s="10" t="n">
        <f aca="false">CRM_Raw!I320</f>
        <v>904.75</v>
      </c>
      <c r="J320" s="11" t="n">
        <f aca="false">CRM_Raw!J320</f>
        <v>0</v>
      </c>
      <c r="K320" s="10" t="n">
        <f aca="false">I320*(1-J320)</f>
        <v>904.75</v>
      </c>
      <c r="L320" s="12" t="n">
        <f aca="false">CRM_Raw!K320</f>
        <v>25</v>
      </c>
      <c r="M320" s="12" t="n">
        <f aca="false">IF(H320="Closed Won",1,0)</f>
        <v>0</v>
      </c>
    </row>
    <row r="321" customFormat="false" ht="15" hidden="false" customHeight="false" outlineLevel="0" collapsed="false">
      <c r="A321" s="0" t="str">
        <f aca="false">CRM_Raw!A321</f>
        <v>D-10317</v>
      </c>
      <c r="B321" s="0" t="str">
        <f aca="false">CRM_Raw!B321</f>
        <v>2025-05-16</v>
      </c>
      <c r="C321" s="0" t="str">
        <f aca="false">CRM_Raw!C321</f>
        <v>2025-06-10</v>
      </c>
      <c r="D321" s="0" t="str">
        <f aca="false">IF(CRM_Raw!D321="DACH","DACH",IF(ISNUMBER(SEARCH("uk",CRM_Raw!D321)),"UK &amp; Ireland",PROPER(CRM_Raw!D321)))</f>
        <v>Southern Europe</v>
      </c>
      <c r="E321" s="0" t="str">
        <f aca="false">CRM_Raw!E321</f>
        <v>Cordless Vacuums</v>
      </c>
      <c r="F321" s="0" t="str">
        <f aca="false">CRM_Raw!F321</f>
        <v>Email Campaign</v>
      </c>
      <c r="G321" s="0" t="str">
        <f aca="false">IF(TRIM(CRM_Raw!G321)="","Unassigned",CRM_Raw!G321)</f>
        <v>K. Nilsson</v>
      </c>
      <c r="H321" s="0" t="str">
        <f aca="false">CRM_Raw!H321</f>
        <v>Closed Lost</v>
      </c>
      <c r="I321" s="10" t="n">
        <f aca="false">CRM_Raw!I321</f>
        <v>342.11</v>
      </c>
      <c r="J321" s="11" t="n">
        <f aca="false">CRM_Raw!J321</f>
        <v>0.15</v>
      </c>
      <c r="K321" s="10" t="n">
        <f aca="false">I321*(1-J321)</f>
        <v>290.7935</v>
      </c>
      <c r="L321" s="12" t="n">
        <f aca="false">CRM_Raw!K321</f>
        <v>25</v>
      </c>
      <c r="M321" s="12" t="n">
        <f aca="false">IF(H321="Closed Won",1,0)</f>
        <v>0</v>
      </c>
    </row>
    <row r="322" customFormat="false" ht="15" hidden="false" customHeight="false" outlineLevel="0" collapsed="false">
      <c r="A322" s="0" t="str">
        <f aca="false">CRM_Raw!A322</f>
        <v>D-10318</v>
      </c>
      <c r="B322" s="0" t="str">
        <f aca="false">CRM_Raw!B322</f>
        <v>2025-11-03</v>
      </c>
      <c r="C322" s="0" t="str">
        <f aca="false">CRM_Raw!C322</f>
        <v>2025-11-26</v>
      </c>
      <c r="D322" s="0" t="str">
        <f aca="false">IF(CRM_Raw!D322="DACH","DACH",IF(ISNUMBER(SEARCH("uk",CRM_Raw!D322)),"UK &amp; Ireland",PROPER(CRM_Raw!D322)))</f>
        <v>North America</v>
      </c>
      <c r="E322" s="0" t="str">
        <f aca="false">CRM_Raw!E322</f>
        <v>Smart Ovens</v>
      </c>
      <c r="F322" s="0" t="str">
        <f aca="false">CRM_Raw!F322</f>
        <v>Web-shop Organic</v>
      </c>
      <c r="G322" s="0" t="str">
        <f aca="false">IF(TRIM(CRM_Raw!G322)="","Unassigned",CRM_Raw!G322)</f>
        <v>P. Rossi</v>
      </c>
      <c r="H322" s="0" t="str">
        <f aca="false">CRM_Raw!H322</f>
        <v>Closed Won</v>
      </c>
      <c r="I322" s="10" t="n">
        <f aca="false">CRM_Raw!I322</f>
        <v>791.68</v>
      </c>
      <c r="J322" s="11" t="n">
        <f aca="false">CRM_Raw!J322</f>
        <v>0</v>
      </c>
      <c r="K322" s="10" t="n">
        <f aca="false">I322*(1-J322)</f>
        <v>791.68</v>
      </c>
      <c r="L322" s="12" t="n">
        <f aca="false">CRM_Raw!K322</f>
        <v>23</v>
      </c>
      <c r="M322" s="12" t="n">
        <f aca="false">IF(H322="Closed Won",1,0)</f>
        <v>1</v>
      </c>
    </row>
    <row r="323" customFormat="false" ht="15" hidden="false" customHeight="false" outlineLevel="0" collapsed="false">
      <c r="A323" s="0" t="str">
        <f aca="false">CRM_Raw!A323</f>
        <v>D-10319</v>
      </c>
      <c r="B323" s="0" t="str">
        <f aca="false">CRM_Raw!B323</f>
        <v>2026-03-27</v>
      </c>
      <c r="C323" s="0" t="str">
        <f aca="false">CRM_Raw!C323</f>
        <v>2026-04-02</v>
      </c>
      <c r="D323" s="0" t="str">
        <f aca="false">IF(CRM_Raw!D323="DACH","DACH",IF(ISNUMBER(SEARCH("uk",CRM_Raw!D323)),"UK &amp; Ireland",PROPER(CRM_Raw!D323)))</f>
        <v>Nordics</v>
      </c>
      <c r="E323" s="0" t="str">
        <f aca="false">CRM_Raw!E323</f>
        <v>Washing Machines</v>
      </c>
      <c r="F323" s="0" t="str">
        <f aca="false">CRM_Raw!F323</f>
        <v>Web-shop Organic</v>
      </c>
      <c r="G323" s="0" t="str">
        <f aca="false">IF(TRIM(CRM_Raw!G323)="","Unassigned",CRM_Raw!G323)</f>
        <v>M. Hoffmann</v>
      </c>
      <c r="H323" s="0" t="str">
        <f aca="false">CRM_Raw!H323</f>
        <v>Closed Won</v>
      </c>
      <c r="I323" s="10" t="n">
        <f aca="false">CRM_Raw!I323</f>
        <v>628.4</v>
      </c>
      <c r="J323" s="11" t="n">
        <f aca="false">CRM_Raw!J323</f>
        <v>0.05</v>
      </c>
      <c r="K323" s="10" t="n">
        <f aca="false">I323*(1-J323)</f>
        <v>596.98</v>
      </c>
      <c r="L323" s="12" t="n">
        <f aca="false">CRM_Raw!K323</f>
        <v>6</v>
      </c>
      <c r="M323" s="12" t="n">
        <f aca="false">IF(H323="Closed Won",1,0)</f>
        <v>1</v>
      </c>
    </row>
    <row r="324" customFormat="false" ht="15" hidden="false" customHeight="false" outlineLevel="0" collapsed="false">
      <c r="A324" s="0" t="str">
        <f aca="false">CRM_Raw!A324</f>
        <v>D-10320</v>
      </c>
      <c r="B324" s="0" t="str">
        <f aca="false">CRM_Raw!B324</f>
        <v>2025-03-30</v>
      </c>
      <c r="C324" s="0" t="n">
        <f aca="false">CRM_Raw!C324</f>
        <v>0</v>
      </c>
      <c r="D324" s="0" t="str">
        <f aca="false">IF(CRM_Raw!D324="DACH","DACH",IF(ISNUMBER(SEARCH("uk",CRM_Raw!D324)),"UK &amp; Ireland",PROPER(CRM_Raw!D324)))</f>
        <v>Nordics</v>
      </c>
      <c r="E324" s="0" t="str">
        <f aca="false">CRM_Raw!E324</f>
        <v>Small Kitchen Appliances</v>
      </c>
      <c r="F324" s="0" t="str">
        <f aca="false">CRM_Raw!F324</f>
        <v>Paid Search</v>
      </c>
      <c r="G324" s="0" t="str">
        <f aca="false">IF(TRIM(CRM_Raw!G324)="","Unassigned",CRM_Raw!G324)</f>
        <v>S. Andersson</v>
      </c>
      <c r="H324" s="0" t="str">
        <f aca="false">CRM_Raw!H324</f>
        <v>Qualified</v>
      </c>
      <c r="I324" s="10" t="n">
        <f aca="false">CRM_Raw!I324</f>
        <v>113.8</v>
      </c>
      <c r="J324" s="11" t="n">
        <f aca="false">CRM_Raw!J324</f>
        <v>0.1</v>
      </c>
      <c r="K324" s="10" t="n">
        <f aca="false">I324*(1-J324)</f>
        <v>102.42</v>
      </c>
      <c r="L324" s="12" t="n">
        <f aca="false">CRM_Raw!K324</f>
        <v>0</v>
      </c>
      <c r="M324" s="12" t="n">
        <f aca="false">IF(H324="Closed Won",1,0)</f>
        <v>0</v>
      </c>
    </row>
    <row r="325" customFormat="false" ht="15" hidden="false" customHeight="false" outlineLevel="0" collapsed="false">
      <c r="A325" s="0" t="str">
        <f aca="false">CRM_Raw!A325</f>
        <v>D-10321</v>
      </c>
      <c r="B325" s="0" t="str">
        <f aca="false">CRM_Raw!B325</f>
        <v>2025-11-19</v>
      </c>
      <c r="C325" s="0" t="n">
        <f aca="false">CRM_Raw!C325</f>
        <v>0</v>
      </c>
      <c r="D325" s="0" t="str">
        <f aca="false">IF(CRM_Raw!D325="DACH","DACH",IF(ISNUMBER(SEARCH("uk",CRM_Raw!D325)),"UK &amp; Ireland",PROPER(CRM_Raw!D325)))</f>
        <v>Southern Europe</v>
      </c>
      <c r="E325" s="0" t="str">
        <f aca="false">CRM_Raw!E325</f>
        <v>Dishwashers</v>
      </c>
      <c r="F325" s="0" t="str">
        <f aca="false">CRM_Raw!F325</f>
        <v>Paid Search</v>
      </c>
      <c r="G325" s="0" t="str">
        <f aca="false">IF(TRIM(CRM_Raw!G325)="","Unassigned",CRM_Raw!G325)</f>
        <v>K. Nilsson</v>
      </c>
      <c r="H325" s="0" t="str">
        <f aca="false">CRM_Raw!H325</f>
        <v>Proposal Sent</v>
      </c>
      <c r="I325" s="10" t="n">
        <f aca="false">CRM_Raw!I325</f>
        <v>679.34</v>
      </c>
      <c r="J325" s="11" t="n">
        <f aca="false">CRM_Raw!J325</f>
        <v>0</v>
      </c>
      <c r="K325" s="10" t="n">
        <f aca="false">I325*(1-J325)</f>
        <v>679.34</v>
      </c>
      <c r="L325" s="12" t="n">
        <f aca="false">CRM_Raw!K325</f>
        <v>0</v>
      </c>
      <c r="M325" s="12" t="n">
        <f aca="false">IF(H325="Closed Won",1,0)</f>
        <v>0</v>
      </c>
    </row>
    <row r="326" customFormat="false" ht="15" hidden="false" customHeight="false" outlineLevel="0" collapsed="false">
      <c r="A326" s="0" t="str">
        <f aca="false">CRM_Raw!A326</f>
        <v>D-10322</v>
      </c>
      <c r="B326" s="0" t="str">
        <f aca="false">CRM_Raw!B326</f>
        <v>2025-01-28</v>
      </c>
      <c r="C326" s="0" t="n">
        <f aca="false">CRM_Raw!C326</f>
        <v>0</v>
      </c>
      <c r="D326" s="0" t="str">
        <f aca="false">IF(CRM_Raw!D326="DACH","DACH",IF(ISNUMBER(SEARCH("uk",CRM_Raw!D326)),"UK &amp; Ireland",PROPER(CRM_Raw!D326)))</f>
        <v>Nordics</v>
      </c>
      <c r="E326" s="0" t="str">
        <f aca="false">CRM_Raw!E326</f>
        <v>Washing Machines</v>
      </c>
      <c r="F326" s="0" t="str">
        <f aca="false">CRM_Raw!F326</f>
        <v>Social Media Ads</v>
      </c>
      <c r="G326" s="0" t="str">
        <f aca="false">IF(TRIM(CRM_Raw!G326)="","Unassigned",CRM_Raw!G326)</f>
        <v>J. Murphy</v>
      </c>
      <c r="H326" s="0" t="str">
        <f aca="false">CRM_Raw!H326</f>
        <v>Proposal Sent</v>
      </c>
      <c r="I326" s="10" t="n">
        <f aca="false">CRM_Raw!I326</f>
        <v>700</v>
      </c>
      <c r="J326" s="11" t="n">
        <f aca="false">CRM_Raw!J326</f>
        <v>0</v>
      </c>
      <c r="K326" s="10" t="n">
        <f aca="false">I326*(1-J326)</f>
        <v>700</v>
      </c>
      <c r="L326" s="12" t="n">
        <f aca="false">CRM_Raw!K326</f>
        <v>0</v>
      </c>
      <c r="M326" s="12" t="n">
        <f aca="false">IF(H326="Closed Won",1,0)</f>
        <v>0</v>
      </c>
    </row>
    <row r="327" customFormat="false" ht="15" hidden="false" customHeight="false" outlineLevel="0" collapsed="false">
      <c r="A327" s="0" t="str">
        <f aca="false">CRM_Raw!A327</f>
        <v>D-10323</v>
      </c>
      <c r="B327" s="0" t="str">
        <f aca="false">CRM_Raw!B327</f>
        <v>2025-10-30</v>
      </c>
      <c r="C327" s="0" t="n">
        <f aca="false">CRM_Raw!C327</f>
        <v>0</v>
      </c>
      <c r="D327" s="0" t="str">
        <f aca="false">IF(CRM_Raw!D327="DACH","DACH",IF(ISNUMBER(SEARCH("uk",CRM_Raw!D327)),"UK &amp; Ireland",PROPER(CRM_Raw!D327)))</f>
        <v>Nordics</v>
      </c>
      <c r="E327" s="0" t="str">
        <f aca="false">CRM_Raw!E327</f>
        <v>Washing Machines</v>
      </c>
      <c r="F327" s="0" t="str">
        <f aca="false">CRM_Raw!F327</f>
        <v>Social Media Ads</v>
      </c>
      <c r="G327" s="0" t="str">
        <f aca="false">IF(TRIM(CRM_Raw!G327)="","Unassigned",CRM_Raw!G327)</f>
        <v>K. Nilsson</v>
      </c>
      <c r="H327" s="0" t="str">
        <f aca="false">CRM_Raw!H327</f>
        <v>Negotiation</v>
      </c>
      <c r="I327" s="10" t="n">
        <f aca="false">CRM_Raw!I327</f>
        <v>720.16</v>
      </c>
      <c r="J327" s="11" t="n">
        <f aca="false">CRM_Raw!J327</f>
        <v>0.05</v>
      </c>
      <c r="K327" s="10" t="n">
        <f aca="false">I327*(1-J327)</f>
        <v>684.152</v>
      </c>
      <c r="L327" s="12" t="n">
        <f aca="false">CRM_Raw!K327</f>
        <v>0</v>
      </c>
      <c r="M327" s="12" t="n">
        <f aca="false">IF(H327="Closed Won",1,0)</f>
        <v>0</v>
      </c>
    </row>
    <row r="328" customFormat="false" ht="15" hidden="false" customHeight="false" outlineLevel="0" collapsed="false">
      <c r="A328" s="0" t="str">
        <f aca="false">CRM_Raw!A328</f>
        <v>D-10324</v>
      </c>
      <c r="B328" s="0" t="str">
        <f aca="false">CRM_Raw!B328</f>
        <v>2025-01-13</v>
      </c>
      <c r="C328" s="0" t="n">
        <f aca="false">CRM_Raw!C328</f>
        <v>0</v>
      </c>
      <c r="D328" s="0" t="str">
        <f aca="false">IF(CRM_Raw!D328="DACH","DACH",IF(ISNUMBER(SEARCH("uk",CRM_Raw!D328)),"UK &amp; Ireland",PROPER(CRM_Raw!D328)))</f>
        <v>Benelux</v>
      </c>
      <c r="E328" s="0" t="str">
        <f aca="false">CRM_Raw!E328</f>
        <v>Smart Ovens</v>
      </c>
      <c r="F328" s="0" t="str">
        <f aca="false">CRM_Raw!F328</f>
        <v>Web-shop Organic</v>
      </c>
      <c r="G328" s="0" t="str">
        <f aca="false">IF(TRIM(CRM_Raw!G328)="","Unassigned",CRM_Raw!G328)</f>
        <v>L. Dubois</v>
      </c>
      <c r="H328" s="0" t="str">
        <f aca="false">CRM_Raw!H328</f>
        <v>Qualified</v>
      </c>
      <c r="I328" s="10" t="n">
        <f aca="false">CRM_Raw!I328</f>
        <v>957.26</v>
      </c>
      <c r="J328" s="11" t="n">
        <f aca="false">CRM_Raw!J328</f>
        <v>0.05</v>
      </c>
      <c r="K328" s="10" t="n">
        <f aca="false">I328*(1-J328)</f>
        <v>909.397</v>
      </c>
      <c r="L328" s="12" t="n">
        <f aca="false">CRM_Raw!K328</f>
        <v>0</v>
      </c>
      <c r="M328" s="12" t="n">
        <f aca="false">IF(H328="Closed Won",1,0)</f>
        <v>0</v>
      </c>
    </row>
    <row r="329" customFormat="false" ht="15" hidden="false" customHeight="false" outlineLevel="0" collapsed="false">
      <c r="A329" s="0" t="str">
        <f aca="false">CRM_Raw!A329</f>
        <v>D-10325</v>
      </c>
      <c r="B329" s="0" t="str">
        <f aca="false">CRM_Raw!B329</f>
        <v>2026-04-28</v>
      </c>
      <c r="C329" s="0" t="n">
        <f aca="false">CRM_Raw!C329</f>
        <v>0</v>
      </c>
      <c r="D329" s="0" t="str">
        <f aca="false">IF(CRM_Raw!D329="DACH","DACH",IF(ISNUMBER(SEARCH("uk",CRM_Raw!D329)),"UK &amp; Ireland",PROPER(CRM_Raw!D329)))</f>
        <v>North America</v>
      </c>
      <c r="E329" s="0" t="str">
        <f aca="false">CRM_Raw!E329</f>
        <v>Washing Machines</v>
      </c>
      <c r="F329" s="0" t="str">
        <f aca="false">CRM_Raw!F329</f>
        <v>Paid Search</v>
      </c>
      <c r="G329" s="0" t="str">
        <f aca="false">IF(TRIM(CRM_Raw!G329)="","Unassigned",CRM_Raw!G329)</f>
        <v>M. Hoffmann</v>
      </c>
      <c r="H329" s="0" t="str">
        <f aca="false">CRM_Raw!H329</f>
        <v>Qualified</v>
      </c>
      <c r="I329" s="10" t="n">
        <f aca="false">CRM_Raw!I329</f>
        <v>718</v>
      </c>
      <c r="J329" s="11" t="n">
        <f aca="false">CRM_Raw!J329</f>
        <v>0.1</v>
      </c>
      <c r="K329" s="10" t="n">
        <f aca="false">I329*(1-J329)</f>
        <v>646.2</v>
      </c>
      <c r="L329" s="12" t="n">
        <f aca="false">CRM_Raw!K329</f>
        <v>0</v>
      </c>
      <c r="M329" s="12" t="n">
        <f aca="false">IF(H329="Closed Won",1,0)</f>
        <v>0</v>
      </c>
    </row>
    <row r="330" customFormat="false" ht="15" hidden="false" customHeight="false" outlineLevel="0" collapsed="false">
      <c r="A330" s="0" t="str">
        <f aca="false">CRM_Raw!A330</f>
        <v>D-10326</v>
      </c>
      <c r="B330" s="0" t="str">
        <f aca="false">CRM_Raw!B330</f>
        <v>2025-03-03</v>
      </c>
      <c r="C330" s="0" t="n">
        <f aca="false">CRM_Raw!C330</f>
        <v>0</v>
      </c>
      <c r="D330" s="0" t="str">
        <f aca="false">IF(CRM_Raw!D330="DACH","DACH",IF(ISNUMBER(SEARCH("uk",CRM_Raw!D330)),"UK &amp; Ireland",PROPER(CRM_Raw!D330)))</f>
        <v>DACH</v>
      </c>
      <c r="E330" s="0" t="str">
        <f aca="false">CRM_Raw!E330</f>
        <v>Smart Ovens</v>
      </c>
      <c r="F330" s="0" t="str">
        <f aca="false">CRM_Raw!F330</f>
        <v>Paid Search</v>
      </c>
      <c r="G330" s="0" t="str">
        <f aca="false">IF(TRIM(CRM_Raw!G330)="","Unassigned",CRM_Raw!G330)</f>
        <v>A. Becker</v>
      </c>
      <c r="H330" s="0" t="str">
        <f aca="false">CRM_Raw!H330</f>
        <v>Qualified</v>
      </c>
      <c r="I330" s="10" t="n">
        <f aca="false">CRM_Raw!I330</f>
        <v>846.44</v>
      </c>
      <c r="J330" s="11" t="n">
        <f aca="false">CRM_Raw!J330</f>
        <v>0.15</v>
      </c>
      <c r="K330" s="10" t="n">
        <f aca="false">I330*(1-J330)</f>
        <v>719.474</v>
      </c>
      <c r="L330" s="12" t="n">
        <f aca="false">CRM_Raw!K330</f>
        <v>0</v>
      </c>
      <c r="M330" s="12" t="n">
        <f aca="false">IF(H330="Closed Won",1,0)</f>
        <v>0</v>
      </c>
    </row>
    <row r="331" customFormat="false" ht="15" hidden="false" customHeight="false" outlineLevel="0" collapsed="false">
      <c r="A331" s="0" t="str">
        <f aca="false">CRM_Raw!A331</f>
        <v>D-10327</v>
      </c>
      <c r="B331" s="0" t="str">
        <f aca="false">CRM_Raw!B331</f>
        <v>2026-02-16</v>
      </c>
      <c r="C331" s="0" t="str">
        <f aca="false">CRM_Raw!C331</f>
        <v>2026-02-24</v>
      </c>
      <c r="D331" s="0" t="str">
        <f aca="false">IF(CRM_Raw!D331="DACH","DACH",IF(ISNUMBER(SEARCH("uk",CRM_Raw!D331)),"UK &amp; Ireland",PROPER(CRM_Raw!D331)))</f>
        <v>Southern Europe</v>
      </c>
      <c r="E331" s="0" t="str">
        <f aca="false">CRM_Raw!E331</f>
        <v>Washing Machines</v>
      </c>
      <c r="F331" s="0" t="str">
        <f aca="false">CRM_Raw!F331</f>
        <v>Email Campaign</v>
      </c>
      <c r="G331" s="0" t="str">
        <f aca="false">IF(TRIM(CRM_Raw!G331)="","Unassigned",CRM_Raw!G331)</f>
        <v>K. Nilsson</v>
      </c>
      <c r="H331" s="0" t="str">
        <f aca="false">CRM_Raw!H331</f>
        <v>Closed Won</v>
      </c>
      <c r="I331" s="10" t="n">
        <f aca="false">CRM_Raw!I331</f>
        <v>638.76</v>
      </c>
      <c r="J331" s="11" t="n">
        <f aca="false">CRM_Raw!J331</f>
        <v>0</v>
      </c>
      <c r="K331" s="10" t="n">
        <f aca="false">I331*(1-J331)</f>
        <v>638.76</v>
      </c>
      <c r="L331" s="12" t="n">
        <f aca="false">CRM_Raw!K331</f>
        <v>8</v>
      </c>
      <c r="M331" s="12" t="n">
        <f aca="false">IF(H331="Closed Won",1,0)</f>
        <v>1</v>
      </c>
    </row>
    <row r="332" customFormat="false" ht="15" hidden="false" customHeight="false" outlineLevel="0" collapsed="false">
      <c r="A332" s="0" t="str">
        <f aca="false">CRM_Raw!A332</f>
        <v>D-10328</v>
      </c>
      <c r="B332" s="0" t="str">
        <f aca="false">CRM_Raw!B332</f>
        <v>2025-12-01</v>
      </c>
      <c r="C332" s="0" t="str">
        <f aca="false">CRM_Raw!C332</f>
        <v>2025-12-19</v>
      </c>
      <c r="D332" s="0" t="str">
        <f aca="false">IF(CRM_Raw!D332="DACH","DACH",IF(ISNUMBER(SEARCH("uk",CRM_Raw!D332)),"UK &amp; Ireland",PROPER(CRM_Raw!D332)))</f>
        <v>Nordics</v>
      </c>
      <c r="E332" s="0" t="str">
        <f aca="false">CRM_Raw!E332</f>
        <v>Coffee Systems</v>
      </c>
      <c r="F332" s="0" t="str">
        <f aca="false">CRM_Raw!F332</f>
        <v>Trade Show</v>
      </c>
      <c r="G332" s="0" t="str">
        <f aca="false">IF(TRIM(CRM_Raw!G332)="","Unassigned",CRM_Raw!G332)</f>
        <v>M. Hoffmann</v>
      </c>
      <c r="H332" s="0" t="str">
        <f aca="false">CRM_Raw!H332</f>
        <v>Closed Lost</v>
      </c>
      <c r="I332" s="10" t="n">
        <f aca="false">CRM_Raw!I332</f>
        <v>546.74</v>
      </c>
      <c r="J332" s="11" t="n">
        <f aca="false">CRM_Raw!J332</f>
        <v>0</v>
      </c>
      <c r="K332" s="10" t="n">
        <f aca="false">I332*(1-J332)</f>
        <v>546.74</v>
      </c>
      <c r="L332" s="12" t="n">
        <f aca="false">CRM_Raw!K332</f>
        <v>18</v>
      </c>
      <c r="M332" s="12" t="n">
        <f aca="false">IF(H332="Closed Won",1,0)</f>
        <v>0</v>
      </c>
    </row>
    <row r="333" customFormat="false" ht="15" hidden="false" customHeight="false" outlineLevel="0" collapsed="false">
      <c r="A333" s="0" t="str">
        <f aca="false">CRM_Raw!A333</f>
        <v>D-10329</v>
      </c>
      <c r="B333" s="0" t="str">
        <f aca="false">CRM_Raw!B333</f>
        <v>2025-03-01</v>
      </c>
      <c r="C333" s="0" t="str">
        <f aca="false">CRM_Raw!C333</f>
        <v>2025-03-25</v>
      </c>
      <c r="D333" s="0" t="str">
        <f aca="false">IF(CRM_Raw!D333="DACH","DACH",IF(ISNUMBER(SEARCH("uk",CRM_Raw!D333)),"UK &amp; Ireland",PROPER(CRM_Raw!D333)))</f>
        <v>Southern Europe</v>
      </c>
      <c r="E333" s="0" t="str">
        <f aca="false">CRM_Raw!E333</f>
        <v>Dishwashers</v>
      </c>
      <c r="F333" s="0" t="str">
        <f aca="false">CRM_Raw!F333</f>
        <v>Affiliate Partner</v>
      </c>
      <c r="G333" s="0" t="str">
        <f aca="false">IF(TRIM(CRM_Raw!G333)="","Unassigned",CRM_Raw!G333)</f>
        <v>S. Andersson</v>
      </c>
      <c r="H333" s="0" t="str">
        <f aca="false">CRM_Raw!H333</f>
        <v>Closed Won</v>
      </c>
      <c r="I333" s="10" t="n">
        <f aca="false">CRM_Raw!I333</f>
        <v>742.13</v>
      </c>
      <c r="J333" s="11" t="n">
        <f aca="false">CRM_Raw!J333</f>
        <v>0</v>
      </c>
      <c r="K333" s="10" t="n">
        <f aca="false">I333*(1-J333)</f>
        <v>742.13</v>
      </c>
      <c r="L333" s="12" t="n">
        <f aca="false">CRM_Raw!K333</f>
        <v>24</v>
      </c>
      <c r="M333" s="12" t="n">
        <f aca="false">IF(H333="Closed Won",1,0)</f>
        <v>1</v>
      </c>
    </row>
    <row r="334" customFormat="false" ht="15" hidden="false" customHeight="false" outlineLevel="0" collapsed="false">
      <c r="A334" s="0" t="str">
        <f aca="false">CRM_Raw!A334</f>
        <v>D-10330</v>
      </c>
      <c r="B334" s="0" t="str">
        <f aca="false">CRM_Raw!B334</f>
        <v>2025-05-03</v>
      </c>
      <c r="C334" s="0" t="str">
        <f aca="false">CRM_Raw!C334</f>
        <v>2025-05-21</v>
      </c>
      <c r="D334" s="0" t="str">
        <f aca="false">IF(CRM_Raw!D334="DACH","DACH",IF(ISNUMBER(SEARCH("uk",CRM_Raw!D334)),"UK &amp; Ireland",PROPER(CRM_Raw!D334)))</f>
        <v>Southern Europe</v>
      </c>
      <c r="E334" s="0" t="str">
        <f aca="false">CRM_Raw!E334</f>
        <v>Small Kitchen Appliances</v>
      </c>
      <c r="F334" s="0" t="str">
        <f aca="false">CRM_Raw!F334</f>
        <v>Affiliate Partner</v>
      </c>
      <c r="G334" s="0" t="str">
        <f aca="false">IF(TRIM(CRM_Raw!G334)="","Unassigned",CRM_Raw!G334)</f>
        <v>M. Hoffmann</v>
      </c>
      <c r="H334" s="0" t="str">
        <f aca="false">CRM_Raw!H334</f>
        <v>Closed Won</v>
      </c>
      <c r="I334" s="10" t="n">
        <f aca="false">CRM_Raw!I334</f>
        <v>113.72</v>
      </c>
      <c r="J334" s="11" t="n">
        <f aca="false">CRM_Raw!J334</f>
        <v>0</v>
      </c>
      <c r="K334" s="10" t="n">
        <f aca="false">I334*(1-J334)</f>
        <v>113.72</v>
      </c>
      <c r="L334" s="12" t="n">
        <f aca="false">CRM_Raw!K334</f>
        <v>18</v>
      </c>
      <c r="M334" s="12" t="n">
        <f aca="false">IF(H334="Closed Won",1,0)</f>
        <v>1</v>
      </c>
    </row>
    <row r="335" customFormat="false" ht="15" hidden="false" customHeight="false" outlineLevel="0" collapsed="false">
      <c r="A335" s="0" t="str">
        <f aca="false">CRM_Raw!A335</f>
        <v>D-10331</v>
      </c>
      <c r="B335" s="0" t="str">
        <f aca="false">CRM_Raw!B335</f>
        <v>2025-06-20</v>
      </c>
      <c r="C335" s="0" t="str">
        <f aca="false">CRM_Raw!C335</f>
        <v>2025-07-10</v>
      </c>
      <c r="D335" s="0" t="str">
        <f aca="false">IF(CRM_Raw!D335="DACH","DACH",IF(ISNUMBER(SEARCH("uk",CRM_Raw!D335)),"UK &amp; Ireland",PROPER(CRM_Raw!D335)))</f>
        <v>Benelux</v>
      </c>
      <c r="E335" s="0" t="str">
        <f aca="false">CRM_Raw!E335</f>
        <v>Cordless Vacuums</v>
      </c>
      <c r="F335" s="0" t="str">
        <f aca="false">CRM_Raw!F335</f>
        <v>Social Media Ads</v>
      </c>
      <c r="G335" s="0" t="str">
        <f aca="false">IF(TRIM(CRM_Raw!G335)="","Unassigned",CRM_Raw!G335)</f>
        <v>J. Murphy</v>
      </c>
      <c r="H335" s="0" t="str">
        <f aca="false">CRM_Raw!H335</f>
        <v>Closed Won</v>
      </c>
      <c r="I335" s="10" t="n">
        <f aca="false">CRM_Raw!I335</f>
        <v>386.04</v>
      </c>
      <c r="J335" s="11" t="n">
        <f aca="false">CRM_Raw!J335</f>
        <v>0.2</v>
      </c>
      <c r="K335" s="10" t="n">
        <f aca="false">I335*(1-J335)</f>
        <v>308.832</v>
      </c>
      <c r="L335" s="12" t="n">
        <f aca="false">CRM_Raw!K335</f>
        <v>20</v>
      </c>
      <c r="M335" s="12" t="n">
        <f aca="false">IF(H335="Closed Won",1,0)</f>
        <v>1</v>
      </c>
    </row>
    <row r="336" customFormat="false" ht="15" hidden="false" customHeight="false" outlineLevel="0" collapsed="false">
      <c r="A336" s="0" t="str">
        <f aca="false">CRM_Raw!A336</f>
        <v>D-10332</v>
      </c>
      <c r="B336" s="0" t="str">
        <f aca="false">CRM_Raw!B336</f>
        <v>2025-03-07</v>
      </c>
      <c r="C336" s="0" t="str">
        <f aca="false">CRM_Raw!C336</f>
        <v>2025-03-10</v>
      </c>
      <c r="D336" s="0" t="str">
        <f aca="false">IF(CRM_Raw!D336="DACH","DACH",IF(ISNUMBER(SEARCH("uk",CRM_Raw!D336)),"UK &amp; Ireland",PROPER(CRM_Raw!D336)))</f>
        <v>DACH</v>
      </c>
      <c r="E336" s="0" t="str">
        <f aca="false">CRM_Raw!E336</f>
        <v>Cordless Vacuums</v>
      </c>
      <c r="F336" s="0" t="str">
        <f aca="false">CRM_Raw!F336</f>
        <v>Email Campaign</v>
      </c>
      <c r="G336" s="0" t="str">
        <f aca="false">IF(TRIM(CRM_Raw!G336)="","Unassigned",CRM_Raw!G336)</f>
        <v>Unassigned</v>
      </c>
      <c r="H336" s="0" t="str">
        <f aca="false">CRM_Raw!H336</f>
        <v>Closed Won</v>
      </c>
      <c r="I336" s="10" t="n">
        <f aca="false">CRM_Raw!I336</f>
        <v>407.15</v>
      </c>
      <c r="J336" s="11" t="n">
        <f aca="false">CRM_Raw!J336</f>
        <v>0.05</v>
      </c>
      <c r="K336" s="10" t="n">
        <f aca="false">I336*(1-J336)</f>
        <v>386.7925</v>
      </c>
      <c r="L336" s="12" t="n">
        <f aca="false">CRM_Raw!K336</f>
        <v>3</v>
      </c>
      <c r="M336" s="12" t="n">
        <f aca="false">IF(H336="Closed Won",1,0)</f>
        <v>1</v>
      </c>
    </row>
    <row r="337" customFormat="false" ht="15" hidden="false" customHeight="false" outlineLevel="0" collapsed="false">
      <c r="A337" s="0" t="str">
        <f aca="false">CRM_Raw!A337</f>
        <v>D-10333</v>
      </c>
      <c r="B337" s="0" t="str">
        <f aca="false">CRM_Raw!B337</f>
        <v>2025-06-20</v>
      </c>
      <c r="C337" s="0" t="str">
        <f aca="false">CRM_Raw!C337</f>
        <v>2025-07-10</v>
      </c>
      <c r="D337" s="0" t="str">
        <f aca="false">IF(CRM_Raw!D337="DACH","DACH",IF(ISNUMBER(SEARCH("uk",CRM_Raw!D337)),"UK &amp; Ireland",PROPER(CRM_Raw!D337)))</f>
        <v>Benelux</v>
      </c>
      <c r="E337" s="0" t="str">
        <f aca="false">CRM_Raw!E337</f>
        <v>Washing Machines</v>
      </c>
      <c r="F337" s="0" t="str">
        <f aca="false">CRM_Raw!F337</f>
        <v>Paid Search</v>
      </c>
      <c r="G337" s="0" t="str">
        <f aca="false">IF(TRIM(CRM_Raw!G337)="","Unassigned",CRM_Raw!G337)</f>
        <v>T. Wagner</v>
      </c>
      <c r="H337" s="0" t="str">
        <f aca="false">CRM_Raw!H337</f>
        <v>Closed Won</v>
      </c>
      <c r="I337" s="10" t="n">
        <f aca="false">CRM_Raw!I337</f>
        <v>686.42</v>
      </c>
      <c r="J337" s="11" t="n">
        <f aca="false">CRM_Raw!J337</f>
        <v>0</v>
      </c>
      <c r="K337" s="10" t="n">
        <f aca="false">I337*(1-J337)</f>
        <v>686.42</v>
      </c>
      <c r="L337" s="12" t="n">
        <f aca="false">CRM_Raw!K337</f>
        <v>20</v>
      </c>
      <c r="M337" s="12" t="n">
        <f aca="false">IF(H337="Closed Won",1,0)</f>
        <v>1</v>
      </c>
    </row>
    <row r="338" customFormat="false" ht="15" hidden="false" customHeight="false" outlineLevel="0" collapsed="false">
      <c r="A338" s="0" t="str">
        <f aca="false">CRM_Raw!A338</f>
        <v>D-10334</v>
      </c>
      <c r="B338" s="0" t="str">
        <f aca="false">CRM_Raw!B338</f>
        <v>2025-09-08</v>
      </c>
      <c r="C338" s="0" t="str">
        <f aca="false">CRM_Raw!C338</f>
        <v>2025-10-03</v>
      </c>
      <c r="D338" s="0" t="str">
        <f aca="false">IF(CRM_Raw!D338="DACH","DACH",IF(ISNUMBER(SEARCH("uk",CRM_Raw!D338)),"UK &amp; Ireland",PROPER(CRM_Raw!D338)))</f>
        <v>Southern Europe</v>
      </c>
      <c r="E338" s="0" t="str">
        <f aca="false">CRM_Raw!E338</f>
        <v>Washing Machines</v>
      </c>
      <c r="F338" s="0" t="str">
        <f aca="false">CRM_Raw!F338</f>
        <v>Web-shop Organic</v>
      </c>
      <c r="G338" s="0" t="str">
        <f aca="false">IF(TRIM(CRM_Raw!G338)="","Unassigned",CRM_Raw!G338)</f>
        <v>A. Becker</v>
      </c>
      <c r="H338" s="0" t="str">
        <f aca="false">CRM_Raw!H338</f>
        <v>Closed Won</v>
      </c>
      <c r="I338" s="10" t="n">
        <f aca="false">CRM_Raw!I338</f>
        <v>652.67</v>
      </c>
      <c r="J338" s="11" t="n">
        <f aca="false">CRM_Raw!J338</f>
        <v>0</v>
      </c>
      <c r="K338" s="10" t="n">
        <f aca="false">I338*(1-J338)</f>
        <v>652.67</v>
      </c>
      <c r="L338" s="12" t="n">
        <f aca="false">CRM_Raw!K338</f>
        <v>25</v>
      </c>
      <c r="M338" s="12" t="n">
        <f aca="false">IF(H338="Closed Won",1,0)</f>
        <v>1</v>
      </c>
    </row>
    <row r="339" customFormat="false" ht="15" hidden="false" customHeight="false" outlineLevel="0" collapsed="false">
      <c r="A339" s="0" t="str">
        <f aca="false">CRM_Raw!A339</f>
        <v>D-10335</v>
      </c>
      <c r="B339" s="0" t="str">
        <f aca="false">CRM_Raw!B339</f>
        <v>2025-08-18</v>
      </c>
      <c r="C339" s="0" t="str">
        <f aca="false">CRM_Raw!C339</f>
        <v>2025-08-26</v>
      </c>
      <c r="D339" s="0" t="str">
        <f aca="false">IF(CRM_Raw!D339="DACH","DACH",IF(ISNUMBER(SEARCH("uk",CRM_Raw!D339)),"UK &amp; Ireland",PROPER(CRM_Raw!D339)))</f>
        <v>North America</v>
      </c>
      <c r="E339" s="0" t="str">
        <f aca="false">CRM_Raw!E339</f>
        <v>Smart Ovens</v>
      </c>
      <c r="F339" s="0" t="str">
        <f aca="false">CRM_Raw!F339</f>
        <v>Social Media Ads</v>
      </c>
      <c r="G339" s="0" t="str">
        <f aca="false">IF(TRIM(CRM_Raw!G339)="","Unassigned",CRM_Raw!G339)</f>
        <v>K. Nilsson</v>
      </c>
      <c r="H339" s="0" t="str">
        <f aca="false">CRM_Raw!H339</f>
        <v>Closed Won</v>
      </c>
      <c r="I339" s="10" t="n">
        <f aca="false">CRM_Raw!I339</f>
        <v>820.24</v>
      </c>
      <c r="J339" s="11" t="n">
        <f aca="false">CRM_Raw!J339</f>
        <v>0.1</v>
      </c>
      <c r="K339" s="10" t="n">
        <f aca="false">I339*(1-J339)</f>
        <v>738.216</v>
      </c>
      <c r="L339" s="12" t="n">
        <f aca="false">CRM_Raw!K339</f>
        <v>8</v>
      </c>
      <c r="M339" s="12" t="n">
        <f aca="false">IF(H339="Closed Won",1,0)</f>
        <v>1</v>
      </c>
    </row>
    <row r="340" customFormat="false" ht="15" hidden="false" customHeight="false" outlineLevel="0" collapsed="false">
      <c r="A340" s="0" t="str">
        <f aca="false">CRM_Raw!A340</f>
        <v>D-10336</v>
      </c>
      <c r="B340" s="0" t="str">
        <f aca="false">CRM_Raw!B340</f>
        <v>2025-07-03</v>
      </c>
      <c r="C340" s="0" t="str">
        <f aca="false">CRM_Raw!C340</f>
        <v>2025-07-31</v>
      </c>
      <c r="D340" s="0" t="str">
        <f aca="false">IF(CRM_Raw!D340="DACH","DACH",IF(ISNUMBER(SEARCH("uk",CRM_Raw!D340)),"UK &amp; Ireland",PROPER(CRM_Raw!D340)))</f>
        <v>France</v>
      </c>
      <c r="E340" s="0" t="str">
        <f aca="false">CRM_Raw!E340</f>
        <v>Smart Ovens</v>
      </c>
      <c r="F340" s="0" t="str">
        <f aca="false">CRM_Raw!F340</f>
        <v>Social Media Ads</v>
      </c>
      <c r="G340" s="0" t="str">
        <f aca="false">IF(TRIM(CRM_Raw!G340)="","Unassigned",CRM_Raw!G340)</f>
        <v>A. Becker</v>
      </c>
      <c r="H340" s="0" t="str">
        <f aca="false">CRM_Raw!H340</f>
        <v>Closed Won</v>
      </c>
      <c r="I340" s="10" t="n">
        <f aca="false">CRM_Raw!I340</f>
        <v>870.8</v>
      </c>
      <c r="J340" s="11" t="n">
        <f aca="false">CRM_Raw!J340</f>
        <v>0.05</v>
      </c>
      <c r="K340" s="10" t="n">
        <f aca="false">I340*(1-J340)</f>
        <v>827.26</v>
      </c>
      <c r="L340" s="12" t="n">
        <f aca="false">CRM_Raw!K340</f>
        <v>28</v>
      </c>
      <c r="M340" s="12" t="n">
        <f aca="false">IF(H340="Closed Won",1,0)</f>
        <v>1</v>
      </c>
    </row>
    <row r="341" customFormat="false" ht="15" hidden="false" customHeight="false" outlineLevel="0" collapsed="false">
      <c r="A341" s="0" t="str">
        <f aca="false">CRM_Raw!A341</f>
        <v>D-10337</v>
      </c>
      <c r="B341" s="0" t="str">
        <f aca="false">CRM_Raw!B341</f>
        <v>2025-12-02</v>
      </c>
      <c r="C341" s="0" t="str">
        <f aca="false">CRM_Raw!C341</f>
        <v>2025-12-14</v>
      </c>
      <c r="D341" s="0" t="str">
        <f aca="false">IF(CRM_Raw!D341="DACH","DACH",IF(ISNUMBER(SEARCH("uk",CRM_Raw!D341)),"UK &amp; Ireland",PROPER(CRM_Raw!D341)))</f>
        <v>DACH</v>
      </c>
      <c r="E341" s="0" t="str">
        <f aca="false">CRM_Raw!E341</f>
        <v>Dishwashers</v>
      </c>
      <c r="F341" s="0" t="str">
        <f aca="false">CRM_Raw!F341</f>
        <v>Retail Referral</v>
      </c>
      <c r="G341" s="0" t="str">
        <f aca="false">IF(TRIM(CRM_Raw!G341)="","Unassigned",CRM_Raw!G341)</f>
        <v>J. Murphy</v>
      </c>
      <c r="H341" s="0" t="str">
        <f aca="false">CRM_Raw!H341</f>
        <v>Closed Won</v>
      </c>
      <c r="I341" s="10" t="n">
        <f aca="false">CRM_Raw!I341</f>
        <v>686.88</v>
      </c>
      <c r="J341" s="11" t="n">
        <f aca="false">CRM_Raw!J341</f>
        <v>0.15</v>
      </c>
      <c r="K341" s="10" t="n">
        <f aca="false">I341*(1-J341)</f>
        <v>583.848</v>
      </c>
      <c r="L341" s="12" t="n">
        <f aca="false">CRM_Raw!K341</f>
        <v>12</v>
      </c>
      <c r="M341" s="12" t="n">
        <f aca="false">IF(H341="Closed Won",1,0)</f>
        <v>1</v>
      </c>
    </row>
    <row r="342" customFormat="false" ht="15" hidden="false" customHeight="false" outlineLevel="0" collapsed="false">
      <c r="A342" s="0" t="str">
        <f aca="false">CRM_Raw!A342</f>
        <v>D-10338</v>
      </c>
      <c r="B342" s="0" t="str">
        <f aca="false">CRM_Raw!B342</f>
        <v>2025-07-20</v>
      </c>
      <c r="C342" s="0" t="n">
        <f aca="false">CRM_Raw!C342</f>
        <v>0</v>
      </c>
      <c r="D342" s="0" t="str">
        <f aca="false">IF(CRM_Raw!D342="DACH","DACH",IF(ISNUMBER(SEARCH("uk",CRM_Raw!D342)),"UK &amp; Ireland",PROPER(CRM_Raw!D342)))</f>
        <v>Nordics</v>
      </c>
      <c r="E342" s="0" t="str">
        <f aca="false">CRM_Raw!E342</f>
        <v>Coffee Systems</v>
      </c>
      <c r="F342" s="0" t="str">
        <f aca="false">CRM_Raw!F342</f>
        <v>Social Media Ads</v>
      </c>
      <c r="G342" s="0" t="str">
        <f aca="false">IF(TRIM(CRM_Raw!G342)="","Unassigned",CRM_Raw!G342)</f>
        <v>T. Wagner</v>
      </c>
      <c r="H342" s="0" t="str">
        <f aca="false">CRM_Raw!H342</f>
        <v>Negotiation</v>
      </c>
      <c r="I342" s="10" t="n">
        <f aca="false">CRM_Raw!I342</f>
        <v>535.66</v>
      </c>
      <c r="J342" s="11" t="n">
        <f aca="false">CRM_Raw!J342</f>
        <v>0</v>
      </c>
      <c r="K342" s="10" t="n">
        <f aca="false">I342*(1-J342)</f>
        <v>535.66</v>
      </c>
      <c r="L342" s="12" t="n">
        <f aca="false">CRM_Raw!K342</f>
        <v>0</v>
      </c>
      <c r="M342" s="12" t="n">
        <f aca="false">IF(H342="Closed Won",1,0)</f>
        <v>0</v>
      </c>
    </row>
    <row r="343" customFormat="false" ht="15" hidden="false" customHeight="false" outlineLevel="0" collapsed="false">
      <c r="A343" s="0" t="str">
        <f aca="false">CRM_Raw!A343</f>
        <v>D-10339</v>
      </c>
      <c r="B343" s="0" t="str">
        <f aca="false">CRM_Raw!B343</f>
        <v>2025-01-10</v>
      </c>
      <c r="C343" s="0" t="n">
        <f aca="false">CRM_Raw!C343</f>
        <v>0</v>
      </c>
      <c r="D343" s="0" t="str">
        <f aca="false">IF(CRM_Raw!D343="DACH","DACH",IF(ISNUMBER(SEARCH("uk",CRM_Raw!D343)),"UK &amp; Ireland",PROPER(CRM_Raw!D343)))</f>
        <v>DACH</v>
      </c>
      <c r="E343" s="0" t="str">
        <f aca="false">CRM_Raw!E343</f>
        <v>Dishwashers</v>
      </c>
      <c r="F343" s="0" t="str">
        <f aca="false">CRM_Raw!F343</f>
        <v>Web-shop Organic</v>
      </c>
      <c r="G343" s="0" t="str">
        <f aca="false">IF(TRIM(CRM_Raw!G343)="","Unassigned",CRM_Raw!G343)</f>
        <v>P. Rossi</v>
      </c>
      <c r="H343" s="0" t="str">
        <f aca="false">CRM_Raw!H343</f>
        <v>Qualified</v>
      </c>
      <c r="I343" s="10" t="n">
        <f aca="false">CRM_Raw!I343</f>
        <v>1273.8</v>
      </c>
      <c r="J343" s="11" t="n">
        <f aca="false">CRM_Raw!J343</f>
        <v>0.2</v>
      </c>
      <c r="K343" s="10" t="n">
        <f aca="false">I343*(1-J343)</f>
        <v>1019.04</v>
      </c>
      <c r="L343" s="12" t="n">
        <f aca="false">CRM_Raw!K343</f>
        <v>0</v>
      </c>
      <c r="M343" s="12" t="n">
        <f aca="false">IF(H343="Closed Won",1,0)</f>
        <v>0</v>
      </c>
    </row>
    <row r="344" customFormat="false" ht="15" hidden="false" customHeight="false" outlineLevel="0" collapsed="false">
      <c r="A344" s="0" t="str">
        <f aca="false">CRM_Raw!A344</f>
        <v>D-10340</v>
      </c>
      <c r="B344" s="0" t="str">
        <f aca="false">CRM_Raw!B344</f>
        <v>2025-09-01</v>
      </c>
      <c r="C344" s="0" t="str">
        <f aca="false">CRM_Raw!C344</f>
        <v>2025-09-24</v>
      </c>
      <c r="D344" s="0" t="str">
        <f aca="false">IF(CRM_Raw!D344="DACH","DACH",IF(ISNUMBER(SEARCH("uk",CRM_Raw!D344)),"UK &amp; Ireland",PROPER(CRM_Raw!D344)))</f>
        <v>Southern Europe</v>
      </c>
      <c r="E344" s="0" t="str">
        <f aca="false">CRM_Raw!E344</f>
        <v>Small Kitchen Appliances</v>
      </c>
      <c r="F344" s="0" t="str">
        <f aca="false">CRM_Raw!F344</f>
        <v>Paid Search</v>
      </c>
      <c r="G344" s="0" t="str">
        <f aca="false">IF(TRIM(CRM_Raw!G344)="","Unassigned",CRM_Raw!G344)</f>
        <v>S. Andersson</v>
      </c>
      <c r="H344" s="0" t="str">
        <f aca="false">CRM_Raw!H344</f>
        <v>Closed Lost</v>
      </c>
      <c r="I344" s="10" t="n">
        <f aca="false">CRM_Raw!I344</f>
        <v>138.17</v>
      </c>
      <c r="J344" s="11" t="n">
        <f aca="false">CRM_Raw!J344</f>
        <v>0.15</v>
      </c>
      <c r="K344" s="10" t="n">
        <f aca="false">I344*(1-J344)</f>
        <v>117.4445</v>
      </c>
      <c r="L344" s="12" t="n">
        <f aca="false">CRM_Raw!K344</f>
        <v>23</v>
      </c>
      <c r="M344" s="12" t="n">
        <f aca="false">IF(H344="Closed Won",1,0)</f>
        <v>0</v>
      </c>
    </row>
    <row r="345" customFormat="false" ht="15" hidden="false" customHeight="false" outlineLevel="0" collapsed="false">
      <c r="A345" s="0" t="str">
        <f aca="false">CRM_Raw!A345</f>
        <v>D-10341</v>
      </c>
      <c r="B345" s="0" t="str">
        <f aca="false">CRM_Raw!B345</f>
        <v>2026-02-27</v>
      </c>
      <c r="C345" s="0" t="n">
        <f aca="false">CRM_Raw!C345</f>
        <v>0</v>
      </c>
      <c r="D345" s="0" t="str">
        <f aca="false">IF(CRM_Raw!D345="DACH","DACH",IF(ISNUMBER(SEARCH("uk",CRM_Raw!D345)),"UK &amp; Ireland",PROPER(CRM_Raw!D345)))</f>
        <v>France</v>
      </c>
      <c r="E345" s="0" t="str">
        <f aca="false">CRM_Raw!E345</f>
        <v>Smart Ovens</v>
      </c>
      <c r="F345" s="0" t="str">
        <f aca="false">CRM_Raw!F345</f>
        <v>Web-shop Organic</v>
      </c>
      <c r="G345" s="0" t="str">
        <f aca="false">IF(TRIM(CRM_Raw!G345)="","Unassigned",CRM_Raw!G345)</f>
        <v>S. Andersson</v>
      </c>
      <c r="H345" s="0" t="str">
        <f aca="false">CRM_Raw!H345</f>
        <v>Negotiation</v>
      </c>
      <c r="I345" s="10" t="n">
        <f aca="false">CRM_Raw!I345</f>
        <v>841.17</v>
      </c>
      <c r="J345" s="11" t="n">
        <f aca="false">CRM_Raw!J345</f>
        <v>0.1</v>
      </c>
      <c r="K345" s="10" t="n">
        <f aca="false">I345*(1-J345)</f>
        <v>757.053</v>
      </c>
      <c r="L345" s="12" t="n">
        <f aca="false">CRM_Raw!K345</f>
        <v>0</v>
      </c>
      <c r="M345" s="12" t="n">
        <f aca="false">IF(H345="Closed Won",1,0)</f>
        <v>0</v>
      </c>
    </row>
    <row r="346" customFormat="false" ht="15" hidden="false" customHeight="false" outlineLevel="0" collapsed="false">
      <c r="A346" s="0" t="str">
        <f aca="false">CRM_Raw!A346</f>
        <v>D-10342</v>
      </c>
      <c r="B346" s="0" t="str">
        <f aca="false">CRM_Raw!B346</f>
        <v>2025-03-18</v>
      </c>
      <c r="C346" s="0" t="str">
        <f aca="false">CRM_Raw!C346</f>
        <v>2025-04-20</v>
      </c>
      <c r="D346" s="0" t="str">
        <f aca="false">IF(CRM_Raw!D346="DACH","DACH",IF(ISNUMBER(SEARCH("uk",CRM_Raw!D346)),"UK &amp; Ireland",PROPER(CRM_Raw!D346)))</f>
        <v>DACH</v>
      </c>
      <c r="E346" s="0" t="str">
        <f aca="false">CRM_Raw!E346</f>
        <v>Washing Machines</v>
      </c>
      <c r="F346" s="0" t="str">
        <f aca="false">CRM_Raw!F346</f>
        <v>Web-shop Organic</v>
      </c>
      <c r="G346" s="0" t="str">
        <f aca="false">IF(TRIM(CRM_Raw!G346)="","Unassigned",CRM_Raw!G346)</f>
        <v>K. Nilsson</v>
      </c>
      <c r="H346" s="0" t="str">
        <f aca="false">CRM_Raw!H346</f>
        <v>Closed Lost</v>
      </c>
      <c r="I346" s="10" t="n">
        <f aca="false">CRM_Raw!I346</f>
        <v>615.16</v>
      </c>
      <c r="J346" s="11" t="n">
        <f aca="false">CRM_Raw!J346</f>
        <v>0</v>
      </c>
      <c r="K346" s="10" t="n">
        <f aca="false">I346*(1-J346)</f>
        <v>615.16</v>
      </c>
      <c r="L346" s="12" t="n">
        <f aca="false">CRM_Raw!K346</f>
        <v>33</v>
      </c>
      <c r="M346" s="12" t="n">
        <f aca="false">IF(H346="Closed Won",1,0)</f>
        <v>0</v>
      </c>
    </row>
    <row r="347" customFormat="false" ht="15" hidden="false" customHeight="false" outlineLevel="0" collapsed="false">
      <c r="A347" s="0" t="str">
        <f aca="false">CRM_Raw!A347</f>
        <v>D-10343</v>
      </c>
      <c r="B347" s="0" t="str">
        <f aca="false">CRM_Raw!B347</f>
        <v>2025-12-01</v>
      </c>
      <c r="C347" s="0" t="str">
        <f aca="false">CRM_Raw!C347</f>
        <v>2025-12-27</v>
      </c>
      <c r="D347" s="0" t="str">
        <f aca="false">IF(CRM_Raw!D347="DACH","DACH",IF(ISNUMBER(SEARCH("uk",CRM_Raw!D347)),"UK &amp; Ireland",PROPER(CRM_Raw!D347)))</f>
        <v>North America</v>
      </c>
      <c r="E347" s="0" t="str">
        <f aca="false">CRM_Raw!E347</f>
        <v>Cordless Vacuums</v>
      </c>
      <c r="F347" s="0" t="str">
        <f aca="false">CRM_Raw!F347</f>
        <v>Retail Referral</v>
      </c>
      <c r="G347" s="0" t="str">
        <f aca="false">IF(TRIM(CRM_Raw!G347)="","Unassigned",CRM_Raw!G347)</f>
        <v>K. Nilsson</v>
      </c>
      <c r="H347" s="0" t="str">
        <f aca="false">CRM_Raw!H347</f>
        <v>Closed Won</v>
      </c>
      <c r="I347" s="10" t="n">
        <f aca="false">CRM_Raw!I347</f>
        <v>345.86</v>
      </c>
      <c r="J347" s="11" t="n">
        <f aca="false">CRM_Raw!J347</f>
        <v>0</v>
      </c>
      <c r="K347" s="10" t="n">
        <f aca="false">I347*(1-J347)</f>
        <v>345.86</v>
      </c>
      <c r="L347" s="12" t="n">
        <f aca="false">CRM_Raw!K347</f>
        <v>26</v>
      </c>
      <c r="M347" s="12" t="n">
        <f aca="false">IF(H347="Closed Won",1,0)</f>
        <v>1</v>
      </c>
    </row>
    <row r="348" customFormat="false" ht="15" hidden="false" customHeight="false" outlineLevel="0" collapsed="false">
      <c r="A348" s="0" t="str">
        <f aca="false">CRM_Raw!A348</f>
        <v>D-10344</v>
      </c>
      <c r="B348" s="0" t="str">
        <f aca="false">CRM_Raw!B348</f>
        <v>2025-06-18</v>
      </c>
      <c r="C348" s="0" t="str">
        <f aca="false">CRM_Raw!C348</f>
        <v>2025-07-07</v>
      </c>
      <c r="D348" s="0" t="str">
        <f aca="false">IF(CRM_Raw!D348="DACH","DACH",IF(ISNUMBER(SEARCH("uk",CRM_Raw!D348)),"UK &amp; Ireland",PROPER(CRM_Raw!D348)))</f>
        <v>UK &amp; Ireland</v>
      </c>
      <c r="E348" s="0" t="str">
        <f aca="false">CRM_Raw!E348</f>
        <v>Washing Machines</v>
      </c>
      <c r="F348" s="0" t="str">
        <f aca="false">CRM_Raw!F348</f>
        <v>Web-shop Organic</v>
      </c>
      <c r="G348" s="0" t="str">
        <f aca="false">IF(TRIM(CRM_Raw!G348)="","Unassigned",CRM_Raw!G348)</f>
        <v>L. Dubois</v>
      </c>
      <c r="H348" s="0" t="str">
        <f aca="false">CRM_Raw!H348</f>
        <v>Closed Lost</v>
      </c>
      <c r="I348" s="10" t="n">
        <f aca="false">CRM_Raw!I348</f>
        <v>651.75</v>
      </c>
      <c r="J348" s="11" t="n">
        <f aca="false">CRM_Raw!J348</f>
        <v>0.05</v>
      </c>
      <c r="K348" s="10" t="n">
        <f aca="false">I348*(1-J348)</f>
        <v>619.1625</v>
      </c>
      <c r="L348" s="12" t="n">
        <f aca="false">CRM_Raw!K348</f>
        <v>19</v>
      </c>
      <c r="M348" s="12" t="n">
        <f aca="false">IF(H348="Closed Won",1,0)</f>
        <v>0</v>
      </c>
    </row>
    <row r="349" customFormat="false" ht="15" hidden="false" customHeight="false" outlineLevel="0" collapsed="false">
      <c r="A349" s="0" t="str">
        <f aca="false">CRM_Raw!A349</f>
        <v>D-10345</v>
      </c>
      <c r="B349" s="0" t="str">
        <f aca="false">CRM_Raw!B349</f>
        <v>2025-04-03</v>
      </c>
      <c r="C349" s="0" t="str">
        <f aca="false">CRM_Raw!C349</f>
        <v>2025-04-28</v>
      </c>
      <c r="D349" s="0" t="str">
        <f aca="false">IF(CRM_Raw!D349="DACH","DACH",IF(ISNUMBER(SEARCH("uk",CRM_Raw!D349)),"UK &amp; Ireland",PROPER(CRM_Raw!D349)))</f>
        <v>France</v>
      </c>
      <c r="E349" s="0" t="str">
        <f aca="false">CRM_Raw!E349</f>
        <v>Dishwashers</v>
      </c>
      <c r="F349" s="0" t="str">
        <f aca="false">CRM_Raw!F349</f>
        <v>Paid Search</v>
      </c>
      <c r="G349" s="0" t="str">
        <f aca="false">IF(TRIM(CRM_Raw!G349)="","Unassigned",CRM_Raw!G349)</f>
        <v>L. Dubois</v>
      </c>
      <c r="H349" s="0" t="str">
        <f aca="false">CRM_Raw!H349</f>
        <v>Closed Won</v>
      </c>
      <c r="I349" s="10" t="n">
        <f aca="false">CRM_Raw!I349</f>
        <v>2264.51</v>
      </c>
      <c r="J349" s="11" t="n">
        <f aca="false">CRM_Raw!J349</f>
        <v>0</v>
      </c>
      <c r="K349" s="10" t="n">
        <f aca="false">I349*(1-J349)</f>
        <v>2264.51</v>
      </c>
      <c r="L349" s="12" t="n">
        <f aca="false">CRM_Raw!K349</f>
        <v>25</v>
      </c>
      <c r="M349" s="12" t="n">
        <f aca="false">IF(H349="Closed Won",1,0)</f>
        <v>1</v>
      </c>
    </row>
    <row r="350" customFormat="false" ht="15" hidden="false" customHeight="false" outlineLevel="0" collapsed="false">
      <c r="A350" s="0" t="str">
        <f aca="false">CRM_Raw!A350</f>
        <v>D-10346</v>
      </c>
      <c r="B350" s="0" t="str">
        <f aca="false">CRM_Raw!B350</f>
        <v>2025-12-31</v>
      </c>
      <c r="C350" s="0" t="str">
        <f aca="false">CRM_Raw!C350</f>
        <v>2026-01-28</v>
      </c>
      <c r="D350" s="0" t="str">
        <f aca="false">IF(CRM_Raw!D350="DACH","DACH",IF(ISNUMBER(SEARCH("uk",CRM_Raw!D350)),"UK &amp; Ireland",PROPER(CRM_Raw!D350)))</f>
        <v>UK &amp; Ireland</v>
      </c>
      <c r="E350" s="0" t="str">
        <f aca="false">CRM_Raw!E350</f>
        <v>Cordless Vacuums</v>
      </c>
      <c r="F350" s="0" t="str">
        <f aca="false">CRM_Raw!F350</f>
        <v>Web-shop Organic</v>
      </c>
      <c r="G350" s="0" t="str">
        <f aca="false">IF(TRIM(CRM_Raw!G350)="","Unassigned",CRM_Raw!G350)</f>
        <v>S. Andersson</v>
      </c>
      <c r="H350" s="0" t="str">
        <f aca="false">CRM_Raw!H350</f>
        <v>Closed Lost</v>
      </c>
      <c r="I350" s="10" t="n">
        <f aca="false">CRM_Raw!I350</f>
        <v>393.64</v>
      </c>
      <c r="J350" s="11" t="n">
        <f aca="false">CRM_Raw!J350</f>
        <v>0</v>
      </c>
      <c r="K350" s="10" t="n">
        <f aca="false">I350*(1-J350)</f>
        <v>393.64</v>
      </c>
      <c r="L350" s="12" t="n">
        <f aca="false">CRM_Raw!K350</f>
        <v>28</v>
      </c>
      <c r="M350" s="12" t="n">
        <f aca="false">IF(H350="Closed Won",1,0)</f>
        <v>0</v>
      </c>
    </row>
    <row r="351" customFormat="false" ht="15" hidden="false" customHeight="false" outlineLevel="0" collapsed="false">
      <c r="A351" s="0" t="str">
        <f aca="false">CRM_Raw!A351</f>
        <v>D-10347</v>
      </c>
      <c r="B351" s="0" t="str">
        <f aca="false">CRM_Raw!B351</f>
        <v>2025-04-07</v>
      </c>
      <c r="C351" s="0" t="str">
        <f aca="false">CRM_Raw!C351</f>
        <v>2025-04-30</v>
      </c>
      <c r="D351" s="0" t="str">
        <f aca="false">IF(CRM_Raw!D351="DACH","DACH",IF(ISNUMBER(SEARCH("uk",CRM_Raw!D351)),"UK &amp; Ireland",PROPER(CRM_Raw!D351)))</f>
        <v>Benelux</v>
      </c>
      <c r="E351" s="0" t="str">
        <f aca="false">CRM_Raw!E351</f>
        <v>Dishwashers</v>
      </c>
      <c r="F351" s="0" t="str">
        <f aca="false">CRM_Raw!F351</f>
        <v>Social Media Ads</v>
      </c>
      <c r="G351" s="0" t="str">
        <f aca="false">IF(TRIM(CRM_Raw!G351)="","Unassigned",CRM_Raw!G351)</f>
        <v>S. Andersson</v>
      </c>
      <c r="H351" s="0" t="str">
        <f aca="false">CRM_Raw!H351</f>
        <v>Closed Lost</v>
      </c>
      <c r="I351" s="10" t="n">
        <f aca="false">CRM_Raw!I351</f>
        <v>775.14</v>
      </c>
      <c r="J351" s="11" t="n">
        <f aca="false">CRM_Raw!J351</f>
        <v>0</v>
      </c>
      <c r="K351" s="10" t="n">
        <f aca="false">I351*(1-J351)</f>
        <v>775.14</v>
      </c>
      <c r="L351" s="12" t="n">
        <f aca="false">CRM_Raw!K351</f>
        <v>23</v>
      </c>
      <c r="M351" s="12" t="n">
        <f aca="false">IF(H351="Closed Won",1,0)</f>
        <v>0</v>
      </c>
    </row>
    <row r="352" customFormat="false" ht="15" hidden="false" customHeight="false" outlineLevel="0" collapsed="false">
      <c r="A352" s="0" t="str">
        <f aca="false">CRM_Raw!A352</f>
        <v>D-10348</v>
      </c>
      <c r="B352" s="0" t="str">
        <f aca="false">CRM_Raw!B352</f>
        <v>2025-05-14</v>
      </c>
      <c r="C352" s="0" t="str">
        <f aca="false">CRM_Raw!C352</f>
        <v>2025-05-23</v>
      </c>
      <c r="D352" s="0" t="str">
        <f aca="false">IF(CRM_Raw!D352="DACH","DACH",IF(ISNUMBER(SEARCH("uk",CRM_Raw!D352)),"UK &amp; Ireland",PROPER(CRM_Raw!D352)))</f>
        <v>DACH</v>
      </c>
      <c r="E352" s="0" t="str">
        <f aca="false">CRM_Raw!E352</f>
        <v>Smart Ovens</v>
      </c>
      <c r="F352" s="0" t="str">
        <f aca="false">CRM_Raw!F352</f>
        <v>Email Campaign</v>
      </c>
      <c r="G352" s="0" t="str">
        <f aca="false">IF(TRIM(CRM_Raw!G352)="","Unassigned",CRM_Raw!G352)</f>
        <v>S. Andersson</v>
      </c>
      <c r="H352" s="0" t="str">
        <f aca="false">CRM_Raw!H352</f>
        <v>Closed Won</v>
      </c>
      <c r="I352" s="10" t="n">
        <f aca="false">CRM_Raw!I352</f>
        <v>958.01</v>
      </c>
      <c r="J352" s="11" t="n">
        <f aca="false">CRM_Raw!J352</f>
        <v>0.1</v>
      </c>
      <c r="K352" s="10" t="n">
        <f aca="false">I352*(1-J352)</f>
        <v>862.209</v>
      </c>
      <c r="L352" s="12" t="n">
        <f aca="false">CRM_Raw!K352</f>
        <v>9</v>
      </c>
      <c r="M352" s="12" t="n">
        <f aca="false">IF(H352="Closed Won",1,0)</f>
        <v>1</v>
      </c>
    </row>
    <row r="353" customFormat="false" ht="15" hidden="false" customHeight="false" outlineLevel="0" collapsed="false">
      <c r="A353" s="0" t="str">
        <f aca="false">CRM_Raw!A353</f>
        <v>D-10349</v>
      </c>
      <c r="B353" s="0" t="str">
        <f aca="false">CRM_Raw!B353</f>
        <v>2025-01-23</v>
      </c>
      <c r="C353" s="0" t="n">
        <f aca="false">CRM_Raw!C353</f>
        <v>0</v>
      </c>
      <c r="D353" s="0" t="str">
        <f aca="false">IF(CRM_Raw!D353="DACH","DACH",IF(ISNUMBER(SEARCH("uk",CRM_Raw!D353)),"UK &amp; Ireland",PROPER(CRM_Raw!D353)))</f>
        <v>Nordics</v>
      </c>
      <c r="E353" s="0" t="str">
        <f aca="false">CRM_Raw!E353</f>
        <v>Cordless Vacuums</v>
      </c>
      <c r="F353" s="0" t="str">
        <f aca="false">CRM_Raw!F353</f>
        <v>Retail Referral</v>
      </c>
      <c r="G353" s="0" t="str">
        <f aca="false">IF(TRIM(CRM_Raw!G353)="","Unassigned",CRM_Raw!G353)</f>
        <v>L. Dubois</v>
      </c>
      <c r="H353" s="0" t="str">
        <f aca="false">CRM_Raw!H353</f>
        <v>Qualified</v>
      </c>
      <c r="I353" s="10" t="n">
        <f aca="false">CRM_Raw!I353</f>
        <v>678.78</v>
      </c>
      <c r="J353" s="11" t="n">
        <f aca="false">CRM_Raw!J353</f>
        <v>0.2</v>
      </c>
      <c r="K353" s="10" t="n">
        <f aca="false">I353*(1-J353)</f>
        <v>543.024</v>
      </c>
      <c r="L353" s="12" t="n">
        <f aca="false">CRM_Raw!K353</f>
        <v>0</v>
      </c>
      <c r="M353" s="12" t="n">
        <f aca="false">IF(H353="Closed Won",1,0)</f>
        <v>0</v>
      </c>
    </row>
    <row r="354" customFormat="false" ht="15" hidden="false" customHeight="false" outlineLevel="0" collapsed="false">
      <c r="A354" s="0" t="str">
        <f aca="false">CRM_Raw!A354</f>
        <v>D-10350</v>
      </c>
      <c r="B354" s="0" t="str">
        <f aca="false">CRM_Raw!B354</f>
        <v>2025-05-06</v>
      </c>
      <c r="C354" s="0" t="str">
        <f aca="false">CRM_Raw!C354</f>
        <v>2025-06-04</v>
      </c>
      <c r="D354" s="0" t="str">
        <f aca="false">IF(CRM_Raw!D354="DACH","DACH",IF(ISNUMBER(SEARCH("uk",CRM_Raw!D354)),"UK &amp; Ireland",PROPER(CRM_Raw!D354)))</f>
        <v>UK &amp; Ireland</v>
      </c>
      <c r="E354" s="0" t="str">
        <f aca="false">CRM_Raw!E354</f>
        <v>Smart Ovens</v>
      </c>
      <c r="F354" s="0" t="str">
        <f aca="false">CRM_Raw!F354</f>
        <v>Retail Referral</v>
      </c>
      <c r="G354" s="0" t="str">
        <f aca="false">IF(TRIM(CRM_Raw!G354)="","Unassigned",CRM_Raw!G354)</f>
        <v>P. Rossi</v>
      </c>
      <c r="H354" s="0" t="str">
        <f aca="false">CRM_Raw!H354</f>
        <v>Closed Won</v>
      </c>
      <c r="I354" s="10" t="n">
        <f aca="false">CRM_Raw!I354</f>
        <v>859.47</v>
      </c>
      <c r="J354" s="11" t="n">
        <f aca="false">CRM_Raw!J354</f>
        <v>0.1</v>
      </c>
      <c r="K354" s="10" t="n">
        <f aca="false">I354*(1-J354)</f>
        <v>773.523</v>
      </c>
      <c r="L354" s="12" t="n">
        <f aca="false">CRM_Raw!K354</f>
        <v>29</v>
      </c>
      <c r="M354" s="12" t="n">
        <f aca="false">IF(H354="Closed Won",1,0)</f>
        <v>1</v>
      </c>
    </row>
    <row r="355" customFormat="false" ht="15" hidden="false" customHeight="false" outlineLevel="0" collapsed="false">
      <c r="A355" s="0" t="str">
        <f aca="false">CRM_Raw!A355</f>
        <v>D-10351</v>
      </c>
      <c r="B355" s="0" t="str">
        <f aca="false">CRM_Raw!B355</f>
        <v>2026-01-27</v>
      </c>
      <c r="C355" s="0" t="n">
        <f aca="false">CRM_Raw!C355</f>
        <v>0</v>
      </c>
      <c r="D355" s="0" t="str">
        <f aca="false">IF(CRM_Raw!D355="DACH","DACH",IF(ISNUMBER(SEARCH("uk",CRM_Raw!D355)),"UK &amp; Ireland",PROPER(CRM_Raw!D355)))</f>
        <v>Benelux</v>
      </c>
      <c r="E355" s="0" t="str">
        <f aca="false">CRM_Raw!E355</f>
        <v>Small Kitchen Appliances</v>
      </c>
      <c r="F355" s="0" t="str">
        <f aca="false">CRM_Raw!F355</f>
        <v>Paid Search</v>
      </c>
      <c r="G355" s="0" t="str">
        <f aca="false">IF(TRIM(CRM_Raw!G355)="","Unassigned",CRM_Raw!G355)</f>
        <v>A. Becker</v>
      </c>
      <c r="H355" s="0" t="str">
        <f aca="false">CRM_Raw!H355</f>
        <v>Negotiation</v>
      </c>
      <c r="I355" s="10" t="n">
        <f aca="false">CRM_Raw!I355</f>
        <v>114.78</v>
      </c>
      <c r="J355" s="11" t="n">
        <f aca="false">CRM_Raw!J355</f>
        <v>0</v>
      </c>
      <c r="K355" s="10" t="n">
        <f aca="false">I355*(1-J355)</f>
        <v>114.78</v>
      </c>
      <c r="L355" s="12" t="n">
        <f aca="false">CRM_Raw!K355</f>
        <v>0</v>
      </c>
      <c r="M355" s="12" t="n">
        <f aca="false">IF(H355="Closed Won",1,0)</f>
        <v>0</v>
      </c>
    </row>
    <row r="356" customFormat="false" ht="15" hidden="false" customHeight="false" outlineLevel="0" collapsed="false">
      <c r="A356" s="0" t="str">
        <f aca="false">CRM_Raw!A356</f>
        <v>D-10352</v>
      </c>
      <c r="B356" s="0" t="str">
        <f aca="false">CRM_Raw!B356</f>
        <v>2025-02-05</v>
      </c>
      <c r="C356" s="0" t="str">
        <f aca="false">CRM_Raw!C356</f>
        <v>2025-02-16</v>
      </c>
      <c r="D356" s="0" t="str">
        <f aca="false">IF(CRM_Raw!D356="DACH","DACH",IF(ISNUMBER(SEARCH("uk",CRM_Raw!D356)),"UK &amp; Ireland",PROPER(CRM_Raw!D356)))</f>
        <v>France</v>
      </c>
      <c r="E356" s="0" t="str">
        <f aca="false">CRM_Raw!E356</f>
        <v>Cordless Vacuums</v>
      </c>
      <c r="F356" s="0" t="str">
        <f aca="false">CRM_Raw!F356</f>
        <v>Paid Search</v>
      </c>
      <c r="G356" s="0" t="str">
        <f aca="false">IF(TRIM(CRM_Raw!G356)="","Unassigned",CRM_Raw!G356)</f>
        <v>M. Hoffmann</v>
      </c>
      <c r="H356" s="0" t="str">
        <f aca="false">CRM_Raw!H356</f>
        <v>Closed Lost</v>
      </c>
      <c r="I356" s="10" t="n">
        <f aca="false">CRM_Raw!I356</f>
        <v>1096.92</v>
      </c>
      <c r="J356" s="11" t="n">
        <f aca="false">CRM_Raw!J356</f>
        <v>0.05</v>
      </c>
      <c r="K356" s="10" t="n">
        <f aca="false">I356*(1-J356)</f>
        <v>1042.074</v>
      </c>
      <c r="L356" s="12" t="n">
        <f aca="false">CRM_Raw!K356</f>
        <v>11</v>
      </c>
      <c r="M356" s="12" t="n">
        <f aca="false">IF(H356="Closed Won",1,0)</f>
        <v>0</v>
      </c>
    </row>
    <row r="357" customFormat="false" ht="15" hidden="false" customHeight="false" outlineLevel="0" collapsed="false">
      <c r="A357" s="0" t="str">
        <f aca="false">CRM_Raw!A357</f>
        <v>D-10353</v>
      </c>
      <c r="B357" s="0" t="str">
        <f aca="false">CRM_Raw!B357</f>
        <v>2026-03-06</v>
      </c>
      <c r="C357" s="0" t="str">
        <f aca="false">CRM_Raw!C357</f>
        <v>2026-03-18</v>
      </c>
      <c r="D357" s="0" t="str">
        <f aca="false">IF(CRM_Raw!D357="DACH","DACH",IF(ISNUMBER(SEARCH("uk",CRM_Raw!D357)),"UK &amp; Ireland",PROPER(CRM_Raw!D357)))</f>
        <v>DACH</v>
      </c>
      <c r="E357" s="0" t="str">
        <f aca="false">CRM_Raw!E357</f>
        <v>Smart Ovens</v>
      </c>
      <c r="F357" s="0" t="str">
        <f aca="false">CRM_Raw!F357</f>
        <v>Paid Search</v>
      </c>
      <c r="G357" s="0" t="str">
        <f aca="false">IF(TRIM(CRM_Raw!G357)="","Unassigned",CRM_Raw!G357)</f>
        <v>M. Hoffmann</v>
      </c>
      <c r="H357" s="0" t="str">
        <f aca="false">CRM_Raw!H357</f>
        <v>Closed Won</v>
      </c>
      <c r="I357" s="10" t="n">
        <f aca="false">CRM_Raw!I357</f>
        <v>2841.21</v>
      </c>
      <c r="J357" s="11" t="n">
        <f aca="false">CRM_Raw!J357</f>
        <v>0</v>
      </c>
      <c r="K357" s="10" t="n">
        <f aca="false">I357*(1-J357)</f>
        <v>2841.21</v>
      </c>
      <c r="L357" s="12" t="n">
        <f aca="false">CRM_Raw!K357</f>
        <v>12</v>
      </c>
      <c r="M357" s="12" t="n">
        <f aca="false">IF(H357="Closed Won",1,0)</f>
        <v>1</v>
      </c>
    </row>
    <row r="358" customFormat="false" ht="15" hidden="false" customHeight="false" outlineLevel="0" collapsed="false">
      <c r="A358" s="0" t="str">
        <f aca="false">CRM_Raw!A358</f>
        <v>D-10354</v>
      </c>
      <c r="B358" s="0" t="str">
        <f aca="false">CRM_Raw!B358</f>
        <v>2026-01-03</v>
      </c>
      <c r="C358" s="0" t="str">
        <f aca="false">CRM_Raw!C358</f>
        <v>2026-01-25</v>
      </c>
      <c r="D358" s="0" t="str">
        <f aca="false">IF(CRM_Raw!D358="DACH","DACH",IF(ISNUMBER(SEARCH("uk",CRM_Raw!D358)),"UK &amp; Ireland",PROPER(CRM_Raw!D358)))</f>
        <v>Southern Europe</v>
      </c>
      <c r="E358" s="0" t="str">
        <f aca="false">CRM_Raw!E358</f>
        <v>Washing Machines</v>
      </c>
      <c r="F358" s="0" t="str">
        <f aca="false">CRM_Raw!F358</f>
        <v>Email Campaign</v>
      </c>
      <c r="G358" s="0" t="str">
        <f aca="false">IF(TRIM(CRM_Raw!G358)="","Unassigned",CRM_Raw!G358)</f>
        <v>K. Nilsson</v>
      </c>
      <c r="H358" s="0" t="str">
        <f aca="false">CRM_Raw!H358</f>
        <v>Closed Lost</v>
      </c>
      <c r="I358" s="10" t="n">
        <f aca="false">CRM_Raw!I358</f>
        <v>685.09</v>
      </c>
      <c r="J358" s="11" t="n">
        <f aca="false">CRM_Raw!J358</f>
        <v>0.05</v>
      </c>
      <c r="K358" s="10" t="n">
        <f aca="false">I358*(1-J358)</f>
        <v>650.8355</v>
      </c>
      <c r="L358" s="12" t="n">
        <f aca="false">CRM_Raw!K358</f>
        <v>22</v>
      </c>
      <c r="M358" s="12" t="n">
        <f aca="false">IF(H358="Closed Won",1,0)</f>
        <v>0</v>
      </c>
    </row>
    <row r="359" customFormat="false" ht="15" hidden="false" customHeight="false" outlineLevel="0" collapsed="false">
      <c r="A359" s="0" t="str">
        <f aca="false">CRM_Raw!A359</f>
        <v>D-10355</v>
      </c>
      <c r="B359" s="0" t="str">
        <f aca="false">CRM_Raw!B359</f>
        <v>2025-01-31</v>
      </c>
      <c r="C359" s="0" t="n">
        <f aca="false">CRM_Raw!C359</f>
        <v>0</v>
      </c>
      <c r="D359" s="0" t="str">
        <f aca="false">IF(CRM_Raw!D359="DACH","DACH",IF(ISNUMBER(SEARCH("uk",CRM_Raw!D359)),"UK &amp; Ireland",PROPER(CRM_Raw!D359)))</f>
        <v>France</v>
      </c>
      <c r="E359" s="0" t="str">
        <f aca="false">CRM_Raw!E359</f>
        <v>Coffee Systems</v>
      </c>
      <c r="F359" s="0" t="str">
        <f aca="false">CRM_Raw!F359</f>
        <v>Web-shop Organic</v>
      </c>
      <c r="G359" s="0" t="str">
        <f aca="false">IF(TRIM(CRM_Raw!G359)="","Unassigned",CRM_Raw!G359)</f>
        <v>S. Andersson</v>
      </c>
      <c r="H359" s="0" t="str">
        <f aca="false">CRM_Raw!H359</f>
        <v>Qualified</v>
      </c>
      <c r="I359" s="10" t="n">
        <f aca="false">CRM_Raw!I359</f>
        <v>564.96</v>
      </c>
      <c r="J359" s="11" t="n">
        <f aca="false">CRM_Raw!J359</f>
        <v>0.2</v>
      </c>
      <c r="K359" s="10" t="n">
        <f aca="false">I359*(1-J359)</f>
        <v>451.968</v>
      </c>
      <c r="L359" s="12" t="n">
        <f aca="false">CRM_Raw!K359</f>
        <v>0</v>
      </c>
      <c r="M359" s="12" t="n">
        <f aca="false">IF(H359="Closed Won",1,0)</f>
        <v>0</v>
      </c>
    </row>
    <row r="360" customFormat="false" ht="15" hidden="false" customHeight="false" outlineLevel="0" collapsed="false">
      <c r="A360" s="0" t="str">
        <f aca="false">CRM_Raw!A360</f>
        <v>D-10356</v>
      </c>
      <c r="B360" s="0" t="str">
        <f aca="false">CRM_Raw!B360</f>
        <v>2025-06-13</v>
      </c>
      <c r="C360" s="0" t="str">
        <f aca="false">CRM_Raw!C360</f>
        <v>2025-06-25</v>
      </c>
      <c r="D360" s="0" t="str">
        <f aca="false">IF(CRM_Raw!D360="DACH","DACH",IF(ISNUMBER(SEARCH("uk",CRM_Raw!D360)),"UK &amp; Ireland",PROPER(CRM_Raw!D360)))</f>
        <v>Benelux</v>
      </c>
      <c r="E360" s="0" t="str">
        <f aca="false">CRM_Raw!E360</f>
        <v>Washing Machines</v>
      </c>
      <c r="F360" s="0" t="str">
        <f aca="false">CRM_Raw!F360</f>
        <v>Paid Search</v>
      </c>
      <c r="G360" s="0" t="str">
        <f aca="false">IF(TRIM(CRM_Raw!G360)="","Unassigned",CRM_Raw!G360)</f>
        <v>S. Andersson</v>
      </c>
      <c r="H360" s="0" t="str">
        <f aca="false">CRM_Raw!H360</f>
        <v>Closed Won</v>
      </c>
      <c r="I360" s="10" t="n">
        <f aca="false">CRM_Raw!I360</f>
        <v>699.75</v>
      </c>
      <c r="J360" s="11" t="n">
        <f aca="false">CRM_Raw!J360</f>
        <v>0.1</v>
      </c>
      <c r="K360" s="10" t="n">
        <f aca="false">I360*(1-J360)</f>
        <v>629.775</v>
      </c>
      <c r="L360" s="12" t="n">
        <f aca="false">CRM_Raw!K360</f>
        <v>12</v>
      </c>
      <c r="M360" s="12" t="n">
        <f aca="false">IF(H360="Closed Won",1,0)</f>
        <v>1</v>
      </c>
    </row>
    <row r="361" customFormat="false" ht="15" hidden="false" customHeight="false" outlineLevel="0" collapsed="false">
      <c r="A361" s="0" t="str">
        <f aca="false">CRM_Raw!A361</f>
        <v>D-10357</v>
      </c>
      <c r="B361" s="0" t="str">
        <f aca="false">CRM_Raw!B361</f>
        <v>2026-02-02</v>
      </c>
      <c r="C361" s="0" t="str">
        <f aca="false">CRM_Raw!C361</f>
        <v>2026-03-04</v>
      </c>
      <c r="D361" s="0" t="str">
        <f aca="false">IF(CRM_Raw!D361="DACH","DACH",IF(ISNUMBER(SEARCH("uk",CRM_Raw!D361)),"UK &amp; Ireland",PROPER(CRM_Raw!D361)))</f>
        <v>North America</v>
      </c>
      <c r="E361" s="0" t="str">
        <f aca="false">CRM_Raw!E361</f>
        <v>Small Kitchen Appliances</v>
      </c>
      <c r="F361" s="0" t="str">
        <f aca="false">CRM_Raw!F361</f>
        <v>Web-shop Organic</v>
      </c>
      <c r="G361" s="0" t="str">
        <f aca="false">IF(TRIM(CRM_Raw!G361)="","Unassigned",CRM_Raw!G361)</f>
        <v>S. Andersson</v>
      </c>
      <c r="H361" s="0" t="str">
        <f aca="false">CRM_Raw!H361</f>
        <v>Closed Won</v>
      </c>
      <c r="I361" s="10" t="n">
        <f aca="false">CRM_Raw!I361</f>
        <v>344.62</v>
      </c>
      <c r="J361" s="11" t="n">
        <f aca="false">CRM_Raw!J361</f>
        <v>0</v>
      </c>
      <c r="K361" s="10" t="n">
        <f aca="false">I361*(1-J361)</f>
        <v>344.62</v>
      </c>
      <c r="L361" s="12" t="n">
        <f aca="false">CRM_Raw!K361</f>
        <v>30</v>
      </c>
      <c r="M361" s="12" t="n">
        <f aca="false">IF(H361="Closed Won",1,0)</f>
        <v>1</v>
      </c>
    </row>
    <row r="362" customFormat="false" ht="15" hidden="false" customHeight="false" outlineLevel="0" collapsed="false">
      <c r="A362" s="0" t="str">
        <f aca="false">CRM_Raw!A362</f>
        <v>D-10358</v>
      </c>
      <c r="B362" s="0" t="str">
        <f aca="false">CRM_Raw!B362</f>
        <v>2025-12-27</v>
      </c>
      <c r="C362" s="0" t="n">
        <f aca="false">CRM_Raw!C362</f>
        <v>0</v>
      </c>
      <c r="D362" s="0" t="str">
        <f aca="false">IF(CRM_Raw!D362="DACH","DACH",IF(ISNUMBER(SEARCH("uk",CRM_Raw!D362)),"UK &amp; Ireland",PROPER(CRM_Raw!D362)))</f>
        <v>North America</v>
      </c>
      <c r="E362" s="0" t="str">
        <f aca="false">CRM_Raw!E362</f>
        <v>Small Kitchen Appliances</v>
      </c>
      <c r="F362" s="0" t="str">
        <f aca="false">CRM_Raw!F362</f>
        <v>Affiliate Partner</v>
      </c>
      <c r="G362" s="0" t="str">
        <f aca="false">IF(TRIM(CRM_Raw!G362)="","Unassigned",CRM_Raw!G362)</f>
        <v>A. Becker</v>
      </c>
      <c r="H362" s="0" t="str">
        <f aca="false">CRM_Raw!H362</f>
        <v>Qualified</v>
      </c>
      <c r="I362" s="10" t="n">
        <f aca="false">CRM_Raw!I362</f>
        <v>379.12</v>
      </c>
      <c r="J362" s="11" t="n">
        <f aca="false">CRM_Raw!J362</f>
        <v>0</v>
      </c>
      <c r="K362" s="10" t="n">
        <f aca="false">I362*(1-J362)</f>
        <v>379.12</v>
      </c>
      <c r="L362" s="12" t="n">
        <f aca="false">CRM_Raw!K362</f>
        <v>0</v>
      </c>
      <c r="M362" s="12" t="n">
        <f aca="false">IF(H362="Closed Won",1,0)</f>
        <v>0</v>
      </c>
    </row>
    <row r="363" customFormat="false" ht="15" hidden="false" customHeight="false" outlineLevel="0" collapsed="false">
      <c r="A363" s="0" t="str">
        <f aca="false">CRM_Raw!A363</f>
        <v>D-10359</v>
      </c>
      <c r="B363" s="0" t="str">
        <f aca="false">CRM_Raw!B363</f>
        <v>2026-05-18</v>
      </c>
      <c r="C363" s="0" t="str">
        <f aca="false">CRM_Raw!C363</f>
        <v>2026-05-24</v>
      </c>
      <c r="D363" s="0" t="str">
        <f aca="false">IF(CRM_Raw!D363="DACH","DACH",IF(ISNUMBER(SEARCH("uk",CRM_Raw!D363)),"UK &amp; Ireland",PROPER(CRM_Raw!D363)))</f>
        <v>North America</v>
      </c>
      <c r="E363" s="0" t="str">
        <f aca="false">CRM_Raw!E363</f>
        <v>Dishwashers</v>
      </c>
      <c r="F363" s="0" t="str">
        <f aca="false">CRM_Raw!F363</f>
        <v>Social Media Ads</v>
      </c>
      <c r="G363" s="0" t="str">
        <f aca="false">IF(TRIM(CRM_Raw!G363)="","Unassigned",CRM_Raw!G363)</f>
        <v>M. Hoffmann</v>
      </c>
      <c r="H363" s="0" t="str">
        <f aca="false">CRM_Raw!H363</f>
        <v>Closed Won</v>
      </c>
      <c r="I363" s="10" t="n">
        <f aca="false">CRM_Raw!I363</f>
        <v>1938.98</v>
      </c>
      <c r="J363" s="11" t="n">
        <f aca="false">CRM_Raw!J363</f>
        <v>0</v>
      </c>
      <c r="K363" s="10" t="n">
        <f aca="false">I363*(1-J363)</f>
        <v>1938.98</v>
      </c>
      <c r="L363" s="12" t="n">
        <f aca="false">CRM_Raw!K363</f>
        <v>6</v>
      </c>
      <c r="M363" s="12" t="n">
        <f aca="false">IF(H363="Closed Won",1,0)</f>
        <v>1</v>
      </c>
    </row>
    <row r="364" customFormat="false" ht="15" hidden="false" customHeight="false" outlineLevel="0" collapsed="false">
      <c r="A364" s="0" t="str">
        <f aca="false">CRM_Raw!A364</f>
        <v>D-10360</v>
      </c>
      <c r="B364" s="0" t="str">
        <f aca="false">CRM_Raw!B364</f>
        <v>2025-07-26</v>
      </c>
      <c r="C364" s="0" t="n">
        <f aca="false">CRM_Raw!C364</f>
        <v>0</v>
      </c>
      <c r="D364" s="0" t="str">
        <f aca="false">IF(CRM_Raw!D364="DACH","DACH",IF(ISNUMBER(SEARCH("uk",CRM_Raw!D364)),"UK &amp; Ireland",PROPER(CRM_Raw!D364)))</f>
        <v>DACH</v>
      </c>
      <c r="E364" s="0" t="str">
        <f aca="false">CRM_Raw!E364</f>
        <v>Washing Machines</v>
      </c>
      <c r="F364" s="0" t="str">
        <f aca="false">CRM_Raw!F364</f>
        <v>Social Media Ads</v>
      </c>
      <c r="G364" s="0" t="str">
        <f aca="false">IF(TRIM(CRM_Raw!G364)="","Unassigned",CRM_Raw!G364)</f>
        <v>P. Rossi</v>
      </c>
      <c r="H364" s="0" t="str">
        <f aca="false">CRM_Raw!H364</f>
        <v>Proposal Sent</v>
      </c>
      <c r="I364" s="10" t="n">
        <f aca="false">CRM_Raw!I364</f>
        <v>648.93</v>
      </c>
      <c r="J364" s="11" t="n">
        <f aca="false">CRM_Raw!J364</f>
        <v>0.2</v>
      </c>
      <c r="K364" s="10" t="n">
        <f aca="false">I364*(1-J364)</f>
        <v>519.144</v>
      </c>
      <c r="L364" s="12" t="n">
        <f aca="false">CRM_Raw!K364</f>
        <v>0</v>
      </c>
      <c r="M364" s="12" t="n">
        <f aca="false">IF(H364="Closed Won",1,0)</f>
        <v>0</v>
      </c>
    </row>
    <row r="365" customFormat="false" ht="15" hidden="false" customHeight="false" outlineLevel="0" collapsed="false">
      <c r="A365" s="0" t="str">
        <f aca="false">CRM_Raw!A365</f>
        <v>D-10361</v>
      </c>
      <c r="B365" s="0" t="str">
        <f aca="false">CRM_Raw!B365</f>
        <v>2025-05-26</v>
      </c>
      <c r="C365" s="0" t="n">
        <f aca="false">CRM_Raw!C365</f>
        <v>0</v>
      </c>
      <c r="D365" s="0" t="str">
        <f aca="false">IF(CRM_Raw!D365="DACH","DACH",IF(ISNUMBER(SEARCH("uk",CRM_Raw!D365)),"UK &amp; Ireland",PROPER(CRM_Raw!D365)))</f>
        <v>North America</v>
      </c>
      <c r="E365" s="0" t="str">
        <f aca="false">CRM_Raw!E365</f>
        <v>Cordless Vacuums</v>
      </c>
      <c r="F365" s="0" t="str">
        <f aca="false">CRM_Raw!F365</f>
        <v>Web-shop Organic</v>
      </c>
      <c r="G365" s="0" t="str">
        <f aca="false">IF(TRIM(CRM_Raw!G365)="","Unassigned",CRM_Raw!G365)</f>
        <v>M. Hoffmann</v>
      </c>
      <c r="H365" s="0" t="str">
        <f aca="false">CRM_Raw!H365</f>
        <v>Proposal Sent</v>
      </c>
      <c r="I365" s="10" t="n">
        <f aca="false">CRM_Raw!I365</f>
        <v>395.94</v>
      </c>
      <c r="J365" s="11" t="n">
        <f aca="false">CRM_Raw!J365</f>
        <v>0</v>
      </c>
      <c r="K365" s="10" t="n">
        <f aca="false">I365*(1-J365)</f>
        <v>395.94</v>
      </c>
      <c r="L365" s="12" t="n">
        <f aca="false">CRM_Raw!K365</f>
        <v>0</v>
      </c>
      <c r="M365" s="12" t="n">
        <f aca="false">IF(H365="Closed Won",1,0)</f>
        <v>0</v>
      </c>
    </row>
    <row r="366" customFormat="false" ht="15" hidden="false" customHeight="false" outlineLevel="0" collapsed="false">
      <c r="A366" s="0" t="str">
        <f aca="false">CRM_Raw!A366</f>
        <v>D-10362</v>
      </c>
      <c r="B366" s="0" t="str">
        <f aca="false">CRM_Raw!B366</f>
        <v>2025-04-14</v>
      </c>
      <c r="C366" s="0" t="str">
        <f aca="false">CRM_Raw!C366</f>
        <v>2025-04-24</v>
      </c>
      <c r="D366" s="0" t="str">
        <f aca="false">IF(CRM_Raw!D366="DACH","DACH",IF(ISNUMBER(SEARCH("uk",CRM_Raw!D366)),"UK &amp; Ireland",PROPER(CRM_Raw!D366)))</f>
        <v>France</v>
      </c>
      <c r="E366" s="0" t="str">
        <f aca="false">CRM_Raw!E366</f>
        <v>Small Kitchen Appliances</v>
      </c>
      <c r="F366" s="0" t="str">
        <f aca="false">CRM_Raw!F366</f>
        <v>Retail Referral</v>
      </c>
      <c r="G366" s="0" t="str">
        <f aca="false">IF(TRIM(CRM_Raw!G366)="","Unassigned",CRM_Raw!G366)</f>
        <v>K. Nilsson</v>
      </c>
      <c r="H366" s="0" t="str">
        <f aca="false">CRM_Raw!H366</f>
        <v>Closed Won</v>
      </c>
      <c r="I366" s="10" t="n">
        <f aca="false">CRM_Raw!I366</f>
        <v>262.76</v>
      </c>
      <c r="J366" s="11" t="n">
        <f aca="false">CRM_Raw!J366</f>
        <v>0.2</v>
      </c>
      <c r="K366" s="10" t="n">
        <f aca="false">I366*(1-J366)</f>
        <v>210.208</v>
      </c>
      <c r="L366" s="12" t="n">
        <f aca="false">CRM_Raw!K366</f>
        <v>10</v>
      </c>
      <c r="M366" s="12" t="n">
        <f aca="false">IF(H366="Closed Won",1,0)</f>
        <v>1</v>
      </c>
    </row>
    <row r="367" customFormat="false" ht="15" hidden="false" customHeight="false" outlineLevel="0" collapsed="false">
      <c r="A367" s="0" t="str">
        <f aca="false">CRM_Raw!A367</f>
        <v>D-10363</v>
      </c>
      <c r="B367" s="0" t="str">
        <f aca="false">CRM_Raw!B367</f>
        <v>2026-01-01</v>
      </c>
      <c r="C367" s="0" t="str">
        <f aca="false">CRM_Raw!C367</f>
        <v>2026-02-13</v>
      </c>
      <c r="D367" s="0" t="str">
        <f aca="false">IF(CRM_Raw!D367="DACH","DACH",IF(ISNUMBER(SEARCH("uk",CRM_Raw!D367)),"UK &amp; Ireland",PROPER(CRM_Raw!D367)))</f>
        <v>Southern Europe</v>
      </c>
      <c r="E367" s="0" t="str">
        <f aca="false">CRM_Raw!E367</f>
        <v>Dishwashers</v>
      </c>
      <c r="F367" s="0" t="str">
        <f aca="false">CRM_Raw!F367</f>
        <v>Affiliate Partner</v>
      </c>
      <c r="G367" s="0" t="str">
        <f aca="false">IF(TRIM(CRM_Raw!G367)="","Unassigned",CRM_Raw!G367)</f>
        <v>M. Hoffmann</v>
      </c>
      <c r="H367" s="0" t="str">
        <f aca="false">CRM_Raw!H367</f>
        <v>Closed Won</v>
      </c>
      <c r="I367" s="10" t="n">
        <f aca="false">CRM_Raw!I367</f>
        <v>738.11</v>
      </c>
      <c r="J367" s="11" t="n">
        <f aca="false">CRM_Raw!J367</f>
        <v>0.05</v>
      </c>
      <c r="K367" s="10" t="n">
        <f aca="false">I367*(1-J367)</f>
        <v>701.2045</v>
      </c>
      <c r="L367" s="12" t="n">
        <f aca="false">CRM_Raw!K367</f>
        <v>43</v>
      </c>
      <c r="M367" s="12" t="n">
        <f aca="false">IF(H367="Closed Won",1,0)</f>
        <v>1</v>
      </c>
    </row>
    <row r="368" customFormat="false" ht="15" hidden="false" customHeight="false" outlineLevel="0" collapsed="false">
      <c r="A368" s="0" t="str">
        <f aca="false">CRM_Raw!A368</f>
        <v>D-10364</v>
      </c>
      <c r="B368" s="0" t="str">
        <f aca="false">CRM_Raw!B368</f>
        <v>2025-07-01</v>
      </c>
      <c r="C368" s="0" t="n">
        <f aca="false">CRM_Raw!C368</f>
        <v>0</v>
      </c>
      <c r="D368" s="0" t="str">
        <f aca="false">IF(CRM_Raw!D368="DACH","DACH",IF(ISNUMBER(SEARCH("uk",CRM_Raw!D368)),"UK &amp; Ireland",PROPER(CRM_Raw!D368)))</f>
        <v>France</v>
      </c>
      <c r="E368" s="0" t="str">
        <f aca="false">CRM_Raw!E368</f>
        <v>Small Kitchen Appliances</v>
      </c>
      <c r="F368" s="0" t="str">
        <f aca="false">CRM_Raw!F368</f>
        <v>Affiliate Partner</v>
      </c>
      <c r="G368" s="0" t="str">
        <f aca="false">IF(TRIM(CRM_Raw!G368)="","Unassigned",CRM_Raw!G368)</f>
        <v>M. Hoffmann</v>
      </c>
      <c r="H368" s="0" t="str">
        <f aca="false">CRM_Raw!H368</f>
        <v>Negotiation</v>
      </c>
      <c r="I368" s="10" t="n">
        <f aca="false">CRM_Raw!I368</f>
        <v>413.4</v>
      </c>
      <c r="J368" s="11" t="n">
        <f aca="false">CRM_Raw!J368</f>
        <v>0.05</v>
      </c>
      <c r="K368" s="10" t="n">
        <f aca="false">I368*(1-J368)</f>
        <v>392.73</v>
      </c>
      <c r="L368" s="12" t="n">
        <f aca="false">CRM_Raw!K368</f>
        <v>0</v>
      </c>
      <c r="M368" s="12" t="n">
        <f aca="false">IF(H368="Closed Won",1,0)</f>
        <v>0</v>
      </c>
    </row>
    <row r="369" customFormat="false" ht="15" hidden="false" customHeight="false" outlineLevel="0" collapsed="false">
      <c r="A369" s="0" t="str">
        <f aca="false">CRM_Raw!A369</f>
        <v>D-10365</v>
      </c>
      <c r="B369" s="0" t="str">
        <f aca="false">CRM_Raw!B369</f>
        <v>2025-08-15</v>
      </c>
      <c r="C369" s="0" t="n">
        <f aca="false">CRM_Raw!C369</f>
        <v>0</v>
      </c>
      <c r="D369" s="0" t="str">
        <f aca="false">IF(CRM_Raw!D369="DACH","DACH",IF(ISNUMBER(SEARCH("uk",CRM_Raw!D369)),"UK &amp; Ireland",PROPER(CRM_Raw!D369)))</f>
        <v>North America</v>
      </c>
      <c r="E369" s="0" t="str">
        <f aca="false">CRM_Raw!E369</f>
        <v>Washing Machines</v>
      </c>
      <c r="F369" s="0" t="str">
        <f aca="false">CRM_Raw!F369</f>
        <v>Web-shop Organic</v>
      </c>
      <c r="G369" s="0" t="str">
        <f aca="false">IF(TRIM(CRM_Raw!G369)="","Unassigned",CRM_Raw!G369)</f>
        <v>Unassigned</v>
      </c>
      <c r="H369" s="0" t="str">
        <f aca="false">CRM_Raw!H369</f>
        <v>Negotiation</v>
      </c>
      <c r="I369" s="10" t="n">
        <f aca="false">CRM_Raw!I369</f>
        <v>1221.78</v>
      </c>
      <c r="J369" s="11" t="n">
        <f aca="false">CRM_Raw!J369</f>
        <v>0</v>
      </c>
      <c r="K369" s="10" t="n">
        <f aca="false">I369*(1-J369)</f>
        <v>1221.78</v>
      </c>
      <c r="L369" s="12" t="n">
        <f aca="false">CRM_Raw!K369</f>
        <v>0</v>
      </c>
      <c r="M369" s="12" t="n">
        <f aca="false">IF(H369="Closed Won",1,0)</f>
        <v>0</v>
      </c>
    </row>
    <row r="370" customFormat="false" ht="15" hidden="false" customHeight="false" outlineLevel="0" collapsed="false">
      <c r="A370" s="0" t="str">
        <f aca="false">CRM_Raw!A370</f>
        <v>D-10366</v>
      </c>
      <c r="B370" s="0" t="str">
        <f aca="false">CRM_Raw!B370</f>
        <v>2025-11-24</v>
      </c>
      <c r="C370" s="0" t="str">
        <f aca="false">CRM_Raw!C370</f>
        <v>2025-12-17</v>
      </c>
      <c r="D370" s="0" t="str">
        <f aca="false">IF(CRM_Raw!D370="DACH","DACH",IF(ISNUMBER(SEARCH("uk",CRM_Raw!D370)),"UK &amp; Ireland",PROPER(CRM_Raw!D370)))</f>
        <v>France</v>
      </c>
      <c r="E370" s="0" t="str">
        <f aca="false">CRM_Raw!E370</f>
        <v>Small Kitchen Appliances</v>
      </c>
      <c r="F370" s="0" t="str">
        <f aca="false">CRM_Raw!F370</f>
        <v>Web-shop Organic</v>
      </c>
      <c r="G370" s="0" t="str">
        <f aca="false">IF(TRIM(CRM_Raw!G370)="","Unassigned",CRM_Raw!G370)</f>
        <v>P. Rossi</v>
      </c>
      <c r="H370" s="0" t="str">
        <f aca="false">CRM_Raw!H370</f>
        <v>Closed Won</v>
      </c>
      <c r="I370" s="10" t="n">
        <f aca="false">CRM_Raw!I370</f>
        <v>130.69</v>
      </c>
      <c r="J370" s="11" t="n">
        <f aca="false">CRM_Raw!J370</f>
        <v>0.05</v>
      </c>
      <c r="K370" s="10" t="n">
        <f aca="false">I370*(1-J370)</f>
        <v>124.1555</v>
      </c>
      <c r="L370" s="12" t="n">
        <f aca="false">CRM_Raw!K370</f>
        <v>23</v>
      </c>
      <c r="M370" s="12" t="n">
        <f aca="false">IF(H370="Closed Won",1,0)</f>
        <v>1</v>
      </c>
    </row>
    <row r="371" customFormat="false" ht="15" hidden="false" customHeight="false" outlineLevel="0" collapsed="false">
      <c r="A371" s="0" t="str">
        <f aca="false">CRM_Raw!A371</f>
        <v>D-10367</v>
      </c>
      <c r="B371" s="0" t="str">
        <f aca="false">CRM_Raw!B371</f>
        <v>2025-12-25</v>
      </c>
      <c r="C371" s="0" t="str">
        <f aca="false">CRM_Raw!C371</f>
        <v>2026-01-12</v>
      </c>
      <c r="D371" s="0" t="str">
        <f aca="false">IF(CRM_Raw!D371="DACH","DACH",IF(ISNUMBER(SEARCH("uk",CRM_Raw!D371)),"UK &amp; Ireland",PROPER(CRM_Raw!D371)))</f>
        <v>DACH</v>
      </c>
      <c r="E371" s="0" t="str">
        <f aca="false">CRM_Raw!E371</f>
        <v>Cordless Vacuums</v>
      </c>
      <c r="F371" s="0" t="str">
        <f aca="false">CRM_Raw!F371</f>
        <v>Web-shop Organic</v>
      </c>
      <c r="G371" s="0" t="str">
        <f aca="false">IF(TRIM(CRM_Raw!G371)="","Unassigned",CRM_Raw!G371)</f>
        <v>L. Dubois</v>
      </c>
      <c r="H371" s="0" t="str">
        <f aca="false">CRM_Raw!H371</f>
        <v>Closed Won</v>
      </c>
      <c r="I371" s="10" t="n">
        <f aca="false">CRM_Raw!I371</f>
        <v>331.57</v>
      </c>
      <c r="J371" s="11" t="n">
        <f aca="false">CRM_Raw!J371</f>
        <v>0</v>
      </c>
      <c r="K371" s="10" t="n">
        <f aca="false">I371*(1-J371)</f>
        <v>331.57</v>
      </c>
      <c r="L371" s="12" t="n">
        <f aca="false">CRM_Raw!K371</f>
        <v>18</v>
      </c>
      <c r="M371" s="12" t="n">
        <f aca="false">IF(H371="Closed Won",1,0)</f>
        <v>1</v>
      </c>
    </row>
    <row r="372" customFormat="false" ht="15" hidden="false" customHeight="false" outlineLevel="0" collapsed="false">
      <c r="A372" s="0" t="str">
        <f aca="false">CRM_Raw!A372</f>
        <v>D-10368</v>
      </c>
      <c r="B372" s="0" t="str">
        <f aca="false">CRM_Raw!B372</f>
        <v>2026-02-28</v>
      </c>
      <c r="C372" s="0" t="str">
        <f aca="false">CRM_Raw!C372</f>
        <v>2026-03-12</v>
      </c>
      <c r="D372" s="0" t="str">
        <f aca="false">IF(CRM_Raw!D372="DACH","DACH",IF(ISNUMBER(SEARCH("uk",CRM_Raw!D372)),"UK &amp; Ireland",PROPER(CRM_Raw!D372)))</f>
        <v>Benelux</v>
      </c>
      <c r="E372" s="0" t="str">
        <f aca="false">CRM_Raw!E372</f>
        <v>Dishwashers</v>
      </c>
      <c r="F372" s="0" t="str">
        <f aca="false">CRM_Raw!F372</f>
        <v>Affiliate Partner</v>
      </c>
      <c r="G372" s="0" t="str">
        <f aca="false">IF(TRIM(CRM_Raw!G372)="","Unassigned",CRM_Raw!G372)</f>
        <v>M. Hoffmann</v>
      </c>
      <c r="H372" s="0" t="str">
        <f aca="false">CRM_Raw!H372</f>
        <v>Closed Lost</v>
      </c>
      <c r="I372" s="10" t="n">
        <f aca="false">CRM_Raw!I372</f>
        <v>1308.25</v>
      </c>
      <c r="J372" s="11" t="n">
        <f aca="false">CRM_Raw!J372</f>
        <v>0.2</v>
      </c>
      <c r="K372" s="10" t="n">
        <f aca="false">I372*(1-J372)</f>
        <v>1046.6</v>
      </c>
      <c r="L372" s="12" t="n">
        <f aca="false">CRM_Raw!K372</f>
        <v>12</v>
      </c>
      <c r="M372" s="12" t="n">
        <f aca="false">IF(H372="Closed Won",1,0)</f>
        <v>0</v>
      </c>
    </row>
    <row r="373" customFormat="false" ht="15" hidden="false" customHeight="false" outlineLevel="0" collapsed="false">
      <c r="A373" s="0" t="str">
        <f aca="false">CRM_Raw!A373</f>
        <v>D-10369</v>
      </c>
      <c r="B373" s="0" t="str">
        <f aca="false">CRM_Raw!B373</f>
        <v>2025-06-16</v>
      </c>
      <c r="C373" s="0" t="str">
        <f aca="false">CRM_Raw!C373</f>
        <v>2025-07-14</v>
      </c>
      <c r="D373" s="0" t="str">
        <f aca="false">IF(CRM_Raw!D373="DACH","DACH",IF(ISNUMBER(SEARCH("uk",CRM_Raw!D373)),"UK &amp; Ireland",PROPER(CRM_Raw!D373)))</f>
        <v>North America</v>
      </c>
      <c r="E373" s="0" t="str">
        <f aca="false">CRM_Raw!E373</f>
        <v>Washing Machines</v>
      </c>
      <c r="F373" s="0" t="str">
        <f aca="false">CRM_Raw!F373</f>
        <v>Affiliate Partner</v>
      </c>
      <c r="G373" s="0" t="str">
        <f aca="false">IF(TRIM(CRM_Raw!G373)="","Unassigned",CRM_Raw!G373)</f>
        <v>S. Andersson</v>
      </c>
      <c r="H373" s="0" t="str">
        <f aca="false">CRM_Raw!H373</f>
        <v>Closed Lost</v>
      </c>
      <c r="I373" s="10" t="n">
        <f aca="false">CRM_Raw!I373</f>
        <v>722.64</v>
      </c>
      <c r="J373" s="11" t="n">
        <f aca="false">CRM_Raw!J373</f>
        <v>0</v>
      </c>
      <c r="K373" s="10" t="n">
        <f aca="false">I373*(1-J373)</f>
        <v>722.64</v>
      </c>
      <c r="L373" s="12" t="n">
        <f aca="false">CRM_Raw!K373</f>
        <v>28</v>
      </c>
      <c r="M373" s="12" t="n">
        <f aca="false">IF(H373="Closed Won",1,0)</f>
        <v>0</v>
      </c>
    </row>
    <row r="374" customFormat="false" ht="15" hidden="false" customHeight="false" outlineLevel="0" collapsed="false">
      <c r="A374" s="0" t="str">
        <f aca="false">CRM_Raw!A374</f>
        <v>D-10370</v>
      </c>
      <c r="B374" s="0" t="str">
        <f aca="false">CRM_Raw!B374</f>
        <v>2025-03-17</v>
      </c>
      <c r="C374" s="0" t="str">
        <f aca="false">CRM_Raw!C374</f>
        <v>2025-04-11</v>
      </c>
      <c r="D374" s="0" t="str">
        <f aca="false">IF(CRM_Raw!D374="DACH","DACH",IF(ISNUMBER(SEARCH("uk",CRM_Raw!D374)),"UK &amp; Ireland",PROPER(CRM_Raw!D374)))</f>
        <v>DACH</v>
      </c>
      <c r="E374" s="0" t="str">
        <f aca="false">CRM_Raw!E374</f>
        <v>Cordless Vacuums</v>
      </c>
      <c r="F374" s="0" t="str">
        <f aca="false">CRM_Raw!F374</f>
        <v>Paid Search</v>
      </c>
      <c r="G374" s="0" t="str">
        <f aca="false">IF(TRIM(CRM_Raw!G374)="","Unassigned",CRM_Raw!G374)</f>
        <v>L. Dubois</v>
      </c>
      <c r="H374" s="0" t="str">
        <f aca="false">CRM_Raw!H374</f>
        <v>Closed Won</v>
      </c>
      <c r="I374" s="10" t="n">
        <f aca="false">CRM_Raw!I374</f>
        <v>328.69</v>
      </c>
      <c r="J374" s="11" t="n">
        <f aca="false">CRM_Raw!J374</f>
        <v>0</v>
      </c>
      <c r="K374" s="10" t="n">
        <f aca="false">I374*(1-J374)</f>
        <v>328.69</v>
      </c>
      <c r="L374" s="12" t="n">
        <f aca="false">CRM_Raw!K374</f>
        <v>25</v>
      </c>
      <c r="M374" s="12" t="n">
        <f aca="false">IF(H374="Closed Won",1,0)</f>
        <v>1</v>
      </c>
    </row>
    <row r="375" customFormat="false" ht="15" hidden="false" customHeight="false" outlineLevel="0" collapsed="false">
      <c r="A375" s="0" t="str">
        <f aca="false">CRM_Raw!A375</f>
        <v>D-10371</v>
      </c>
      <c r="B375" s="0" t="str">
        <f aca="false">CRM_Raw!B375</f>
        <v>2026-03-18</v>
      </c>
      <c r="C375" s="0" t="n">
        <f aca="false">CRM_Raw!C375</f>
        <v>0</v>
      </c>
      <c r="D375" s="0" t="str">
        <f aca="false">IF(CRM_Raw!D375="DACH","DACH",IF(ISNUMBER(SEARCH("uk",CRM_Raw!D375)),"UK &amp; Ireland",PROPER(CRM_Raw!D375)))</f>
        <v>Nordics</v>
      </c>
      <c r="E375" s="0" t="str">
        <f aca="false">CRM_Raw!E375</f>
        <v>Washing Machines</v>
      </c>
      <c r="F375" s="0" t="str">
        <f aca="false">CRM_Raw!F375</f>
        <v>Retail Referral</v>
      </c>
      <c r="G375" s="0" t="str">
        <f aca="false">IF(TRIM(CRM_Raw!G375)="","Unassigned",CRM_Raw!G375)</f>
        <v>A. Becker</v>
      </c>
      <c r="H375" s="0" t="str">
        <f aca="false">CRM_Raw!H375</f>
        <v>Qualified</v>
      </c>
      <c r="I375" s="10" t="n">
        <f aca="false">CRM_Raw!I375</f>
        <v>1241.35</v>
      </c>
      <c r="J375" s="11" t="n">
        <f aca="false">CRM_Raw!J375</f>
        <v>0</v>
      </c>
      <c r="K375" s="10" t="n">
        <f aca="false">I375*(1-J375)</f>
        <v>1241.35</v>
      </c>
      <c r="L375" s="12" t="n">
        <f aca="false">CRM_Raw!K375</f>
        <v>0</v>
      </c>
      <c r="M375" s="12" t="n">
        <f aca="false">IF(H375="Closed Won",1,0)</f>
        <v>0</v>
      </c>
    </row>
    <row r="376" customFormat="false" ht="15" hidden="false" customHeight="false" outlineLevel="0" collapsed="false">
      <c r="A376" s="0" t="str">
        <f aca="false">CRM_Raw!A376</f>
        <v>D-10372</v>
      </c>
      <c r="B376" s="0" t="str">
        <f aca="false">CRM_Raw!B376</f>
        <v>2026-02-24</v>
      </c>
      <c r="C376" s="0" t="n">
        <f aca="false">CRM_Raw!C376</f>
        <v>0</v>
      </c>
      <c r="D376" s="0" t="str">
        <f aca="false">IF(CRM_Raw!D376="DACH","DACH",IF(ISNUMBER(SEARCH("uk",CRM_Raw!D376)),"UK &amp; Ireland",PROPER(CRM_Raw!D376)))</f>
        <v>DACH</v>
      </c>
      <c r="E376" s="0" t="str">
        <f aca="false">CRM_Raw!E376</f>
        <v>Smart Ovens</v>
      </c>
      <c r="F376" s="0" t="str">
        <f aca="false">CRM_Raw!F376</f>
        <v>Paid Search</v>
      </c>
      <c r="G376" s="0" t="str">
        <f aca="false">IF(TRIM(CRM_Raw!G376)="","Unassigned",CRM_Raw!G376)</f>
        <v>S. Andersson</v>
      </c>
      <c r="H376" s="0" t="str">
        <f aca="false">CRM_Raw!H376</f>
        <v>Negotiation</v>
      </c>
      <c r="I376" s="10" t="n">
        <f aca="false">CRM_Raw!I376</f>
        <v>2740.34</v>
      </c>
      <c r="J376" s="11" t="n">
        <f aca="false">CRM_Raw!J376</f>
        <v>0</v>
      </c>
      <c r="K376" s="10" t="n">
        <f aca="false">I376*(1-J376)</f>
        <v>2740.34</v>
      </c>
      <c r="L376" s="12" t="n">
        <f aca="false">CRM_Raw!K376</f>
        <v>0</v>
      </c>
      <c r="M376" s="12" t="n">
        <f aca="false">IF(H376="Closed Won",1,0)</f>
        <v>0</v>
      </c>
    </row>
    <row r="377" customFormat="false" ht="15" hidden="false" customHeight="false" outlineLevel="0" collapsed="false">
      <c r="A377" s="0" t="str">
        <f aca="false">CRM_Raw!A377</f>
        <v>D-10373</v>
      </c>
      <c r="B377" s="0" t="str">
        <f aca="false">CRM_Raw!B377</f>
        <v>2025-02-20</v>
      </c>
      <c r="C377" s="0" t="str">
        <f aca="false">CRM_Raw!C377</f>
        <v>2025-03-09</v>
      </c>
      <c r="D377" s="0" t="str">
        <f aca="false">IF(CRM_Raw!D377="DACH","DACH",IF(ISNUMBER(SEARCH("uk",CRM_Raw!D377)),"UK &amp; Ireland",PROPER(CRM_Raw!D377)))</f>
        <v>Southern Europe</v>
      </c>
      <c r="E377" s="0" t="str">
        <f aca="false">CRM_Raw!E377</f>
        <v>Cordless Vacuums</v>
      </c>
      <c r="F377" s="0" t="str">
        <f aca="false">CRM_Raw!F377</f>
        <v>Paid Search</v>
      </c>
      <c r="G377" s="0" t="str">
        <f aca="false">IF(TRIM(CRM_Raw!G377)="","Unassigned",CRM_Raw!G377)</f>
        <v>L. Dubois</v>
      </c>
      <c r="H377" s="0" t="str">
        <f aca="false">CRM_Raw!H377</f>
        <v>Closed Lost</v>
      </c>
      <c r="I377" s="10" t="n">
        <f aca="false">CRM_Raw!I377</f>
        <v>740.13</v>
      </c>
      <c r="J377" s="11" t="n">
        <f aca="false">CRM_Raw!J377</f>
        <v>0</v>
      </c>
      <c r="K377" s="10" t="n">
        <f aca="false">I377*(1-J377)</f>
        <v>740.13</v>
      </c>
      <c r="L377" s="12" t="n">
        <f aca="false">CRM_Raw!K377</f>
        <v>17</v>
      </c>
      <c r="M377" s="12" t="n">
        <f aca="false">IF(H377="Closed Won",1,0)</f>
        <v>0</v>
      </c>
    </row>
    <row r="378" customFormat="false" ht="15" hidden="false" customHeight="false" outlineLevel="0" collapsed="false">
      <c r="A378" s="0" t="str">
        <f aca="false">CRM_Raw!A378</f>
        <v>D-10374</v>
      </c>
      <c r="B378" s="0" t="str">
        <f aca="false">CRM_Raw!B378</f>
        <v>2025-10-29</v>
      </c>
      <c r="C378" s="0" t="n">
        <f aca="false">CRM_Raw!C378</f>
        <v>0</v>
      </c>
      <c r="D378" s="0" t="str">
        <f aca="false">IF(CRM_Raw!D378="DACH","DACH",IF(ISNUMBER(SEARCH("uk",CRM_Raw!D378)),"UK &amp; Ireland",PROPER(CRM_Raw!D378)))</f>
        <v>DACH</v>
      </c>
      <c r="E378" s="0" t="str">
        <f aca="false">CRM_Raw!E378</f>
        <v>Cordless Vacuums</v>
      </c>
      <c r="F378" s="0" t="str">
        <f aca="false">CRM_Raw!F378</f>
        <v>Web-shop Organic</v>
      </c>
      <c r="G378" s="0" t="str">
        <f aca="false">IF(TRIM(CRM_Raw!G378)="","Unassigned",CRM_Raw!G378)</f>
        <v>L. Dubois</v>
      </c>
      <c r="H378" s="0" t="str">
        <f aca="false">CRM_Raw!H378</f>
        <v>Proposal Sent</v>
      </c>
      <c r="I378" s="10" t="n">
        <f aca="false">CRM_Raw!I378</f>
        <v>753.28</v>
      </c>
      <c r="J378" s="11" t="n">
        <f aca="false">CRM_Raw!J378</f>
        <v>0</v>
      </c>
      <c r="K378" s="10" t="n">
        <f aca="false">I378*(1-J378)</f>
        <v>753.28</v>
      </c>
      <c r="L378" s="12" t="n">
        <f aca="false">CRM_Raw!K378</f>
        <v>0</v>
      </c>
      <c r="M378" s="12" t="n">
        <f aca="false">IF(H378="Closed Won",1,0)</f>
        <v>0</v>
      </c>
    </row>
    <row r="379" customFormat="false" ht="15" hidden="false" customHeight="false" outlineLevel="0" collapsed="false">
      <c r="A379" s="0" t="str">
        <f aca="false">CRM_Raw!A379</f>
        <v>D-10375</v>
      </c>
      <c r="B379" s="0" t="str">
        <f aca="false">CRM_Raw!B379</f>
        <v>2025-03-25</v>
      </c>
      <c r="C379" s="0" t="str">
        <f aca="false">CRM_Raw!C379</f>
        <v>2025-04-26</v>
      </c>
      <c r="D379" s="0" t="str">
        <f aca="false">IF(CRM_Raw!D379="DACH","DACH",IF(ISNUMBER(SEARCH("uk",CRM_Raw!D379)),"UK &amp; Ireland",PROPER(CRM_Raw!D379)))</f>
        <v>DACH</v>
      </c>
      <c r="E379" s="0" t="str">
        <f aca="false">CRM_Raw!E379</f>
        <v>Smart Ovens</v>
      </c>
      <c r="F379" s="0" t="str">
        <f aca="false">CRM_Raw!F379</f>
        <v>Web-shop Organic</v>
      </c>
      <c r="G379" s="0" t="str">
        <f aca="false">IF(TRIM(CRM_Raw!G379)="","Unassigned",CRM_Raw!G379)</f>
        <v>J. Murphy</v>
      </c>
      <c r="H379" s="0" t="str">
        <f aca="false">CRM_Raw!H379</f>
        <v>Closed Lost</v>
      </c>
      <c r="I379" s="10" t="n">
        <f aca="false">CRM_Raw!I379</f>
        <v>861.53</v>
      </c>
      <c r="J379" s="11" t="n">
        <f aca="false">CRM_Raw!J379</f>
        <v>0</v>
      </c>
      <c r="K379" s="10" t="n">
        <f aca="false">I379*(1-J379)</f>
        <v>861.53</v>
      </c>
      <c r="L379" s="12" t="n">
        <f aca="false">CRM_Raw!K379</f>
        <v>32</v>
      </c>
      <c r="M379" s="12" t="n">
        <f aca="false">IF(H379="Closed Won",1,0)</f>
        <v>0</v>
      </c>
    </row>
    <row r="380" customFormat="false" ht="15" hidden="false" customHeight="false" outlineLevel="0" collapsed="false">
      <c r="A380" s="0" t="str">
        <f aca="false">CRM_Raw!A380</f>
        <v>D-10376</v>
      </c>
      <c r="B380" s="0" t="str">
        <f aca="false">CRM_Raw!B380</f>
        <v>2026-01-26</v>
      </c>
      <c r="C380" s="0" t="str">
        <f aca="false">CRM_Raw!C380</f>
        <v>2026-02-26</v>
      </c>
      <c r="D380" s="0" t="str">
        <f aca="false">IF(CRM_Raw!D380="DACH","DACH",IF(ISNUMBER(SEARCH("uk",CRM_Raw!D380)),"UK &amp; Ireland",PROPER(CRM_Raw!D380)))</f>
        <v>Southern Europe</v>
      </c>
      <c r="E380" s="0" t="str">
        <f aca="false">CRM_Raw!E380</f>
        <v>Washing Machines</v>
      </c>
      <c r="F380" s="0" t="str">
        <f aca="false">CRM_Raw!F380</f>
        <v>Paid Search</v>
      </c>
      <c r="G380" s="0" t="str">
        <f aca="false">IF(TRIM(CRM_Raw!G380)="","Unassigned",CRM_Raw!G380)</f>
        <v>P. Rossi</v>
      </c>
      <c r="H380" s="0" t="str">
        <f aca="false">CRM_Raw!H380</f>
        <v>Closed Won</v>
      </c>
      <c r="I380" s="10" t="n">
        <f aca="false">CRM_Raw!I380</f>
        <v>665.82</v>
      </c>
      <c r="J380" s="11" t="n">
        <f aca="false">CRM_Raw!J380</f>
        <v>0.05</v>
      </c>
      <c r="K380" s="10" t="n">
        <f aca="false">I380*(1-J380)</f>
        <v>632.529</v>
      </c>
      <c r="L380" s="12" t="n">
        <f aca="false">CRM_Raw!K380</f>
        <v>31</v>
      </c>
      <c r="M380" s="12" t="n">
        <f aca="false">IF(H380="Closed Won",1,0)</f>
        <v>1</v>
      </c>
    </row>
    <row r="381" customFormat="false" ht="15" hidden="false" customHeight="false" outlineLevel="0" collapsed="false">
      <c r="A381" s="0" t="str">
        <f aca="false">CRM_Raw!A381</f>
        <v>D-10377</v>
      </c>
      <c r="B381" s="0" t="str">
        <f aca="false">CRM_Raw!B381</f>
        <v>2025-03-05</v>
      </c>
      <c r="C381" s="0" t="str">
        <f aca="false">CRM_Raw!C381</f>
        <v>2025-03-24</v>
      </c>
      <c r="D381" s="0" t="str">
        <f aca="false">IF(CRM_Raw!D381="DACH","DACH",IF(ISNUMBER(SEARCH("uk",CRM_Raw!D381)),"UK &amp; Ireland",PROPER(CRM_Raw!D381)))</f>
        <v>Benelux</v>
      </c>
      <c r="E381" s="0" t="str">
        <f aca="false">CRM_Raw!E381</f>
        <v>Cordless Vacuums</v>
      </c>
      <c r="F381" s="0" t="str">
        <f aca="false">CRM_Raw!F381</f>
        <v>Web-shop Organic</v>
      </c>
      <c r="G381" s="0" t="str">
        <f aca="false">IF(TRIM(CRM_Raw!G381)="","Unassigned",CRM_Raw!G381)</f>
        <v>J. Murphy</v>
      </c>
      <c r="H381" s="0" t="str">
        <f aca="false">CRM_Raw!H381</f>
        <v>Closed Won</v>
      </c>
      <c r="I381" s="10" t="n">
        <f aca="false">CRM_Raw!I381</f>
        <v>1141.18</v>
      </c>
      <c r="J381" s="11" t="n">
        <f aca="false">CRM_Raw!J381</f>
        <v>0.05</v>
      </c>
      <c r="K381" s="10" t="n">
        <f aca="false">I381*(1-J381)</f>
        <v>1084.121</v>
      </c>
      <c r="L381" s="12" t="n">
        <f aca="false">CRM_Raw!K381</f>
        <v>19</v>
      </c>
      <c r="M381" s="12" t="n">
        <f aca="false">IF(H381="Closed Won",1,0)</f>
        <v>1</v>
      </c>
    </row>
    <row r="382" customFormat="false" ht="15" hidden="false" customHeight="false" outlineLevel="0" collapsed="false">
      <c r="A382" s="0" t="str">
        <f aca="false">CRM_Raw!A382</f>
        <v>D-10378</v>
      </c>
      <c r="B382" s="0" t="str">
        <f aca="false">CRM_Raw!B382</f>
        <v>2026-02-01</v>
      </c>
      <c r="C382" s="0" t="n">
        <f aca="false">CRM_Raw!C382</f>
        <v>0</v>
      </c>
      <c r="D382" s="0" t="str">
        <f aca="false">IF(CRM_Raw!D382="DACH","DACH",IF(ISNUMBER(SEARCH("uk",CRM_Raw!D382)),"UK &amp; Ireland",PROPER(CRM_Raw!D382)))</f>
        <v>North America</v>
      </c>
      <c r="E382" s="0" t="str">
        <f aca="false">CRM_Raw!E382</f>
        <v>Washing Machines</v>
      </c>
      <c r="F382" s="0" t="str">
        <f aca="false">CRM_Raw!F382</f>
        <v>Web-shop Organic</v>
      </c>
      <c r="G382" s="0" t="str">
        <f aca="false">IF(TRIM(CRM_Raw!G382)="","Unassigned",CRM_Raw!G382)</f>
        <v>A. Becker</v>
      </c>
      <c r="H382" s="0" t="str">
        <f aca="false">CRM_Raw!H382</f>
        <v>Proposal Sent</v>
      </c>
      <c r="I382" s="10" t="n">
        <f aca="false">CRM_Raw!I382</f>
        <v>1984.36</v>
      </c>
      <c r="J382" s="11" t="n">
        <f aca="false">CRM_Raw!J382</f>
        <v>0.15</v>
      </c>
      <c r="K382" s="10" t="n">
        <f aca="false">I382*(1-J382)</f>
        <v>1686.706</v>
      </c>
      <c r="L382" s="12" t="n">
        <f aca="false">CRM_Raw!K382</f>
        <v>0</v>
      </c>
      <c r="M382" s="12" t="n">
        <f aca="false">IF(H382="Closed Won",1,0)</f>
        <v>0</v>
      </c>
    </row>
    <row r="383" customFormat="false" ht="15" hidden="false" customHeight="false" outlineLevel="0" collapsed="false">
      <c r="A383" s="0" t="str">
        <f aca="false">CRM_Raw!A383</f>
        <v>D-10379</v>
      </c>
      <c r="B383" s="0" t="str">
        <f aca="false">CRM_Raw!B383</f>
        <v>2026-05-03</v>
      </c>
      <c r="C383" s="0" t="str">
        <f aca="false">CRM_Raw!C383</f>
        <v>2026-05-20</v>
      </c>
      <c r="D383" s="0" t="str">
        <f aca="false">IF(CRM_Raw!D383="DACH","DACH",IF(ISNUMBER(SEARCH("uk",CRM_Raw!D383)),"UK &amp; Ireland",PROPER(CRM_Raw!D383)))</f>
        <v>North America</v>
      </c>
      <c r="E383" s="0" t="str">
        <f aca="false">CRM_Raw!E383</f>
        <v>Dishwashers</v>
      </c>
      <c r="F383" s="0" t="str">
        <f aca="false">CRM_Raw!F383</f>
        <v>Social Media Ads</v>
      </c>
      <c r="G383" s="0" t="str">
        <f aca="false">IF(TRIM(CRM_Raw!G383)="","Unassigned",CRM_Raw!G383)</f>
        <v>S. Andersson</v>
      </c>
      <c r="H383" s="0" t="str">
        <f aca="false">CRM_Raw!H383</f>
        <v>Closed Won</v>
      </c>
      <c r="I383" s="10" t="n">
        <f aca="false">CRM_Raw!I383</f>
        <v>704.66</v>
      </c>
      <c r="J383" s="11" t="n">
        <f aca="false">CRM_Raw!J383</f>
        <v>0.1</v>
      </c>
      <c r="K383" s="10" t="n">
        <f aca="false">I383*(1-J383)</f>
        <v>634.194</v>
      </c>
      <c r="L383" s="12" t="n">
        <f aca="false">CRM_Raw!K383</f>
        <v>17</v>
      </c>
      <c r="M383" s="12" t="n">
        <f aca="false">IF(H383="Closed Won",1,0)</f>
        <v>1</v>
      </c>
    </row>
    <row r="384" customFormat="false" ht="15" hidden="false" customHeight="false" outlineLevel="0" collapsed="false">
      <c r="A384" s="0" t="str">
        <f aca="false">CRM_Raw!A384</f>
        <v>D-10380</v>
      </c>
      <c r="B384" s="0" t="str">
        <f aca="false">CRM_Raw!B384</f>
        <v>2025-05-04</v>
      </c>
      <c r="C384" s="0" t="n">
        <f aca="false">CRM_Raw!C384</f>
        <v>0</v>
      </c>
      <c r="D384" s="0" t="str">
        <f aca="false">IF(CRM_Raw!D384="DACH","DACH",IF(ISNUMBER(SEARCH("uk",CRM_Raw!D384)),"UK &amp; Ireland",PROPER(CRM_Raw!D384)))</f>
        <v>Nordics</v>
      </c>
      <c r="E384" s="0" t="str">
        <f aca="false">CRM_Raw!E384</f>
        <v>Washing Machines</v>
      </c>
      <c r="F384" s="0" t="str">
        <f aca="false">CRM_Raw!F384</f>
        <v>Email Campaign</v>
      </c>
      <c r="G384" s="0" t="str">
        <f aca="false">IF(TRIM(CRM_Raw!G384)="","Unassigned",CRM_Raw!G384)</f>
        <v>M. Hoffmann</v>
      </c>
      <c r="H384" s="0" t="str">
        <f aca="false">CRM_Raw!H384</f>
        <v>Qualified</v>
      </c>
      <c r="I384" s="10" t="n">
        <f aca="false">CRM_Raw!I384</f>
        <v>666.34</v>
      </c>
      <c r="J384" s="11" t="n">
        <f aca="false">CRM_Raw!J384</f>
        <v>0</v>
      </c>
      <c r="K384" s="10" t="n">
        <f aca="false">I384*(1-J384)</f>
        <v>666.34</v>
      </c>
      <c r="L384" s="12" t="n">
        <f aca="false">CRM_Raw!K384</f>
        <v>0</v>
      </c>
      <c r="M384" s="12" t="n">
        <f aca="false">IF(H384="Closed Won",1,0)</f>
        <v>0</v>
      </c>
    </row>
    <row r="385" customFormat="false" ht="15" hidden="false" customHeight="false" outlineLevel="0" collapsed="false">
      <c r="A385" s="0" t="str">
        <f aca="false">CRM_Raw!A385</f>
        <v>D-10381</v>
      </c>
      <c r="B385" s="0" t="str">
        <f aca="false">CRM_Raw!B385</f>
        <v>2025-03-22</v>
      </c>
      <c r="C385" s="0" t="n">
        <f aca="false">CRM_Raw!C385</f>
        <v>0</v>
      </c>
      <c r="D385" s="0" t="str">
        <f aca="false">IF(CRM_Raw!D385="DACH","DACH",IF(ISNUMBER(SEARCH("uk",CRM_Raw!D385)),"UK &amp; Ireland",PROPER(CRM_Raw!D385)))</f>
        <v>North America</v>
      </c>
      <c r="E385" s="0" t="str">
        <f aca="false">CRM_Raw!E385</f>
        <v>Coffee Systems</v>
      </c>
      <c r="F385" s="0" t="str">
        <f aca="false">CRM_Raw!F385</f>
        <v>Web-shop Organic</v>
      </c>
      <c r="G385" s="0" t="str">
        <f aca="false">IF(TRIM(CRM_Raw!G385)="","Unassigned",CRM_Raw!G385)</f>
        <v>K. Nilsson</v>
      </c>
      <c r="H385" s="0" t="str">
        <f aca="false">CRM_Raw!H385</f>
        <v>Qualified</v>
      </c>
      <c r="I385" s="10" t="n">
        <f aca="false">CRM_Raw!I385</f>
        <v>521.63</v>
      </c>
      <c r="J385" s="11" t="n">
        <f aca="false">CRM_Raw!J385</f>
        <v>0.2</v>
      </c>
      <c r="K385" s="10" t="n">
        <f aca="false">I385*(1-J385)</f>
        <v>417.304</v>
      </c>
      <c r="L385" s="12" t="n">
        <f aca="false">CRM_Raw!K385</f>
        <v>0</v>
      </c>
      <c r="M385" s="12" t="n">
        <f aca="false">IF(H385="Closed Won",1,0)</f>
        <v>0</v>
      </c>
    </row>
    <row r="386" customFormat="false" ht="15" hidden="false" customHeight="false" outlineLevel="0" collapsed="false">
      <c r="A386" s="0" t="str">
        <f aca="false">CRM_Raw!A386</f>
        <v>D-10382</v>
      </c>
      <c r="B386" s="0" t="str">
        <f aca="false">CRM_Raw!B386</f>
        <v>2025-03-31</v>
      </c>
      <c r="C386" s="0" t="str">
        <f aca="false">CRM_Raw!C386</f>
        <v>2025-04-14</v>
      </c>
      <c r="D386" s="0" t="str">
        <f aca="false">IF(CRM_Raw!D386="DACH","DACH",IF(ISNUMBER(SEARCH("uk",CRM_Raw!D386)),"UK &amp; Ireland",PROPER(CRM_Raw!D386)))</f>
        <v>Nordics</v>
      </c>
      <c r="E386" s="0" t="str">
        <f aca="false">CRM_Raw!E386</f>
        <v>Cordless Vacuums</v>
      </c>
      <c r="F386" s="0" t="str">
        <f aca="false">CRM_Raw!F386</f>
        <v>Paid Search</v>
      </c>
      <c r="G386" s="0" t="str">
        <f aca="false">IF(TRIM(CRM_Raw!G386)="","Unassigned",CRM_Raw!G386)</f>
        <v>L. Dubois</v>
      </c>
      <c r="H386" s="0" t="str">
        <f aca="false">CRM_Raw!H386</f>
        <v>Closed Lost</v>
      </c>
      <c r="I386" s="10" t="n">
        <f aca="false">CRM_Raw!I386</f>
        <v>692.45</v>
      </c>
      <c r="J386" s="11" t="n">
        <f aca="false">CRM_Raw!J386</f>
        <v>0.2</v>
      </c>
      <c r="K386" s="10" t="n">
        <f aca="false">I386*(1-J386)</f>
        <v>553.96</v>
      </c>
      <c r="L386" s="12" t="n">
        <f aca="false">CRM_Raw!K386</f>
        <v>14</v>
      </c>
      <c r="M386" s="12" t="n">
        <f aca="false">IF(H386="Closed Won",1,0)</f>
        <v>0</v>
      </c>
    </row>
    <row r="387" customFormat="false" ht="15" hidden="false" customHeight="false" outlineLevel="0" collapsed="false">
      <c r="A387" s="0" t="str">
        <f aca="false">CRM_Raw!A387</f>
        <v>D-10383</v>
      </c>
      <c r="B387" s="0" t="str">
        <f aca="false">CRM_Raw!B387</f>
        <v>2025-04-26</v>
      </c>
      <c r="C387" s="0" t="str">
        <f aca="false">CRM_Raw!C387</f>
        <v>2025-05-21</v>
      </c>
      <c r="D387" s="0" t="str">
        <f aca="false">IF(CRM_Raw!D387="DACH","DACH",IF(ISNUMBER(SEARCH("uk",CRM_Raw!D387)),"UK &amp; Ireland",PROPER(CRM_Raw!D387)))</f>
        <v>DACH</v>
      </c>
      <c r="E387" s="0" t="str">
        <f aca="false">CRM_Raw!E387</f>
        <v>Small Kitchen Appliances</v>
      </c>
      <c r="F387" s="0" t="str">
        <f aca="false">CRM_Raw!F387</f>
        <v>Social Media Ads</v>
      </c>
      <c r="G387" s="0" t="str">
        <f aca="false">IF(TRIM(CRM_Raw!G387)="","Unassigned",CRM_Raw!G387)</f>
        <v>K. Nilsson</v>
      </c>
      <c r="H387" s="0" t="str">
        <f aca="false">CRM_Raw!H387</f>
        <v>Closed Lost</v>
      </c>
      <c r="I387" s="10" t="n">
        <f aca="false">CRM_Raw!I387</f>
        <v>342.14</v>
      </c>
      <c r="J387" s="11" t="n">
        <f aca="false">CRM_Raw!J387</f>
        <v>0.1</v>
      </c>
      <c r="K387" s="10" t="n">
        <f aca="false">I387*(1-J387)</f>
        <v>307.926</v>
      </c>
      <c r="L387" s="12" t="n">
        <f aca="false">CRM_Raw!K387</f>
        <v>25</v>
      </c>
      <c r="M387" s="12" t="n">
        <f aca="false">IF(H387="Closed Won",1,0)</f>
        <v>0</v>
      </c>
    </row>
    <row r="388" customFormat="false" ht="15" hidden="false" customHeight="false" outlineLevel="0" collapsed="false">
      <c r="A388" s="0" t="str">
        <f aca="false">CRM_Raw!A388</f>
        <v>D-10384</v>
      </c>
      <c r="B388" s="0" t="str">
        <f aca="false">CRM_Raw!B388</f>
        <v>2025-10-20</v>
      </c>
      <c r="C388" s="0" t="n">
        <f aca="false">CRM_Raw!C388</f>
        <v>0</v>
      </c>
      <c r="D388" s="0" t="str">
        <f aca="false">IF(CRM_Raw!D388="DACH","DACH",IF(ISNUMBER(SEARCH("uk",CRM_Raw!D388)),"UK &amp; Ireland",PROPER(CRM_Raw!D388)))</f>
        <v>North America</v>
      </c>
      <c r="E388" s="0" t="str">
        <f aca="false">CRM_Raw!E388</f>
        <v>Smart Ovens</v>
      </c>
      <c r="F388" s="0" t="str">
        <f aca="false">CRM_Raw!F388</f>
        <v>Retail Referral</v>
      </c>
      <c r="G388" s="0" t="str">
        <f aca="false">IF(TRIM(CRM_Raw!G388)="","Unassigned",CRM_Raw!G388)</f>
        <v>L. Dubois</v>
      </c>
      <c r="H388" s="0" t="str">
        <f aca="false">CRM_Raw!H388</f>
        <v>Proposal Sent</v>
      </c>
      <c r="I388" s="10" t="n">
        <f aca="false">CRM_Raw!I388</f>
        <v>1892.27</v>
      </c>
      <c r="J388" s="11" t="n">
        <f aca="false">CRM_Raw!J388</f>
        <v>0</v>
      </c>
      <c r="K388" s="10" t="n">
        <f aca="false">I388*(1-J388)</f>
        <v>1892.27</v>
      </c>
      <c r="L388" s="12" t="n">
        <f aca="false">CRM_Raw!K388</f>
        <v>0</v>
      </c>
      <c r="M388" s="12" t="n">
        <f aca="false">IF(H388="Closed Won",1,0)</f>
        <v>0</v>
      </c>
    </row>
    <row r="389" customFormat="false" ht="15" hidden="false" customHeight="false" outlineLevel="0" collapsed="false">
      <c r="A389" s="0" t="str">
        <f aca="false">CRM_Raw!A389</f>
        <v>D-10385</v>
      </c>
      <c r="B389" s="0" t="str">
        <f aca="false">CRM_Raw!B389</f>
        <v>2025-02-08</v>
      </c>
      <c r="C389" s="0" t="str">
        <f aca="false">CRM_Raw!C389</f>
        <v>2025-02-18</v>
      </c>
      <c r="D389" s="0" t="str">
        <f aca="false">IF(CRM_Raw!D389="DACH","DACH",IF(ISNUMBER(SEARCH("uk",CRM_Raw!D389)),"UK &amp; Ireland",PROPER(CRM_Raw!D389)))</f>
        <v>Benelux</v>
      </c>
      <c r="E389" s="0" t="str">
        <f aca="false">CRM_Raw!E389</f>
        <v>Small Kitchen Appliances</v>
      </c>
      <c r="F389" s="0" t="str">
        <f aca="false">CRM_Raw!F389</f>
        <v>Social Media Ads</v>
      </c>
      <c r="G389" s="0" t="str">
        <f aca="false">IF(TRIM(CRM_Raw!G389)="","Unassigned",CRM_Raw!G389)</f>
        <v>T. Wagner</v>
      </c>
      <c r="H389" s="0" t="str">
        <f aca="false">CRM_Raw!H389</f>
        <v>Closed Won</v>
      </c>
      <c r="I389" s="10" t="n">
        <f aca="false">CRM_Raw!I389</f>
        <v>259.7</v>
      </c>
      <c r="J389" s="11" t="n">
        <f aca="false">CRM_Raw!J389</f>
        <v>0</v>
      </c>
      <c r="K389" s="10" t="n">
        <f aca="false">I389*(1-J389)</f>
        <v>259.7</v>
      </c>
      <c r="L389" s="12" t="n">
        <f aca="false">CRM_Raw!K389</f>
        <v>10</v>
      </c>
      <c r="M389" s="12" t="n">
        <f aca="false">IF(H389="Closed Won",1,0)</f>
        <v>1</v>
      </c>
    </row>
    <row r="390" customFormat="false" ht="15" hidden="false" customHeight="false" outlineLevel="0" collapsed="false">
      <c r="A390" s="0" t="str">
        <f aca="false">CRM_Raw!A390</f>
        <v>D-10386</v>
      </c>
      <c r="B390" s="0" t="str">
        <f aca="false">CRM_Raw!B390</f>
        <v>2026-05-02</v>
      </c>
      <c r="C390" s="0" t="n">
        <f aca="false">CRM_Raw!C390</f>
        <v>0</v>
      </c>
      <c r="D390" s="0" t="str">
        <f aca="false">IF(CRM_Raw!D390="DACH","DACH",IF(ISNUMBER(SEARCH("uk",CRM_Raw!D390)),"UK &amp; Ireland",PROPER(CRM_Raw!D390)))</f>
        <v>Benelux</v>
      </c>
      <c r="E390" s="0" t="str">
        <f aca="false">CRM_Raw!E390</f>
        <v>Cordless Vacuums</v>
      </c>
      <c r="F390" s="0" t="str">
        <f aca="false">CRM_Raw!F390</f>
        <v>Affiliate Partner</v>
      </c>
      <c r="G390" s="0" t="str">
        <f aca="false">IF(TRIM(CRM_Raw!G390)="","Unassigned",CRM_Raw!G390)</f>
        <v>A. Becker</v>
      </c>
      <c r="H390" s="0" t="str">
        <f aca="false">CRM_Raw!H390</f>
        <v>Qualified</v>
      </c>
      <c r="I390" s="10" t="n">
        <f aca="false">CRM_Raw!I390</f>
        <v>400.34</v>
      </c>
      <c r="J390" s="11" t="n">
        <f aca="false">CRM_Raw!J390</f>
        <v>0</v>
      </c>
      <c r="K390" s="10" t="n">
        <f aca="false">I390*(1-J390)</f>
        <v>400.34</v>
      </c>
      <c r="L390" s="12" t="n">
        <f aca="false">CRM_Raw!K390</f>
        <v>0</v>
      </c>
      <c r="M390" s="12" t="n">
        <f aca="false">IF(H390="Closed Won",1,0)</f>
        <v>0</v>
      </c>
    </row>
    <row r="391" customFormat="false" ht="15" hidden="false" customHeight="false" outlineLevel="0" collapsed="false">
      <c r="A391" s="0" t="str">
        <f aca="false">CRM_Raw!A391</f>
        <v>D-10387</v>
      </c>
      <c r="B391" s="0" t="str">
        <f aca="false">CRM_Raw!B391</f>
        <v>2025-04-11</v>
      </c>
      <c r="C391" s="0" t="n">
        <f aca="false">CRM_Raw!C391</f>
        <v>0</v>
      </c>
      <c r="D391" s="0" t="str">
        <f aca="false">IF(CRM_Raw!D391="DACH","DACH",IF(ISNUMBER(SEARCH("uk",CRM_Raw!D391)),"UK &amp; Ireland",PROPER(CRM_Raw!D391)))</f>
        <v>North America</v>
      </c>
      <c r="E391" s="0" t="str">
        <f aca="false">CRM_Raw!E391</f>
        <v>Cordless Vacuums</v>
      </c>
      <c r="F391" s="0" t="str">
        <f aca="false">CRM_Raw!F391</f>
        <v>Paid Search</v>
      </c>
      <c r="G391" s="0" t="str">
        <f aca="false">IF(TRIM(CRM_Raw!G391)="","Unassigned",CRM_Raw!G391)</f>
        <v>T. Wagner</v>
      </c>
      <c r="H391" s="0" t="str">
        <f aca="false">CRM_Raw!H391</f>
        <v>Qualified</v>
      </c>
      <c r="I391" s="10" t="n">
        <f aca="false">CRM_Raw!I391</f>
        <v>342.02</v>
      </c>
      <c r="J391" s="11" t="n">
        <f aca="false">CRM_Raw!J391</f>
        <v>0.15</v>
      </c>
      <c r="K391" s="10" t="n">
        <f aca="false">I391*(1-J391)</f>
        <v>290.717</v>
      </c>
      <c r="L391" s="12" t="n">
        <f aca="false">CRM_Raw!K391</f>
        <v>0</v>
      </c>
      <c r="M391" s="12" t="n">
        <f aca="false">IF(H391="Closed Won",1,0)</f>
        <v>0</v>
      </c>
    </row>
    <row r="392" customFormat="false" ht="15" hidden="false" customHeight="false" outlineLevel="0" collapsed="false">
      <c r="A392" s="0" t="str">
        <f aca="false">CRM_Raw!A392</f>
        <v>D-10388</v>
      </c>
      <c r="B392" s="0" t="str">
        <f aca="false">CRM_Raw!B392</f>
        <v>2025-04-02</v>
      </c>
      <c r="C392" s="0" t="str">
        <f aca="false">CRM_Raw!C392</f>
        <v>2025-04-30</v>
      </c>
      <c r="D392" s="0" t="str">
        <f aca="false">IF(CRM_Raw!D392="DACH","DACH",IF(ISNUMBER(SEARCH("uk",CRM_Raw!D392)),"UK &amp; Ireland",PROPER(CRM_Raw!D392)))</f>
        <v>Benelux</v>
      </c>
      <c r="E392" s="0" t="str">
        <f aca="false">CRM_Raw!E392</f>
        <v>Cordless Vacuums</v>
      </c>
      <c r="F392" s="0" t="str">
        <f aca="false">CRM_Raw!F392</f>
        <v>Paid Search</v>
      </c>
      <c r="G392" s="0" t="str">
        <f aca="false">IF(TRIM(CRM_Raw!G392)="","Unassigned",CRM_Raw!G392)</f>
        <v>K. Nilsson</v>
      </c>
      <c r="H392" s="0" t="str">
        <f aca="false">CRM_Raw!H392</f>
        <v>Closed Won</v>
      </c>
      <c r="I392" s="10" t="n">
        <f aca="false">CRM_Raw!I392</f>
        <v>681.15</v>
      </c>
      <c r="J392" s="11" t="n">
        <f aca="false">CRM_Raw!J392</f>
        <v>0.15</v>
      </c>
      <c r="K392" s="10" t="n">
        <f aca="false">I392*(1-J392)</f>
        <v>578.9775</v>
      </c>
      <c r="L392" s="12" t="n">
        <f aca="false">CRM_Raw!K392</f>
        <v>28</v>
      </c>
      <c r="M392" s="12" t="n">
        <f aca="false">IF(H392="Closed Won",1,0)</f>
        <v>1</v>
      </c>
    </row>
    <row r="393" customFormat="false" ht="15" hidden="false" customHeight="false" outlineLevel="0" collapsed="false">
      <c r="A393" s="0" t="str">
        <f aca="false">CRM_Raw!A393</f>
        <v>D-10389</v>
      </c>
      <c r="B393" s="0" t="str">
        <f aca="false">CRM_Raw!B393</f>
        <v>2025-06-12</v>
      </c>
      <c r="C393" s="0" t="str">
        <f aca="false">CRM_Raw!C393</f>
        <v>2025-06-30</v>
      </c>
      <c r="D393" s="0" t="str">
        <f aca="false">IF(CRM_Raw!D393="DACH","DACH",IF(ISNUMBER(SEARCH("uk",CRM_Raw!D393)),"UK &amp; Ireland",PROPER(CRM_Raw!D393)))</f>
        <v>Benelux</v>
      </c>
      <c r="E393" s="0" t="str">
        <f aca="false">CRM_Raw!E393</f>
        <v>Washing Machines</v>
      </c>
      <c r="F393" s="0" t="str">
        <f aca="false">CRM_Raw!F393</f>
        <v>Retail Referral</v>
      </c>
      <c r="G393" s="0" t="str">
        <f aca="false">IF(TRIM(CRM_Raw!G393)="","Unassigned",CRM_Raw!G393)</f>
        <v>A. Becker</v>
      </c>
      <c r="H393" s="0" t="str">
        <f aca="false">CRM_Raw!H393</f>
        <v>Closed Won</v>
      </c>
      <c r="I393" s="10" t="n">
        <f aca="false">CRM_Raw!I393</f>
        <v>2158.9</v>
      </c>
      <c r="J393" s="11" t="n">
        <f aca="false">CRM_Raw!J393</f>
        <v>0.1</v>
      </c>
      <c r="K393" s="10" t="n">
        <f aca="false">I393*(1-J393)</f>
        <v>1943.01</v>
      </c>
      <c r="L393" s="12" t="n">
        <f aca="false">CRM_Raw!K393</f>
        <v>18</v>
      </c>
      <c r="M393" s="12" t="n">
        <f aca="false">IF(H393="Closed Won",1,0)</f>
        <v>1</v>
      </c>
    </row>
    <row r="394" customFormat="false" ht="15" hidden="false" customHeight="false" outlineLevel="0" collapsed="false">
      <c r="A394" s="0" t="str">
        <f aca="false">CRM_Raw!A394</f>
        <v>D-10390</v>
      </c>
      <c r="B394" s="0" t="str">
        <f aca="false">CRM_Raw!B394</f>
        <v>2025-03-01</v>
      </c>
      <c r="C394" s="0" t="str">
        <f aca="false">CRM_Raw!C394</f>
        <v>2025-03-13</v>
      </c>
      <c r="D394" s="0" t="str">
        <f aca="false">IF(CRM_Raw!D394="DACH","DACH",IF(ISNUMBER(SEARCH("uk",CRM_Raw!D394)),"UK &amp; Ireland",PROPER(CRM_Raw!D394)))</f>
        <v>DACH</v>
      </c>
      <c r="E394" s="0" t="str">
        <f aca="false">CRM_Raw!E394</f>
        <v>Coffee Systems</v>
      </c>
      <c r="F394" s="0" t="str">
        <f aca="false">CRM_Raw!F394</f>
        <v>Web-shop Organic</v>
      </c>
      <c r="G394" s="0" t="str">
        <f aca="false">IF(TRIM(CRM_Raw!G394)="","Unassigned",CRM_Raw!G394)</f>
        <v>S. Andersson</v>
      </c>
      <c r="H394" s="0" t="str">
        <f aca="false">CRM_Raw!H394</f>
        <v>Closed Won</v>
      </c>
      <c r="I394" s="10" t="n">
        <f aca="false">CRM_Raw!I394</f>
        <v>524.29</v>
      </c>
      <c r="J394" s="11" t="n">
        <f aca="false">CRM_Raw!J394</f>
        <v>0.15</v>
      </c>
      <c r="K394" s="10" t="n">
        <f aca="false">I394*(1-J394)</f>
        <v>445.6465</v>
      </c>
      <c r="L394" s="12" t="n">
        <f aca="false">CRM_Raw!K394</f>
        <v>12</v>
      </c>
      <c r="M394" s="12" t="n">
        <f aca="false">IF(H394="Closed Won",1,0)</f>
        <v>1</v>
      </c>
    </row>
    <row r="395" customFormat="false" ht="15" hidden="false" customHeight="false" outlineLevel="0" collapsed="false">
      <c r="A395" s="0" t="str">
        <f aca="false">CRM_Raw!A395</f>
        <v>D-10391</v>
      </c>
      <c r="B395" s="0" t="str">
        <f aca="false">CRM_Raw!B395</f>
        <v>2026-02-11</v>
      </c>
      <c r="C395" s="0" t="n">
        <f aca="false">CRM_Raw!C395</f>
        <v>0</v>
      </c>
      <c r="D395" s="0" t="str">
        <f aca="false">IF(CRM_Raw!D395="DACH","DACH",IF(ISNUMBER(SEARCH("uk",CRM_Raw!D395)),"UK &amp; Ireland",PROPER(CRM_Raw!D395)))</f>
        <v>UK &amp; Ireland</v>
      </c>
      <c r="E395" s="0" t="str">
        <f aca="false">CRM_Raw!E395</f>
        <v>Cordless Vacuums</v>
      </c>
      <c r="F395" s="0" t="str">
        <f aca="false">CRM_Raw!F395</f>
        <v>Paid Search</v>
      </c>
      <c r="G395" s="0" t="str">
        <f aca="false">IF(TRIM(CRM_Raw!G395)="","Unassigned",CRM_Raw!G395)</f>
        <v>T. Wagner</v>
      </c>
      <c r="H395" s="0" t="str">
        <f aca="false">CRM_Raw!H395</f>
        <v>Negotiation</v>
      </c>
      <c r="I395" s="10" t="n">
        <f aca="false">CRM_Raw!I395</f>
        <v>332.95</v>
      </c>
      <c r="J395" s="11" t="n">
        <f aca="false">CRM_Raw!J395</f>
        <v>0</v>
      </c>
      <c r="K395" s="10" t="n">
        <f aca="false">I395*(1-J395)</f>
        <v>332.95</v>
      </c>
      <c r="L395" s="12" t="n">
        <f aca="false">CRM_Raw!K395</f>
        <v>0</v>
      </c>
      <c r="M395" s="12" t="n">
        <f aca="false">IF(H395="Closed Won",1,0)</f>
        <v>0</v>
      </c>
    </row>
    <row r="396" customFormat="false" ht="15" hidden="false" customHeight="false" outlineLevel="0" collapsed="false">
      <c r="A396" s="0" t="str">
        <f aca="false">CRM_Raw!A396</f>
        <v>D-10392</v>
      </c>
      <c r="B396" s="0" t="str">
        <f aca="false">CRM_Raw!B396</f>
        <v>2026-05-01</v>
      </c>
      <c r="C396" s="0" t="str">
        <f aca="false">CRM_Raw!C396</f>
        <v>2026-05-18</v>
      </c>
      <c r="D396" s="0" t="str">
        <f aca="false">IF(CRM_Raw!D396="DACH","DACH",IF(ISNUMBER(SEARCH("uk",CRM_Raw!D396)),"UK &amp; Ireland",PROPER(CRM_Raw!D396)))</f>
        <v>France</v>
      </c>
      <c r="E396" s="0" t="str">
        <f aca="false">CRM_Raw!E396</f>
        <v>Dishwashers</v>
      </c>
      <c r="F396" s="0" t="str">
        <f aca="false">CRM_Raw!F396</f>
        <v>Social Media Ads</v>
      </c>
      <c r="G396" s="0" t="str">
        <f aca="false">IF(TRIM(CRM_Raw!G396)="","Unassigned",CRM_Raw!G396)</f>
        <v>M. Hoffmann</v>
      </c>
      <c r="H396" s="0" t="str">
        <f aca="false">CRM_Raw!H396</f>
        <v>Closed Lost</v>
      </c>
      <c r="I396" s="10" t="n">
        <f aca="false">CRM_Raw!I396</f>
        <v>790.74</v>
      </c>
      <c r="J396" s="11" t="n">
        <f aca="false">CRM_Raw!J396</f>
        <v>0</v>
      </c>
      <c r="K396" s="10" t="n">
        <f aca="false">I396*(1-J396)</f>
        <v>790.74</v>
      </c>
      <c r="L396" s="12" t="n">
        <f aca="false">CRM_Raw!K396</f>
        <v>17</v>
      </c>
      <c r="M396" s="12" t="n">
        <f aca="false">IF(H396="Closed Won",1,0)</f>
        <v>0</v>
      </c>
    </row>
    <row r="397" customFormat="false" ht="15" hidden="false" customHeight="false" outlineLevel="0" collapsed="false">
      <c r="A397" s="0" t="str">
        <f aca="false">CRM_Raw!A397</f>
        <v>D-10393</v>
      </c>
      <c r="B397" s="0" t="str">
        <f aca="false">CRM_Raw!B397</f>
        <v>2025-08-15</v>
      </c>
      <c r="C397" s="0" t="n">
        <f aca="false">CRM_Raw!C397</f>
        <v>0</v>
      </c>
      <c r="D397" s="0" t="str">
        <f aca="false">IF(CRM_Raw!D397="DACH","DACH",IF(ISNUMBER(SEARCH("uk",CRM_Raw!D397)),"UK &amp; Ireland",PROPER(CRM_Raw!D397)))</f>
        <v>DACH</v>
      </c>
      <c r="E397" s="0" t="str">
        <f aca="false">CRM_Raw!E397</f>
        <v>Dishwashers</v>
      </c>
      <c r="F397" s="0" t="str">
        <f aca="false">CRM_Raw!F397</f>
        <v>Web-shop Organic</v>
      </c>
      <c r="G397" s="0" t="str">
        <f aca="false">IF(TRIM(CRM_Raw!G397)="","Unassigned",CRM_Raw!G397)</f>
        <v>S. Andersson</v>
      </c>
      <c r="H397" s="0" t="str">
        <f aca="false">CRM_Raw!H397</f>
        <v>Negotiation</v>
      </c>
      <c r="I397" s="10" t="n">
        <f aca="false">CRM_Raw!I397</f>
        <v>753.4</v>
      </c>
      <c r="J397" s="11" t="n">
        <f aca="false">CRM_Raw!J397</f>
        <v>0.15</v>
      </c>
      <c r="K397" s="10" t="n">
        <f aca="false">I397*(1-J397)</f>
        <v>640.39</v>
      </c>
      <c r="L397" s="12" t="n">
        <f aca="false">CRM_Raw!K397</f>
        <v>0</v>
      </c>
      <c r="M397" s="12" t="n">
        <f aca="false">IF(H397="Closed Won",1,0)</f>
        <v>0</v>
      </c>
    </row>
    <row r="398" customFormat="false" ht="15" hidden="false" customHeight="false" outlineLevel="0" collapsed="false">
      <c r="A398" s="0" t="str">
        <f aca="false">CRM_Raw!A398</f>
        <v>D-10394</v>
      </c>
      <c r="B398" s="0" t="str">
        <f aca="false">CRM_Raw!B398</f>
        <v>2026-05-01</v>
      </c>
      <c r="C398" s="0" t="n">
        <f aca="false">CRM_Raw!C398</f>
        <v>0</v>
      </c>
      <c r="D398" s="0" t="str">
        <f aca="false">IF(CRM_Raw!D398="DACH","DACH",IF(ISNUMBER(SEARCH("uk",CRM_Raw!D398)),"UK &amp; Ireland",PROPER(CRM_Raw!D398)))</f>
        <v>Benelux</v>
      </c>
      <c r="E398" s="0" t="str">
        <f aca="false">CRM_Raw!E398</f>
        <v>Washing Machines</v>
      </c>
      <c r="F398" s="0" t="str">
        <f aca="false">CRM_Raw!F398</f>
        <v>Web-shop Organic</v>
      </c>
      <c r="G398" s="0" t="str">
        <f aca="false">IF(TRIM(CRM_Raw!G398)="","Unassigned",CRM_Raw!G398)</f>
        <v>Unassigned</v>
      </c>
      <c r="H398" s="0" t="str">
        <f aca="false">CRM_Raw!H398</f>
        <v>Qualified</v>
      </c>
      <c r="I398" s="10" t="n">
        <f aca="false">CRM_Raw!I398</f>
        <v>2094.68</v>
      </c>
      <c r="J398" s="11" t="n">
        <f aca="false">CRM_Raw!J398</f>
        <v>0.2</v>
      </c>
      <c r="K398" s="10" t="n">
        <f aca="false">I398*(1-J398)</f>
        <v>1675.744</v>
      </c>
      <c r="L398" s="12" t="n">
        <f aca="false">CRM_Raw!K398</f>
        <v>0</v>
      </c>
      <c r="M398" s="12" t="n">
        <f aca="false">IF(H398="Closed Won",1,0)</f>
        <v>0</v>
      </c>
    </row>
    <row r="399" customFormat="false" ht="15" hidden="false" customHeight="false" outlineLevel="0" collapsed="false">
      <c r="A399" s="0" t="str">
        <f aca="false">CRM_Raw!A399</f>
        <v>D-10395</v>
      </c>
      <c r="B399" s="0" t="str">
        <f aca="false">CRM_Raw!B399</f>
        <v>2025-10-09</v>
      </c>
      <c r="C399" s="0" t="str">
        <f aca="false">CRM_Raw!C399</f>
        <v>2025-11-03</v>
      </c>
      <c r="D399" s="0" t="str">
        <f aca="false">IF(CRM_Raw!D399="DACH","DACH",IF(ISNUMBER(SEARCH("uk",CRM_Raw!D399)),"UK &amp; Ireland",PROPER(CRM_Raw!D399)))</f>
        <v>DACH</v>
      </c>
      <c r="E399" s="0" t="str">
        <f aca="false">CRM_Raw!E399</f>
        <v>Coffee Systems</v>
      </c>
      <c r="F399" s="0" t="str">
        <f aca="false">CRM_Raw!F399</f>
        <v>Paid Search</v>
      </c>
      <c r="G399" s="0" t="str">
        <f aca="false">IF(TRIM(CRM_Raw!G399)="","Unassigned",CRM_Raw!G399)</f>
        <v>J. Murphy</v>
      </c>
      <c r="H399" s="0" t="str">
        <f aca="false">CRM_Raw!H399</f>
        <v>Closed Lost</v>
      </c>
      <c r="I399" s="10" t="n">
        <f aca="false">CRM_Raw!I399</f>
        <v>514.19</v>
      </c>
      <c r="J399" s="11" t="n">
        <f aca="false">CRM_Raw!J399</f>
        <v>0.05</v>
      </c>
      <c r="K399" s="10" t="n">
        <f aca="false">I399*(1-J399)</f>
        <v>488.4805</v>
      </c>
      <c r="L399" s="12" t="n">
        <f aca="false">CRM_Raw!K399</f>
        <v>25</v>
      </c>
      <c r="M399" s="12" t="n">
        <f aca="false">IF(H399="Closed Won",1,0)</f>
        <v>0</v>
      </c>
    </row>
    <row r="400" customFormat="false" ht="15" hidden="false" customHeight="false" outlineLevel="0" collapsed="false">
      <c r="A400" s="0" t="str">
        <f aca="false">CRM_Raw!A400</f>
        <v>D-10396</v>
      </c>
      <c r="B400" s="0" t="str">
        <f aca="false">CRM_Raw!B400</f>
        <v>2025-04-15</v>
      </c>
      <c r="C400" s="0" t="str">
        <f aca="false">CRM_Raw!C400</f>
        <v>2025-05-29</v>
      </c>
      <c r="D400" s="0" t="str">
        <f aca="false">IF(CRM_Raw!D400="DACH","DACH",IF(ISNUMBER(SEARCH("uk",CRM_Raw!D400)),"UK &amp; Ireland",PROPER(CRM_Raw!D400)))</f>
        <v>France</v>
      </c>
      <c r="E400" s="0" t="str">
        <f aca="false">CRM_Raw!E400</f>
        <v>Coffee Systems</v>
      </c>
      <c r="F400" s="0" t="str">
        <f aca="false">CRM_Raw!F400</f>
        <v>Social Media Ads</v>
      </c>
      <c r="G400" s="0" t="str">
        <f aca="false">IF(TRIM(CRM_Raw!G400)="","Unassigned",CRM_Raw!G400)</f>
        <v>K. Nilsson</v>
      </c>
      <c r="H400" s="0" t="str">
        <f aca="false">CRM_Raw!H400</f>
        <v>Closed Won</v>
      </c>
      <c r="I400" s="10" t="n">
        <f aca="false">CRM_Raw!I400</f>
        <v>1717.91</v>
      </c>
      <c r="J400" s="11" t="n">
        <f aca="false">CRM_Raw!J400</f>
        <v>0.15</v>
      </c>
      <c r="K400" s="10" t="n">
        <f aca="false">I400*(1-J400)</f>
        <v>1460.2235</v>
      </c>
      <c r="L400" s="12" t="n">
        <f aca="false">CRM_Raw!K400</f>
        <v>44</v>
      </c>
      <c r="M400" s="12" t="n">
        <f aca="false">IF(H400="Closed Won",1,0)</f>
        <v>1</v>
      </c>
    </row>
    <row r="401" customFormat="false" ht="15" hidden="false" customHeight="false" outlineLevel="0" collapsed="false">
      <c r="A401" s="0" t="str">
        <f aca="false">CRM_Raw!A401</f>
        <v>D-10397</v>
      </c>
      <c r="B401" s="0" t="str">
        <f aca="false">CRM_Raw!B401</f>
        <v>2026-05-09</v>
      </c>
      <c r="C401" s="0" t="str">
        <f aca="false">CRM_Raw!C401</f>
        <v>2026-05-29</v>
      </c>
      <c r="D401" s="0" t="str">
        <f aca="false">IF(CRM_Raw!D401="DACH","DACH",IF(ISNUMBER(SEARCH("uk",CRM_Raw!D401)),"UK &amp; Ireland",PROPER(CRM_Raw!D401)))</f>
        <v>Nordics</v>
      </c>
      <c r="E401" s="0" t="str">
        <f aca="false">CRM_Raw!E401</f>
        <v>Washing Machines</v>
      </c>
      <c r="F401" s="0" t="str">
        <f aca="false">CRM_Raw!F401</f>
        <v>Paid Search</v>
      </c>
      <c r="G401" s="0" t="str">
        <f aca="false">IF(TRIM(CRM_Raw!G401)="","Unassigned",CRM_Raw!G401)</f>
        <v>L. Dubois</v>
      </c>
      <c r="H401" s="0" t="str">
        <f aca="false">CRM_Raw!H401</f>
        <v>Closed Won</v>
      </c>
      <c r="I401" s="10" t="n">
        <f aca="false">CRM_Raw!I401</f>
        <v>753.05</v>
      </c>
      <c r="J401" s="11" t="n">
        <f aca="false">CRM_Raw!J401</f>
        <v>0.2</v>
      </c>
      <c r="K401" s="10" t="n">
        <f aca="false">I401*(1-J401)</f>
        <v>602.44</v>
      </c>
      <c r="L401" s="12" t="n">
        <f aca="false">CRM_Raw!K401</f>
        <v>20</v>
      </c>
      <c r="M401" s="12" t="n">
        <f aca="false">IF(H401="Closed Won",1,0)</f>
        <v>1</v>
      </c>
    </row>
    <row r="402" customFormat="false" ht="15" hidden="false" customHeight="false" outlineLevel="0" collapsed="false">
      <c r="A402" s="0" t="str">
        <f aca="false">CRM_Raw!A402</f>
        <v>D-10398</v>
      </c>
      <c r="B402" s="0" t="str">
        <f aca="false">CRM_Raw!B402</f>
        <v>2025-07-12</v>
      </c>
      <c r="C402" s="0" t="str">
        <f aca="false">CRM_Raw!C402</f>
        <v>2025-08-03</v>
      </c>
      <c r="D402" s="0" t="str">
        <f aca="false">IF(CRM_Raw!D402="DACH","DACH",IF(ISNUMBER(SEARCH("uk",CRM_Raw!D402)),"UK &amp; Ireland",PROPER(CRM_Raw!D402)))</f>
        <v>France</v>
      </c>
      <c r="E402" s="0" t="str">
        <f aca="false">CRM_Raw!E402</f>
        <v>Cordless Vacuums</v>
      </c>
      <c r="F402" s="0" t="str">
        <f aca="false">CRM_Raw!F402</f>
        <v>Affiliate Partner</v>
      </c>
      <c r="G402" s="0" t="str">
        <f aca="false">IF(TRIM(CRM_Raw!G402)="","Unassigned",CRM_Raw!G402)</f>
        <v>J. Murphy</v>
      </c>
      <c r="H402" s="0" t="str">
        <f aca="false">CRM_Raw!H402</f>
        <v>Closed Won</v>
      </c>
      <c r="I402" s="10" t="n">
        <f aca="false">CRM_Raw!I402</f>
        <v>1177.08</v>
      </c>
      <c r="J402" s="11" t="n">
        <f aca="false">CRM_Raw!J402</f>
        <v>0.05</v>
      </c>
      <c r="K402" s="10" t="n">
        <f aca="false">I402*(1-J402)</f>
        <v>1118.226</v>
      </c>
      <c r="L402" s="12" t="n">
        <f aca="false">CRM_Raw!K402</f>
        <v>22</v>
      </c>
      <c r="M402" s="12" t="n">
        <f aca="false">IF(H402="Closed Won",1,0)</f>
        <v>1</v>
      </c>
    </row>
    <row r="403" customFormat="false" ht="15" hidden="false" customHeight="false" outlineLevel="0" collapsed="false">
      <c r="A403" s="0" t="str">
        <f aca="false">CRM_Raw!A403</f>
        <v>D-10399</v>
      </c>
      <c r="B403" s="0" t="str">
        <f aca="false">CRM_Raw!B403</f>
        <v>2026-05-25</v>
      </c>
      <c r="C403" s="0" t="n">
        <f aca="false">CRM_Raw!C403</f>
        <v>0</v>
      </c>
      <c r="D403" s="0" t="str">
        <f aca="false">IF(CRM_Raw!D403="DACH","DACH",IF(ISNUMBER(SEARCH("uk",CRM_Raw!D403)),"UK &amp; Ireland",PROPER(CRM_Raw!D403)))</f>
        <v>Southern Europe</v>
      </c>
      <c r="E403" s="0" t="str">
        <f aca="false">CRM_Raw!E403</f>
        <v>Cordless Vacuums</v>
      </c>
      <c r="F403" s="0" t="str">
        <f aca="false">CRM_Raw!F403</f>
        <v>Affiliate Partner</v>
      </c>
      <c r="G403" s="0" t="str">
        <f aca="false">IF(TRIM(CRM_Raw!G403)="","Unassigned",CRM_Raw!G403)</f>
        <v>A. Becker</v>
      </c>
      <c r="H403" s="0" t="str">
        <f aca="false">CRM_Raw!H403</f>
        <v>Qualified</v>
      </c>
      <c r="I403" s="10" t="n">
        <f aca="false">CRM_Raw!I403</f>
        <v>689.53</v>
      </c>
      <c r="J403" s="11" t="n">
        <f aca="false">CRM_Raw!J403</f>
        <v>0.05</v>
      </c>
      <c r="K403" s="10" t="n">
        <f aca="false">I403*(1-J403)</f>
        <v>655.0535</v>
      </c>
      <c r="L403" s="12" t="n">
        <f aca="false">CRM_Raw!K403</f>
        <v>0</v>
      </c>
      <c r="M403" s="12" t="n">
        <f aca="false">IF(H403="Closed Won",1,0)</f>
        <v>0</v>
      </c>
    </row>
    <row r="404" customFormat="false" ht="15" hidden="false" customHeight="false" outlineLevel="0" collapsed="false">
      <c r="A404" s="0" t="str">
        <f aca="false">CRM_Raw!A404</f>
        <v>D-10400</v>
      </c>
      <c r="B404" s="0" t="str">
        <f aca="false">CRM_Raw!B404</f>
        <v>2025-12-18</v>
      </c>
      <c r="C404" s="0" t="n">
        <f aca="false">CRM_Raw!C404</f>
        <v>0</v>
      </c>
      <c r="D404" s="0" t="str">
        <f aca="false">IF(CRM_Raw!D404="DACH","DACH",IF(ISNUMBER(SEARCH("uk",CRM_Raw!D404)),"UK &amp; Ireland",PROPER(CRM_Raw!D404)))</f>
        <v>Benelux</v>
      </c>
      <c r="E404" s="0" t="str">
        <f aca="false">CRM_Raw!E404</f>
        <v>Small Kitchen Appliances</v>
      </c>
      <c r="F404" s="0" t="str">
        <f aca="false">CRM_Raw!F404</f>
        <v>Web-shop Organic</v>
      </c>
      <c r="G404" s="0" t="str">
        <f aca="false">IF(TRIM(CRM_Raw!G404)="","Unassigned",CRM_Raw!G404)</f>
        <v>S. Andersson</v>
      </c>
      <c r="H404" s="0" t="str">
        <f aca="false">CRM_Raw!H404</f>
        <v>Negotiation</v>
      </c>
      <c r="I404" s="10" t="n">
        <f aca="false">CRM_Raw!I404</f>
        <v>348.74</v>
      </c>
      <c r="J404" s="11" t="n">
        <f aca="false">CRM_Raw!J404</f>
        <v>0.15</v>
      </c>
      <c r="K404" s="10" t="n">
        <f aca="false">I404*(1-J404)</f>
        <v>296.429</v>
      </c>
      <c r="L404" s="12" t="n">
        <f aca="false">CRM_Raw!K404</f>
        <v>0</v>
      </c>
      <c r="M404" s="12" t="n">
        <f aca="false">IF(H404="Closed Won",1,0)</f>
        <v>0</v>
      </c>
    </row>
    <row r="405" customFormat="false" ht="15" hidden="false" customHeight="false" outlineLevel="0" collapsed="false">
      <c r="A405" s="0" t="str">
        <f aca="false">CRM_Raw!A405</f>
        <v>D-10401</v>
      </c>
      <c r="B405" s="0" t="str">
        <f aca="false">CRM_Raw!B405</f>
        <v>2025-11-04</v>
      </c>
      <c r="C405" s="0" t="n">
        <f aca="false">CRM_Raw!C405</f>
        <v>0</v>
      </c>
      <c r="D405" s="0" t="str">
        <f aca="false">IF(CRM_Raw!D405="DACH","DACH",IF(ISNUMBER(SEARCH("uk",CRM_Raw!D405)),"UK &amp; Ireland",PROPER(CRM_Raw!D405)))</f>
        <v>North America</v>
      </c>
      <c r="E405" s="0" t="str">
        <f aca="false">CRM_Raw!E405</f>
        <v>Dishwashers</v>
      </c>
      <c r="F405" s="0" t="str">
        <f aca="false">CRM_Raw!F405</f>
        <v>Retail Referral</v>
      </c>
      <c r="G405" s="0" t="str">
        <f aca="false">IF(TRIM(CRM_Raw!G405)="","Unassigned",CRM_Raw!G405)</f>
        <v>P. Rossi</v>
      </c>
      <c r="H405" s="0" t="str">
        <f aca="false">CRM_Raw!H405</f>
        <v>Proposal Sent</v>
      </c>
      <c r="I405" s="10" t="n">
        <f aca="false">CRM_Raw!I405</f>
        <v>2344.4</v>
      </c>
      <c r="J405" s="11" t="n">
        <f aca="false">CRM_Raw!J405</f>
        <v>0</v>
      </c>
      <c r="K405" s="10" t="n">
        <f aca="false">I405*(1-J405)</f>
        <v>2344.4</v>
      </c>
      <c r="L405" s="12" t="n">
        <f aca="false">CRM_Raw!K405</f>
        <v>0</v>
      </c>
      <c r="M405" s="12" t="n">
        <f aca="false">IF(H405="Closed Won",1,0)</f>
        <v>0</v>
      </c>
    </row>
    <row r="406" customFormat="false" ht="15" hidden="false" customHeight="false" outlineLevel="0" collapsed="false">
      <c r="A406" s="0" t="str">
        <f aca="false">CRM_Raw!A406</f>
        <v>D-10402</v>
      </c>
      <c r="B406" s="0" t="str">
        <f aca="false">CRM_Raw!B406</f>
        <v>2025-07-07</v>
      </c>
      <c r="C406" s="0" t="n">
        <f aca="false">CRM_Raw!C406</f>
        <v>0</v>
      </c>
      <c r="D406" s="0" t="str">
        <f aca="false">IF(CRM_Raw!D406="DACH","DACH",IF(ISNUMBER(SEARCH("uk",CRM_Raw!D406)),"UK &amp; Ireland",PROPER(CRM_Raw!D406)))</f>
        <v>France</v>
      </c>
      <c r="E406" s="0" t="str">
        <f aca="false">CRM_Raw!E406</f>
        <v>Smart Ovens</v>
      </c>
      <c r="F406" s="0" t="str">
        <f aca="false">CRM_Raw!F406</f>
        <v>Social Media Ads</v>
      </c>
      <c r="G406" s="0" t="str">
        <f aca="false">IF(TRIM(CRM_Raw!G406)="","Unassigned",CRM_Raw!G406)</f>
        <v>J. Murphy</v>
      </c>
      <c r="H406" s="0" t="str">
        <f aca="false">CRM_Raw!H406</f>
        <v>Qualified</v>
      </c>
      <c r="I406" s="10" t="n">
        <f aca="false">CRM_Raw!I406</f>
        <v>950.16</v>
      </c>
      <c r="J406" s="11" t="n">
        <f aca="false">CRM_Raw!J406</f>
        <v>0</v>
      </c>
      <c r="K406" s="10" t="n">
        <f aca="false">I406*(1-J406)</f>
        <v>950.16</v>
      </c>
      <c r="L406" s="12" t="n">
        <f aca="false">CRM_Raw!K406</f>
        <v>0</v>
      </c>
      <c r="M406" s="12" t="n">
        <f aca="false">IF(H406="Closed Won",1,0)</f>
        <v>0</v>
      </c>
    </row>
    <row r="407" customFormat="false" ht="15" hidden="false" customHeight="false" outlineLevel="0" collapsed="false">
      <c r="A407" s="0" t="str">
        <f aca="false">CRM_Raw!A407</f>
        <v>D-10403</v>
      </c>
      <c r="B407" s="0" t="str">
        <f aca="false">CRM_Raw!B407</f>
        <v>2026-03-07</v>
      </c>
      <c r="C407" s="0" t="n">
        <f aca="false">CRM_Raw!C407</f>
        <v>0</v>
      </c>
      <c r="D407" s="0" t="str">
        <f aca="false">IF(CRM_Raw!D407="DACH","DACH",IF(ISNUMBER(SEARCH("uk",CRM_Raw!D407)),"UK &amp; Ireland",PROPER(CRM_Raw!D407)))</f>
        <v>France</v>
      </c>
      <c r="E407" s="0" t="str">
        <f aca="false">CRM_Raw!E407</f>
        <v>Coffee Systems</v>
      </c>
      <c r="F407" s="0" t="str">
        <f aca="false">CRM_Raw!F407</f>
        <v>Affiliate Partner</v>
      </c>
      <c r="G407" s="0" t="str">
        <f aca="false">IF(TRIM(CRM_Raw!G407)="","Unassigned",CRM_Raw!G407)</f>
        <v>J. Murphy</v>
      </c>
      <c r="H407" s="0" t="str">
        <f aca="false">CRM_Raw!H407</f>
        <v>Proposal Sent</v>
      </c>
      <c r="I407" s="10" t="n">
        <f aca="false">CRM_Raw!I407</f>
        <v>508.49</v>
      </c>
      <c r="J407" s="11" t="n">
        <f aca="false">CRM_Raw!J407</f>
        <v>0.1</v>
      </c>
      <c r="K407" s="10" t="n">
        <f aca="false">I407*(1-J407)</f>
        <v>457.641</v>
      </c>
      <c r="L407" s="12" t="n">
        <f aca="false">CRM_Raw!K407</f>
        <v>0</v>
      </c>
      <c r="M407" s="12" t="n">
        <f aca="false">IF(H407="Closed Won",1,0)</f>
        <v>0</v>
      </c>
    </row>
    <row r="408" customFormat="false" ht="15" hidden="false" customHeight="false" outlineLevel="0" collapsed="false">
      <c r="A408" s="0" t="str">
        <f aca="false">CRM_Raw!A408</f>
        <v>D-10404</v>
      </c>
      <c r="B408" s="0" t="str">
        <f aca="false">CRM_Raw!B408</f>
        <v>2025-02-24</v>
      </c>
      <c r="C408" s="0" t="n">
        <f aca="false">CRM_Raw!C408</f>
        <v>0</v>
      </c>
      <c r="D408" s="0" t="str">
        <f aca="false">IF(CRM_Raw!D408="DACH","DACH",IF(ISNUMBER(SEARCH("uk",CRM_Raw!D408)),"UK &amp; Ireland",PROPER(CRM_Raw!D408)))</f>
        <v>France</v>
      </c>
      <c r="E408" s="0" t="str">
        <f aca="false">CRM_Raw!E408</f>
        <v>Dishwashers</v>
      </c>
      <c r="F408" s="0" t="str">
        <f aca="false">CRM_Raw!F408</f>
        <v>Retail Referral</v>
      </c>
      <c r="G408" s="0" t="str">
        <f aca="false">IF(TRIM(CRM_Raw!G408)="","Unassigned",CRM_Raw!G408)</f>
        <v>T. Wagner</v>
      </c>
      <c r="H408" s="0" t="str">
        <f aca="false">CRM_Raw!H408</f>
        <v>Proposal Sent</v>
      </c>
      <c r="I408" s="10" t="n">
        <f aca="false">CRM_Raw!I408</f>
        <v>2211.55</v>
      </c>
      <c r="J408" s="11" t="n">
        <f aca="false">CRM_Raw!J408</f>
        <v>0</v>
      </c>
      <c r="K408" s="10" t="n">
        <f aca="false">I408*(1-J408)</f>
        <v>2211.55</v>
      </c>
      <c r="L408" s="12" t="n">
        <f aca="false">CRM_Raw!K408</f>
        <v>0</v>
      </c>
      <c r="M408" s="12" t="n">
        <f aca="false">IF(H408="Closed Won",1,0)</f>
        <v>0</v>
      </c>
    </row>
    <row r="409" customFormat="false" ht="15" hidden="false" customHeight="false" outlineLevel="0" collapsed="false">
      <c r="A409" s="0" t="str">
        <f aca="false">CRM_Raw!A409</f>
        <v>D-10405</v>
      </c>
      <c r="B409" s="0" t="str">
        <f aca="false">CRM_Raw!B409</f>
        <v>2025-11-02</v>
      </c>
      <c r="C409" s="0" t="str">
        <f aca="false">CRM_Raw!C409</f>
        <v>2025-11-05</v>
      </c>
      <c r="D409" s="0" t="str">
        <f aca="false">IF(CRM_Raw!D409="DACH","DACH",IF(ISNUMBER(SEARCH("uk",CRM_Raw!D409)),"UK &amp; Ireland",PROPER(CRM_Raw!D409)))</f>
        <v>Benelux</v>
      </c>
      <c r="E409" s="0" t="str">
        <f aca="false">CRM_Raw!E409</f>
        <v>Coffee Systems</v>
      </c>
      <c r="F409" s="0" t="str">
        <f aca="false">CRM_Raw!F409</f>
        <v>Social Media Ads</v>
      </c>
      <c r="G409" s="0" t="str">
        <f aca="false">IF(TRIM(CRM_Raw!G409)="","Unassigned",CRM_Raw!G409)</f>
        <v>K. Nilsson</v>
      </c>
      <c r="H409" s="0" t="str">
        <f aca="false">CRM_Raw!H409</f>
        <v>Closed Lost</v>
      </c>
      <c r="I409" s="10" t="n">
        <f aca="false">CRM_Raw!I409</f>
        <v>576.61</v>
      </c>
      <c r="J409" s="11" t="n">
        <f aca="false">CRM_Raw!J409</f>
        <v>0</v>
      </c>
      <c r="K409" s="10" t="n">
        <f aca="false">I409*(1-J409)</f>
        <v>576.61</v>
      </c>
      <c r="L409" s="12" t="n">
        <f aca="false">CRM_Raw!K409</f>
        <v>3</v>
      </c>
      <c r="M409" s="12" t="n">
        <f aca="false">IF(H409="Closed Won",1,0)</f>
        <v>0</v>
      </c>
    </row>
    <row r="410" customFormat="false" ht="15" hidden="false" customHeight="false" outlineLevel="0" collapsed="false">
      <c r="A410" s="0" t="str">
        <f aca="false">CRM_Raw!A410</f>
        <v>D-10406</v>
      </c>
      <c r="B410" s="0" t="str">
        <f aca="false">CRM_Raw!B410</f>
        <v>2025-05-27</v>
      </c>
      <c r="C410" s="0" t="str">
        <f aca="false">CRM_Raw!C410</f>
        <v>2025-06-13</v>
      </c>
      <c r="D410" s="0" t="str">
        <f aca="false">IF(CRM_Raw!D410="DACH","DACH",IF(ISNUMBER(SEARCH("uk",CRM_Raw!D410)),"UK &amp; Ireland",PROPER(CRM_Raw!D410)))</f>
        <v>UK &amp; Ireland</v>
      </c>
      <c r="E410" s="0" t="str">
        <f aca="false">CRM_Raw!E410</f>
        <v>Cordless Vacuums</v>
      </c>
      <c r="F410" s="0" t="str">
        <f aca="false">CRM_Raw!F410</f>
        <v>Paid Search</v>
      </c>
      <c r="G410" s="0" t="str">
        <f aca="false">IF(TRIM(CRM_Raw!G410)="","Unassigned",CRM_Raw!G410)</f>
        <v>T. Wagner</v>
      </c>
      <c r="H410" s="0" t="str">
        <f aca="false">CRM_Raw!H410</f>
        <v>Closed Won</v>
      </c>
      <c r="I410" s="10" t="n">
        <f aca="false">CRM_Raw!I410</f>
        <v>364.65</v>
      </c>
      <c r="J410" s="11" t="n">
        <f aca="false">CRM_Raw!J410</f>
        <v>0</v>
      </c>
      <c r="K410" s="10" t="n">
        <f aca="false">I410*(1-J410)</f>
        <v>364.65</v>
      </c>
      <c r="L410" s="12" t="n">
        <f aca="false">CRM_Raw!K410</f>
        <v>17</v>
      </c>
      <c r="M410" s="12" t="n">
        <f aca="false">IF(H410="Closed Won",1,0)</f>
        <v>1</v>
      </c>
    </row>
    <row r="411" customFormat="false" ht="15" hidden="false" customHeight="false" outlineLevel="0" collapsed="false">
      <c r="A411" s="0" t="str">
        <f aca="false">CRM_Raw!A411</f>
        <v>D-10407</v>
      </c>
      <c r="B411" s="0" t="str">
        <f aca="false">CRM_Raw!B411</f>
        <v>2025-08-03</v>
      </c>
      <c r="C411" s="0" t="n">
        <f aca="false">CRM_Raw!C411</f>
        <v>0</v>
      </c>
      <c r="D411" s="0" t="str">
        <f aca="false">IF(CRM_Raw!D411="DACH","DACH",IF(ISNUMBER(SEARCH("uk",CRM_Raw!D411)),"UK &amp; Ireland",PROPER(CRM_Raw!D411)))</f>
        <v>Southern Europe</v>
      </c>
      <c r="E411" s="0" t="str">
        <f aca="false">CRM_Raw!E411</f>
        <v>Smart Ovens</v>
      </c>
      <c r="F411" s="0" t="str">
        <f aca="false">CRM_Raw!F411</f>
        <v>Web-shop Organic</v>
      </c>
      <c r="G411" s="0" t="str">
        <f aca="false">IF(TRIM(CRM_Raw!G411)="","Unassigned",CRM_Raw!G411)</f>
        <v>J. Murphy</v>
      </c>
      <c r="H411" s="0" t="str">
        <f aca="false">CRM_Raw!H411</f>
        <v>Proposal Sent</v>
      </c>
      <c r="I411" s="10" t="n">
        <f aca="false">CRM_Raw!I411</f>
        <v>799.01</v>
      </c>
      <c r="J411" s="11" t="n">
        <f aca="false">CRM_Raw!J411</f>
        <v>0.05</v>
      </c>
      <c r="K411" s="10" t="n">
        <f aca="false">I411*(1-J411)</f>
        <v>759.0595</v>
      </c>
      <c r="L411" s="12" t="n">
        <f aca="false">CRM_Raw!K411</f>
        <v>0</v>
      </c>
      <c r="M411" s="12" t="n">
        <f aca="false">IF(H411="Closed Won",1,0)</f>
        <v>0</v>
      </c>
    </row>
    <row r="412" customFormat="false" ht="15" hidden="false" customHeight="false" outlineLevel="0" collapsed="false">
      <c r="A412" s="0" t="str">
        <f aca="false">CRM_Raw!A412</f>
        <v>D-10408</v>
      </c>
      <c r="B412" s="0" t="str">
        <f aca="false">CRM_Raw!B412</f>
        <v>2026-03-16</v>
      </c>
      <c r="C412" s="0" t="str">
        <f aca="false">CRM_Raw!C412</f>
        <v>2026-03-21</v>
      </c>
      <c r="D412" s="0" t="str">
        <f aca="false">IF(CRM_Raw!D412="DACH","DACH",IF(ISNUMBER(SEARCH("uk",CRM_Raw!D412)),"UK &amp; Ireland",PROPER(CRM_Raw!D412)))</f>
        <v>North America</v>
      </c>
      <c r="E412" s="0" t="str">
        <f aca="false">CRM_Raw!E412</f>
        <v>Smart Ovens</v>
      </c>
      <c r="F412" s="0" t="str">
        <f aca="false">CRM_Raw!F412</f>
        <v>Web-shop Organic</v>
      </c>
      <c r="G412" s="0" t="str">
        <f aca="false">IF(TRIM(CRM_Raw!G412)="","Unassigned",CRM_Raw!G412)</f>
        <v>K. Nilsson</v>
      </c>
      <c r="H412" s="0" t="str">
        <f aca="false">CRM_Raw!H412</f>
        <v>Closed Lost</v>
      </c>
      <c r="I412" s="10" t="n">
        <f aca="false">CRM_Raw!I412</f>
        <v>1927.5</v>
      </c>
      <c r="J412" s="11" t="n">
        <f aca="false">CRM_Raw!J412</f>
        <v>0</v>
      </c>
      <c r="K412" s="10" t="n">
        <f aca="false">I412*(1-J412)</f>
        <v>1927.5</v>
      </c>
      <c r="L412" s="12" t="n">
        <f aca="false">CRM_Raw!K412</f>
        <v>5</v>
      </c>
      <c r="M412" s="12" t="n">
        <f aca="false">IF(H412="Closed Won",1,0)</f>
        <v>0</v>
      </c>
    </row>
    <row r="413" customFormat="false" ht="15" hidden="false" customHeight="false" outlineLevel="0" collapsed="false">
      <c r="A413" s="0" t="str">
        <f aca="false">CRM_Raw!A413</f>
        <v>D-10409</v>
      </c>
      <c r="B413" s="0" t="str">
        <f aca="false">CRM_Raw!B413</f>
        <v>2025-01-15</v>
      </c>
      <c r="C413" s="0" t="n">
        <f aca="false">CRM_Raw!C413</f>
        <v>0</v>
      </c>
      <c r="D413" s="0" t="str">
        <f aca="false">IF(CRM_Raw!D413="DACH","DACH",IF(ISNUMBER(SEARCH("uk",CRM_Raw!D413)),"UK &amp; Ireland",PROPER(CRM_Raw!D413)))</f>
        <v>DACH</v>
      </c>
      <c r="E413" s="0" t="str">
        <f aca="false">CRM_Raw!E413</f>
        <v>Washing Machines</v>
      </c>
      <c r="F413" s="0" t="str">
        <f aca="false">CRM_Raw!F413</f>
        <v>Web-shop Organic</v>
      </c>
      <c r="G413" s="0" t="str">
        <f aca="false">IF(TRIM(CRM_Raw!G413)="","Unassigned",CRM_Raw!G413)</f>
        <v>P. Rossi</v>
      </c>
      <c r="H413" s="0" t="str">
        <f aca="false">CRM_Raw!H413</f>
        <v>Qualified</v>
      </c>
      <c r="I413" s="10" t="n">
        <f aca="false">CRM_Raw!I413</f>
        <v>2147.49</v>
      </c>
      <c r="J413" s="11" t="n">
        <f aca="false">CRM_Raw!J413</f>
        <v>0</v>
      </c>
      <c r="K413" s="10" t="n">
        <f aca="false">I413*(1-J413)</f>
        <v>2147.49</v>
      </c>
      <c r="L413" s="12" t="n">
        <f aca="false">CRM_Raw!K413</f>
        <v>0</v>
      </c>
      <c r="M413" s="12" t="n">
        <f aca="false">IF(H413="Closed Won",1,0)</f>
        <v>0</v>
      </c>
    </row>
    <row r="414" customFormat="false" ht="15" hidden="false" customHeight="false" outlineLevel="0" collapsed="false">
      <c r="A414" s="0" t="str">
        <f aca="false">CRM_Raw!A414</f>
        <v>D-10410</v>
      </c>
      <c r="B414" s="0" t="str">
        <f aca="false">CRM_Raw!B414</f>
        <v>2025-08-20</v>
      </c>
      <c r="C414" s="0" t="n">
        <f aca="false">CRM_Raw!C414</f>
        <v>0</v>
      </c>
      <c r="D414" s="0" t="str">
        <f aca="false">IF(CRM_Raw!D414="DACH","DACH",IF(ISNUMBER(SEARCH("uk",CRM_Raw!D414)),"UK &amp; Ireland",PROPER(CRM_Raw!D414)))</f>
        <v>DACH</v>
      </c>
      <c r="E414" s="0" t="str">
        <f aca="false">CRM_Raw!E414</f>
        <v>Small Kitchen Appliances</v>
      </c>
      <c r="F414" s="0" t="str">
        <f aca="false">CRM_Raw!F414</f>
        <v>Web-shop Organic</v>
      </c>
      <c r="G414" s="0" t="str">
        <f aca="false">IF(TRIM(CRM_Raw!G414)="","Unassigned",CRM_Raw!G414)</f>
        <v>S. Andersson</v>
      </c>
      <c r="H414" s="0" t="str">
        <f aca="false">CRM_Raw!H414</f>
        <v>Negotiation</v>
      </c>
      <c r="I414" s="10" t="n">
        <f aca="false">CRM_Raw!I414</f>
        <v>119.87</v>
      </c>
      <c r="J414" s="11" t="n">
        <f aca="false">CRM_Raw!J414</f>
        <v>0</v>
      </c>
      <c r="K414" s="10" t="n">
        <f aca="false">I414*(1-J414)</f>
        <v>119.87</v>
      </c>
      <c r="L414" s="12" t="n">
        <f aca="false">CRM_Raw!K414</f>
        <v>0</v>
      </c>
      <c r="M414" s="12" t="n">
        <f aca="false">IF(H414="Closed Won",1,0)</f>
        <v>0</v>
      </c>
    </row>
    <row r="415" customFormat="false" ht="15" hidden="false" customHeight="false" outlineLevel="0" collapsed="false">
      <c r="A415" s="0" t="str">
        <f aca="false">CRM_Raw!A415</f>
        <v>D-10411</v>
      </c>
      <c r="B415" s="0" t="str">
        <f aca="false">CRM_Raw!B415</f>
        <v>2025-03-08</v>
      </c>
      <c r="C415" s="0" t="n">
        <f aca="false">CRM_Raw!C415</f>
        <v>0</v>
      </c>
      <c r="D415" s="0" t="str">
        <f aca="false">IF(CRM_Raw!D415="DACH","DACH",IF(ISNUMBER(SEARCH("uk",CRM_Raw!D415)),"UK &amp; Ireland",PROPER(CRM_Raw!D415)))</f>
        <v>Benelux</v>
      </c>
      <c r="E415" s="0" t="str">
        <f aca="false">CRM_Raw!E415</f>
        <v>Washing Machines</v>
      </c>
      <c r="F415" s="0" t="str">
        <f aca="false">CRM_Raw!F415</f>
        <v>Social Media Ads</v>
      </c>
      <c r="G415" s="0" t="str">
        <f aca="false">IF(TRIM(CRM_Raw!G415)="","Unassigned",CRM_Raw!G415)</f>
        <v>M. Hoffmann</v>
      </c>
      <c r="H415" s="0" t="str">
        <f aca="false">CRM_Raw!H415</f>
        <v>Proposal Sent</v>
      </c>
      <c r="I415" s="10" t="n">
        <f aca="false">CRM_Raw!I415</f>
        <v>642.09</v>
      </c>
      <c r="J415" s="11" t="n">
        <f aca="false">CRM_Raw!J415</f>
        <v>0.05</v>
      </c>
      <c r="K415" s="10" t="n">
        <f aca="false">I415*(1-J415)</f>
        <v>609.9855</v>
      </c>
      <c r="L415" s="12" t="n">
        <f aca="false">CRM_Raw!K415</f>
        <v>0</v>
      </c>
      <c r="M415" s="12" t="n">
        <f aca="false">IF(H415="Closed Won",1,0)</f>
        <v>0</v>
      </c>
    </row>
    <row r="416" customFormat="false" ht="15" hidden="false" customHeight="false" outlineLevel="0" collapsed="false">
      <c r="A416" s="0" t="str">
        <f aca="false">CRM_Raw!A416</f>
        <v>D-10412</v>
      </c>
      <c r="B416" s="0" t="str">
        <f aca="false">CRM_Raw!B416</f>
        <v>2026-03-21</v>
      </c>
      <c r="C416" s="0" t="n">
        <f aca="false">CRM_Raw!C416</f>
        <v>0</v>
      </c>
      <c r="D416" s="0" t="str">
        <f aca="false">IF(CRM_Raw!D416="DACH","DACH",IF(ISNUMBER(SEARCH("uk",CRM_Raw!D416)),"UK &amp; Ireland",PROPER(CRM_Raw!D416)))</f>
        <v>Southern Europe</v>
      </c>
      <c r="E416" s="0" t="str">
        <f aca="false">CRM_Raw!E416</f>
        <v>Washing Machines</v>
      </c>
      <c r="F416" s="0" t="str">
        <f aca="false">CRM_Raw!F416</f>
        <v>Social Media Ads</v>
      </c>
      <c r="G416" s="0" t="str">
        <f aca="false">IF(TRIM(CRM_Raw!G416)="","Unassigned",CRM_Raw!G416)</f>
        <v>P. Rossi</v>
      </c>
      <c r="H416" s="0" t="str">
        <f aca="false">CRM_Raw!H416</f>
        <v>Qualified</v>
      </c>
      <c r="I416" s="10" t="n">
        <f aca="false">CRM_Raw!I416</f>
        <v>754.19</v>
      </c>
      <c r="J416" s="11" t="n">
        <f aca="false">CRM_Raw!J416</f>
        <v>0.05</v>
      </c>
      <c r="K416" s="10" t="n">
        <f aca="false">I416*(1-J416)</f>
        <v>716.4805</v>
      </c>
      <c r="L416" s="12" t="n">
        <f aca="false">CRM_Raw!K416</f>
        <v>0</v>
      </c>
      <c r="M416" s="12" t="n">
        <f aca="false">IF(H416="Closed Won",1,0)</f>
        <v>0</v>
      </c>
    </row>
    <row r="417" customFormat="false" ht="15" hidden="false" customHeight="false" outlineLevel="0" collapsed="false">
      <c r="A417" s="0" t="str">
        <f aca="false">CRM_Raw!A417</f>
        <v>D-10413</v>
      </c>
      <c r="B417" s="0" t="str">
        <f aca="false">CRM_Raw!B417</f>
        <v>2025-01-20</v>
      </c>
      <c r="C417" s="0" t="str">
        <f aca="false">CRM_Raw!C417</f>
        <v>2025-02-09</v>
      </c>
      <c r="D417" s="0" t="str">
        <f aca="false">IF(CRM_Raw!D417="DACH","DACH",IF(ISNUMBER(SEARCH("uk",CRM_Raw!D417)),"UK &amp; Ireland",PROPER(CRM_Raw!D417)))</f>
        <v>France</v>
      </c>
      <c r="E417" s="0" t="str">
        <f aca="false">CRM_Raw!E417</f>
        <v>Coffee Systems</v>
      </c>
      <c r="F417" s="0" t="str">
        <f aca="false">CRM_Raw!F417</f>
        <v>Web-shop Organic</v>
      </c>
      <c r="G417" s="0" t="str">
        <f aca="false">IF(TRIM(CRM_Raw!G417)="","Unassigned",CRM_Raw!G417)</f>
        <v>Unassigned</v>
      </c>
      <c r="H417" s="0" t="str">
        <f aca="false">CRM_Raw!H417</f>
        <v>Closed Won</v>
      </c>
      <c r="I417" s="10" t="n">
        <f aca="false">CRM_Raw!I417</f>
        <v>1678.03</v>
      </c>
      <c r="J417" s="11" t="n">
        <f aca="false">CRM_Raw!J417</f>
        <v>0.1</v>
      </c>
      <c r="K417" s="10" t="n">
        <f aca="false">I417*(1-J417)</f>
        <v>1510.227</v>
      </c>
      <c r="L417" s="12" t="n">
        <f aca="false">CRM_Raw!K417</f>
        <v>20</v>
      </c>
      <c r="M417" s="12" t="n">
        <f aca="false">IF(H417="Closed Won",1,0)</f>
        <v>1</v>
      </c>
    </row>
    <row r="418" customFormat="false" ht="15" hidden="false" customHeight="false" outlineLevel="0" collapsed="false">
      <c r="A418" s="0" t="str">
        <f aca="false">CRM_Raw!A418</f>
        <v>D-10414</v>
      </c>
      <c r="B418" s="0" t="str">
        <f aca="false">CRM_Raw!B418</f>
        <v>2026-01-20</v>
      </c>
      <c r="C418" s="0" t="n">
        <f aca="false">CRM_Raw!C418</f>
        <v>0</v>
      </c>
      <c r="D418" s="0" t="str">
        <f aca="false">IF(CRM_Raw!D418="DACH","DACH",IF(ISNUMBER(SEARCH("uk",CRM_Raw!D418)),"UK &amp; Ireland",PROPER(CRM_Raw!D418)))</f>
        <v>UK &amp; Ireland</v>
      </c>
      <c r="E418" s="0" t="str">
        <f aca="false">CRM_Raw!E418</f>
        <v>Smart Ovens</v>
      </c>
      <c r="F418" s="0" t="str">
        <f aca="false">CRM_Raw!F418</f>
        <v>Paid Search</v>
      </c>
      <c r="G418" s="0" t="str">
        <f aca="false">IF(TRIM(CRM_Raw!G418)="","Unassigned",CRM_Raw!G418)</f>
        <v>A. Becker</v>
      </c>
      <c r="H418" s="0" t="str">
        <f aca="false">CRM_Raw!H418</f>
        <v>Proposal Sent</v>
      </c>
      <c r="I418" s="10" t="n">
        <f aca="false">CRM_Raw!I418</f>
        <v>2451.12</v>
      </c>
      <c r="J418" s="11" t="n">
        <f aca="false">CRM_Raw!J418</f>
        <v>0.1</v>
      </c>
      <c r="K418" s="10" t="n">
        <f aca="false">I418*(1-J418)</f>
        <v>2206.008</v>
      </c>
      <c r="L418" s="12" t="n">
        <f aca="false">CRM_Raw!K418</f>
        <v>0</v>
      </c>
      <c r="M418" s="12" t="n">
        <f aca="false">IF(H418="Closed Won",1,0)</f>
        <v>0</v>
      </c>
    </row>
    <row r="419" customFormat="false" ht="15" hidden="false" customHeight="false" outlineLevel="0" collapsed="false">
      <c r="A419" s="0" t="str">
        <f aca="false">CRM_Raw!A419</f>
        <v>D-10415</v>
      </c>
      <c r="B419" s="0" t="str">
        <f aca="false">CRM_Raw!B419</f>
        <v>2025-01-21</v>
      </c>
      <c r="C419" s="0" t="str">
        <f aca="false">CRM_Raw!C419</f>
        <v>2025-02-06</v>
      </c>
      <c r="D419" s="0" t="str">
        <f aca="false">IF(CRM_Raw!D419="DACH","DACH",IF(ISNUMBER(SEARCH("uk",CRM_Raw!D419)),"UK &amp; Ireland",PROPER(CRM_Raw!D419)))</f>
        <v>DACH</v>
      </c>
      <c r="E419" s="0" t="str">
        <f aca="false">CRM_Raw!E419</f>
        <v>Washing Machines</v>
      </c>
      <c r="F419" s="0" t="str">
        <f aca="false">CRM_Raw!F419</f>
        <v>Trade Show</v>
      </c>
      <c r="G419" s="0" t="str">
        <f aca="false">IF(TRIM(CRM_Raw!G419)="","Unassigned",CRM_Raw!G419)</f>
        <v>L. Dubois</v>
      </c>
      <c r="H419" s="0" t="str">
        <f aca="false">CRM_Raw!H419</f>
        <v>Closed Won</v>
      </c>
      <c r="I419" s="10" t="n">
        <f aca="false">CRM_Raw!I419</f>
        <v>1225.53</v>
      </c>
      <c r="J419" s="11" t="n">
        <f aca="false">CRM_Raw!J419</f>
        <v>0.05</v>
      </c>
      <c r="K419" s="10" t="n">
        <f aca="false">I419*(1-J419)</f>
        <v>1164.2535</v>
      </c>
      <c r="L419" s="12" t="n">
        <f aca="false">CRM_Raw!K419</f>
        <v>16</v>
      </c>
      <c r="M419" s="12" t="n">
        <f aca="false">IF(H419="Closed Won",1,0)</f>
        <v>1</v>
      </c>
    </row>
    <row r="420" customFormat="false" ht="15" hidden="false" customHeight="false" outlineLevel="0" collapsed="false">
      <c r="A420" s="0" t="str">
        <f aca="false">CRM_Raw!A420</f>
        <v>D-10416</v>
      </c>
      <c r="B420" s="0" t="str">
        <f aca="false">CRM_Raw!B420</f>
        <v>2025-07-30</v>
      </c>
      <c r="C420" s="0" t="n">
        <f aca="false">CRM_Raw!C420</f>
        <v>0</v>
      </c>
      <c r="D420" s="0" t="str">
        <f aca="false">IF(CRM_Raw!D420="DACH","DACH",IF(ISNUMBER(SEARCH("uk",CRM_Raw!D420)),"UK &amp; Ireland",PROPER(CRM_Raw!D420)))</f>
        <v>DACH</v>
      </c>
      <c r="E420" s="0" t="str">
        <f aca="false">CRM_Raw!E420</f>
        <v>Washing Machines</v>
      </c>
      <c r="F420" s="0" t="str">
        <f aca="false">CRM_Raw!F420</f>
        <v>Paid Search</v>
      </c>
      <c r="G420" s="0" t="str">
        <f aca="false">IF(TRIM(CRM_Raw!G420)="","Unassigned",CRM_Raw!G420)</f>
        <v>M. Hoffmann</v>
      </c>
      <c r="H420" s="0" t="str">
        <f aca="false">CRM_Raw!H420</f>
        <v>Negotiation</v>
      </c>
      <c r="I420" s="10" t="n">
        <f aca="false">CRM_Raw!I420</f>
        <v>695.49</v>
      </c>
      <c r="J420" s="11" t="n">
        <f aca="false">CRM_Raw!J420</f>
        <v>0.05</v>
      </c>
      <c r="K420" s="10" t="n">
        <f aca="false">I420*(1-J420)</f>
        <v>660.7155</v>
      </c>
      <c r="L420" s="12" t="n">
        <f aca="false">CRM_Raw!K420</f>
        <v>0</v>
      </c>
      <c r="M420" s="12" t="n">
        <f aca="false">IF(H420="Closed Won",1,0)</f>
        <v>0</v>
      </c>
    </row>
    <row r="421" customFormat="false" ht="15" hidden="false" customHeight="false" outlineLevel="0" collapsed="false">
      <c r="A421" s="0" t="str">
        <f aca="false">CRM_Raw!A421</f>
        <v>D-10417</v>
      </c>
      <c r="B421" s="0" t="str">
        <f aca="false">CRM_Raw!B421</f>
        <v>2025-05-21</v>
      </c>
      <c r="C421" s="0" t="str">
        <f aca="false">CRM_Raw!C421</f>
        <v>2025-06-19</v>
      </c>
      <c r="D421" s="0" t="str">
        <f aca="false">IF(CRM_Raw!D421="DACH","DACH",IF(ISNUMBER(SEARCH("uk",CRM_Raw!D421)),"UK &amp; Ireland",PROPER(CRM_Raw!D421)))</f>
        <v>Southern Europe</v>
      </c>
      <c r="E421" s="0" t="str">
        <f aca="false">CRM_Raw!E421</f>
        <v>Smart Ovens</v>
      </c>
      <c r="F421" s="0" t="str">
        <f aca="false">CRM_Raw!F421</f>
        <v>Affiliate Partner</v>
      </c>
      <c r="G421" s="0" t="str">
        <f aca="false">IF(TRIM(CRM_Raw!G421)="","Unassigned",CRM_Raw!G421)</f>
        <v>J. Murphy</v>
      </c>
      <c r="H421" s="0" t="str">
        <f aca="false">CRM_Raw!H421</f>
        <v>Closed Lost</v>
      </c>
      <c r="I421" s="10" t="n">
        <f aca="false">CRM_Raw!I421</f>
        <v>891.87</v>
      </c>
      <c r="J421" s="11" t="n">
        <f aca="false">CRM_Raw!J421</f>
        <v>0</v>
      </c>
      <c r="K421" s="10" t="n">
        <f aca="false">I421*(1-J421)</f>
        <v>891.87</v>
      </c>
      <c r="L421" s="12" t="n">
        <f aca="false">CRM_Raw!K421</f>
        <v>29</v>
      </c>
      <c r="M421" s="12" t="n">
        <f aca="false">IF(H421="Closed Won",1,0)</f>
        <v>0</v>
      </c>
    </row>
    <row r="422" customFormat="false" ht="15" hidden="false" customHeight="false" outlineLevel="0" collapsed="false">
      <c r="A422" s="0" t="str">
        <f aca="false">CRM_Raw!A422</f>
        <v>D-10418</v>
      </c>
      <c r="B422" s="0" t="str">
        <f aca="false">CRM_Raw!B422</f>
        <v>2025-09-27</v>
      </c>
      <c r="C422" s="0" t="n">
        <f aca="false">CRM_Raw!C422</f>
        <v>0</v>
      </c>
      <c r="D422" s="0" t="str">
        <f aca="false">IF(CRM_Raw!D422="DACH","DACH",IF(ISNUMBER(SEARCH("uk",CRM_Raw!D422)),"UK &amp; Ireland",PROPER(CRM_Raw!D422)))</f>
        <v>North America</v>
      </c>
      <c r="E422" s="0" t="str">
        <f aca="false">CRM_Raw!E422</f>
        <v>Smart Ovens</v>
      </c>
      <c r="F422" s="0" t="str">
        <f aca="false">CRM_Raw!F422</f>
        <v>Social Media Ads</v>
      </c>
      <c r="G422" s="0" t="str">
        <f aca="false">IF(TRIM(CRM_Raw!G422)="","Unassigned",CRM_Raw!G422)</f>
        <v>S. Andersson</v>
      </c>
      <c r="H422" s="0" t="str">
        <f aca="false">CRM_Raw!H422</f>
        <v>Proposal Sent</v>
      </c>
      <c r="I422" s="10" t="n">
        <f aca="false">CRM_Raw!I422</f>
        <v>965.36</v>
      </c>
      <c r="J422" s="11" t="n">
        <f aca="false">CRM_Raw!J422</f>
        <v>0.15</v>
      </c>
      <c r="K422" s="10" t="n">
        <f aca="false">I422*(1-J422)</f>
        <v>820.556</v>
      </c>
      <c r="L422" s="12" t="n">
        <f aca="false">CRM_Raw!K422</f>
        <v>0</v>
      </c>
      <c r="M422" s="12" t="n">
        <f aca="false">IF(H422="Closed Won",1,0)</f>
        <v>0</v>
      </c>
    </row>
    <row r="423" customFormat="false" ht="15" hidden="false" customHeight="false" outlineLevel="0" collapsed="false">
      <c r="A423" s="0" t="str">
        <f aca="false">CRM_Raw!A423</f>
        <v>D-10419</v>
      </c>
      <c r="B423" s="0" t="str">
        <f aca="false">CRM_Raw!B423</f>
        <v>2025-08-01</v>
      </c>
      <c r="C423" s="0" t="n">
        <f aca="false">CRM_Raw!C423</f>
        <v>0</v>
      </c>
      <c r="D423" s="0" t="str">
        <f aca="false">IF(CRM_Raw!D423="DACH","DACH",IF(ISNUMBER(SEARCH("uk",CRM_Raw!D423)),"UK &amp; Ireland",PROPER(CRM_Raw!D423)))</f>
        <v>Benelux</v>
      </c>
      <c r="E423" s="0" t="str">
        <f aca="false">CRM_Raw!E423</f>
        <v>Cordless Vacuums</v>
      </c>
      <c r="F423" s="0" t="str">
        <f aca="false">CRM_Raw!F423</f>
        <v>Web-shop Organic</v>
      </c>
      <c r="G423" s="0" t="str">
        <f aca="false">IF(TRIM(CRM_Raw!G423)="","Unassigned",CRM_Raw!G423)</f>
        <v>T. Wagner</v>
      </c>
      <c r="H423" s="0" t="str">
        <f aca="false">CRM_Raw!H423</f>
        <v>Negotiation</v>
      </c>
      <c r="I423" s="10" t="n">
        <f aca="false">CRM_Raw!I423</f>
        <v>364.05</v>
      </c>
      <c r="J423" s="11" t="n">
        <f aca="false">CRM_Raw!J423</f>
        <v>0</v>
      </c>
      <c r="K423" s="10" t="n">
        <f aca="false">I423*(1-J423)</f>
        <v>364.05</v>
      </c>
      <c r="L423" s="12" t="n">
        <f aca="false">CRM_Raw!K423</f>
        <v>0</v>
      </c>
      <c r="M423" s="12" t="n">
        <f aca="false">IF(H423="Closed Won",1,0)</f>
        <v>0</v>
      </c>
    </row>
    <row r="424" customFormat="false" ht="15" hidden="false" customHeight="false" outlineLevel="0" collapsed="false">
      <c r="A424" s="0" t="str">
        <f aca="false">CRM_Raw!A424</f>
        <v>D-10420</v>
      </c>
      <c r="B424" s="0" t="str">
        <f aca="false">CRM_Raw!B424</f>
        <v>2026-05-21</v>
      </c>
      <c r="C424" s="0" t="str">
        <f aca="false">CRM_Raw!C424</f>
        <v>2026-06-01</v>
      </c>
      <c r="D424" s="0" t="str">
        <f aca="false">IF(CRM_Raw!D424="DACH","DACH",IF(ISNUMBER(SEARCH("uk",CRM_Raw!D424)),"UK &amp; Ireland",PROPER(CRM_Raw!D424)))</f>
        <v>DACH</v>
      </c>
      <c r="E424" s="0" t="str">
        <f aca="false">CRM_Raw!E424</f>
        <v>Small Kitchen Appliances</v>
      </c>
      <c r="F424" s="0" t="str">
        <f aca="false">CRM_Raw!F424</f>
        <v>Web-shop Organic</v>
      </c>
      <c r="G424" s="0" t="str">
        <f aca="false">IF(TRIM(CRM_Raw!G424)="","Unassigned",CRM_Raw!G424)</f>
        <v>L. Dubois</v>
      </c>
      <c r="H424" s="0" t="str">
        <f aca="false">CRM_Raw!H424</f>
        <v>Closed Won</v>
      </c>
      <c r="I424" s="10" t="n">
        <f aca="false">CRM_Raw!I424</f>
        <v>336.97</v>
      </c>
      <c r="J424" s="11" t="n">
        <f aca="false">CRM_Raw!J424</f>
        <v>0</v>
      </c>
      <c r="K424" s="10" t="n">
        <f aca="false">I424*(1-J424)</f>
        <v>336.97</v>
      </c>
      <c r="L424" s="12" t="n">
        <f aca="false">CRM_Raw!K424</f>
        <v>14</v>
      </c>
      <c r="M424" s="12" t="n">
        <f aca="false">IF(H424="Closed Won",1,0)</f>
        <v>1</v>
      </c>
    </row>
    <row r="425" customFormat="false" ht="15" hidden="false" customHeight="false" outlineLevel="0" collapsed="false">
      <c r="A425" s="0" t="str">
        <f aca="false">CRM_Raw!A425</f>
        <v>D-10421</v>
      </c>
      <c r="B425" s="0" t="str">
        <f aca="false">CRM_Raw!B425</f>
        <v>2025-08-25</v>
      </c>
      <c r="C425" s="0" t="str">
        <f aca="false">CRM_Raw!C425</f>
        <v>2025-09-21</v>
      </c>
      <c r="D425" s="0" t="str">
        <f aca="false">IF(CRM_Raw!D425="DACH","DACH",IF(ISNUMBER(SEARCH("uk",CRM_Raw!D425)),"UK &amp; Ireland",PROPER(CRM_Raw!D425)))</f>
        <v>Southern Europe</v>
      </c>
      <c r="E425" s="0" t="str">
        <f aca="false">CRM_Raw!E425</f>
        <v>Small Kitchen Appliances</v>
      </c>
      <c r="F425" s="0" t="str">
        <f aca="false">CRM_Raw!F425</f>
        <v>Web-shop Organic</v>
      </c>
      <c r="G425" s="0" t="str">
        <f aca="false">IF(TRIM(CRM_Raw!G425)="","Unassigned",CRM_Raw!G425)</f>
        <v>J. Murphy</v>
      </c>
      <c r="H425" s="0" t="str">
        <f aca="false">CRM_Raw!H425</f>
        <v>Closed Lost</v>
      </c>
      <c r="I425" s="10" t="n">
        <f aca="false">CRM_Raw!I425</f>
        <v>111.14</v>
      </c>
      <c r="J425" s="11" t="n">
        <f aca="false">CRM_Raw!J425</f>
        <v>0.2</v>
      </c>
      <c r="K425" s="10" t="n">
        <f aca="false">I425*(1-J425)</f>
        <v>88.912</v>
      </c>
      <c r="L425" s="12" t="n">
        <f aca="false">CRM_Raw!K425</f>
        <v>27</v>
      </c>
      <c r="M425" s="12" t="n">
        <f aca="false">IF(H425="Closed Won",1,0)</f>
        <v>0</v>
      </c>
    </row>
    <row r="426" customFormat="false" ht="15" hidden="false" customHeight="false" outlineLevel="0" collapsed="false">
      <c r="A426" s="0" t="str">
        <f aca="false">CRM_Raw!A426</f>
        <v>D-10422</v>
      </c>
      <c r="B426" s="0" t="str">
        <f aca="false">CRM_Raw!B426</f>
        <v>2026-03-13</v>
      </c>
      <c r="C426" s="0" t="n">
        <f aca="false">CRM_Raw!C426</f>
        <v>0</v>
      </c>
      <c r="D426" s="0" t="str">
        <f aca="false">IF(CRM_Raw!D426="DACH","DACH",IF(ISNUMBER(SEARCH("uk",CRM_Raw!D426)),"UK &amp; Ireland",PROPER(CRM_Raw!D426)))</f>
        <v>DACH</v>
      </c>
      <c r="E426" s="0" t="str">
        <f aca="false">CRM_Raw!E426</f>
        <v>Cordless Vacuums</v>
      </c>
      <c r="F426" s="0" t="str">
        <f aca="false">CRM_Raw!F426</f>
        <v>Paid Search</v>
      </c>
      <c r="G426" s="0" t="str">
        <f aca="false">IF(TRIM(CRM_Raw!G426)="","Unassigned",CRM_Raw!G426)</f>
        <v>P. Rossi</v>
      </c>
      <c r="H426" s="0" t="str">
        <f aca="false">CRM_Raw!H426</f>
        <v>Negotiation</v>
      </c>
      <c r="I426" s="10" t="n">
        <f aca="false">CRM_Raw!I426</f>
        <v>330.43</v>
      </c>
      <c r="J426" s="11" t="n">
        <f aca="false">CRM_Raw!J426</f>
        <v>0</v>
      </c>
      <c r="K426" s="10" t="n">
        <f aca="false">I426*(1-J426)</f>
        <v>330.43</v>
      </c>
      <c r="L426" s="12" t="n">
        <f aca="false">CRM_Raw!K426</f>
        <v>0</v>
      </c>
      <c r="M426" s="12" t="n">
        <f aca="false">IF(H426="Closed Won",1,0)</f>
        <v>0</v>
      </c>
    </row>
    <row r="427" customFormat="false" ht="15" hidden="false" customHeight="false" outlineLevel="0" collapsed="false">
      <c r="A427" s="0" t="str">
        <f aca="false">CRM_Raw!A427</f>
        <v>D-10423</v>
      </c>
      <c r="B427" s="0" t="str">
        <f aca="false">CRM_Raw!B427</f>
        <v>2025-12-03</v>
      </c>
      <c r="C427" s="0" t="str">
        <f aca="false">CRM_Raw!C427</f>
        <v>2025-12-22</v>
      </c>
      <c r="D427" s="0" t="str">
        <f aca="false">IF(CRM_Raw!D427="DACH","DACH",IF(ISNUMBER(SEARCH("uk",CRM_Raw!D427)),"UK &amp; Ireland",PROPER(CRM_Raw!D427)))</f>
        <v>North America</v>
      </c>
      <c r="E427" s="0" t="str">
        <f aca="false">CRM_Raw!E427</f>
        <v>Coffee Systems</v>
      </c>
      <c r="F427" s="0" t="str">
        <f aca="false">CRM_Raw!F427</f>
        <v>Affiliate Partner</v>
      </c>
      <c r="G427" s="0" t="str">
        <f aca="false">IF(TRIM(CRM_Raw!G427)="","Unassigned",CRM_Raw!G427)</f>
        <v>M. Hoffmann</v>
      </c>
      <c r="H427" s="0" t="str">
        <f aca="false">CRM_Raw!H427</f>
        <v>Closed Won</v>
      </c>
      <c r="I427" s="10" t="n">
        <f aca="false">CRM_Raw!I427</f>
        <v>1565.76</v>
      </c>
      <c r="J427" s="11" t="n">
        <f aca="false">CRM_Raw!J427</f>
        <v>0</v>
      </c>
      <c r="K427" s="10" t="n">
        <f aca="false">I427*(1-J427)</f>
        <v>1565.76</v>
      </c>
      <c r="L427" s="12" t="n">
        <f aca="false">CRM_Raw!K427</f>
        <v>19</v>
      </c>
      <c r="M427" s="12" t="n">
        <f aca="false">IF(H427="Closed Won",1,0)</f>
        <v>1</v>
      </c>
    </row>
    <row r="428" customFormat="false" ht="15" hidden="false" customHeight="false" outlineLevel="0" collapsed="false">
      <c r="A428" s="0" t="str">
        <f aca="false">CRM_Raw!A428</f>
        <v>D-10424</v>
      </c>
      <c r="B428" s="0" t="str">
        <f aca="false">CRM_Raw!B428</f>
        <v>2025-07-07</v>
      </c>
      <c r="C428" s="0" t="str">
        <f aca="false">CRM_Raw!C428</f>
        <v>2025-07-19</v>
      </c>
      <c r="D428" s="0" t="str">
        <f aca="false">IF(CRM_Raw!D428="DACH","DACH",IF(ISNUMBER(SEARCH("uk",CRM_Raw!D428)),"UK &amp; Ireland",PROPER(CRM_Raw!D428)))</f>
        <v>Southern Europe</v>
      </c>
      <c r="E428" s="0" t="str">
        <f aca="false">CRM_Raw!E428</f>
        <v>Smart Ovens</v>
      </c>
      <c r="F428" s="0" t="str">
        <f aca="false">CRM_Raw!F428</f>
        <v>Paid Search</v>
      </c>
      <c r="G428" s="0" t="str">
        <f aca="false">IF(TRIM(CRM_Raw!G428)="","Unassigned",CRM_Raw!G428)</f>
        <v>P. Rossi</v>
      </c>
      <c r="H428" s="0" t="str">
        <f aca="false">CRM_Raw!H428</f>
        <v>Closed Won</v>
      </c>
      <c r="I428" s="10" t="n">
        <f aca="false">CRM_Raw!I428</f>
        <v>1873.9</v>
      </c>
      <c r="J428" s="11" t="n">
        <f aca="false">CRM_Raw!J428</f>
        <v>0.2</v>
      </c>
      <c r="K428" s="10" t="n">
        <f aca="false">I428*(1-J428)</f>
        <v>1499.12</v>
      </c>
      <c r="L428" s="12" t="n">
        <f aca="false">CRM_Raw!K428</f>
        <v>12</v>
      </c>
      <c r="M428" s="12" t="n">
        <f aca="false">IF(H428="Closed Won",1,0)</f>
        <v>1</v>
      </c>
    </row>
    <row r="429" customFormat="false" ht="15" hidden="false" customHeight="false" outlineLevel="0" collapsed="false">
      <c r="A429" s="0" t="str">
        <f aca="false">CRM_Raw!A429</f>
        <v>D-10425</v>
      </c>
      <c r="B429" s="0" t="str">
        <f aca="false">CRM_Raw!B429</f>
        <v>2025-04-26</v>
      </c>
      <c r="C429" s="0" t="str">
        <f aca="false">CRM_Raw!C429</f>
        <v>2025-05-22</v>
      </c>
      <c r="D429" s="0" t="str">
        <f aca="false">IF(CRM_Raw!D429="DACH","DACH",IF(ISNUMBER(SEARCH("uk",CRM_Raw!D429)),"UK &amp; Ireland",PROPER(CRM_Raw!D429)))</f>
        <v>Benelux</v>
      </c>
      <c r="E429" s="0" t="str">
        <f aca="false">CRM_Raw!E429</f>
        <v>Small Kitchen Appliances</v>
      </c>
      <c r="F429" s="0" t="str">
        <f aca="false">CRM_Raw!F429</f>
        <v>Retail Referral</v>
      </c>
      <c r="G429" s="0" t="str">
        <f aca="false">IF(TRIM(CRM_Raw!G429)="","Unassigned",CRM_Raw!G429)</f>
        <v>M. Hoffmann</v>
      </c>
      <c r="H429" s="0" t="str">
        <f aca="false">CRM_Raw!H429</f>
        <v>Closed Won</v>
      </c>
      <c r="I429" s="10" t="n">
        <f aca="false">CRM_Raw!I429</f>
        <v>131.2</v>
      </c>
      <c r="J429" s="11" t="n">
        <f aca="false">CRM_Raw!J429</f>
        <v>0</v>
      </c>
      <c r="K429" s="10" t="n">
        <f aca="false">I429*(1-J429)</f>
        <v>131.2</v>
      </c>
      <c r="L429" s="12" t="n">
        <f aca="false">CRM_Raw!K429</f>
        <v>26</v>
      </c>
      <c r="M429" s="12" t="n">
        <f aca="false">IF(H429="Closed Won",1,0)</f>
        <v>1</v>
      </c>
    </row>
    <row r="430" customFormat="false" ht="15" hidden="false" customHeight="false" outlineLevel="0" collapsed="false">
      <c r="A430" s="0" t="str">
        <f aca="false">CRM_Raw!A430</f>
        <v>D-10426</v>
      </c>
      <c r="B430" s="0" t="str">
        <f aca="false">CRM_Raw!B430</f>
        <v>2025-07-05</v>
      </c>
      <c r="C430" s="0" t="str">
        <f aca="false">CRM_Raw!C430</f>
        <v>2025-07-28</v>
      </c>
      <c r="D430" s="0" t="str">
        <f aca="false">IF(CRM_Raw!D430="DACH","DACH",IF(ISNUMBER(SEARCH("uk",CRM_Raw!D430)),"UK &amp; Ireland",PROPER(CRM_Raw!D430)))</f>
        <v>Benelux</v>
      </c>
      <c r="E430" s="0" t="str">
        <f aca="false">CRM_Raw!E430</f>
        <v>Washing Machines</v>
      </c>
      <c r="F430" s="0" t="str">
        <f aca="false">CRM_Raw!F430</f>
        <v>Social Media Ads</v>
      </c>
      <c r="G430" s="0" t="str">
        <f aca="false">IF(TRIM(CRM_Raw!G430)="","Unassigned",CRM_Raw!G430)</f>
        <v>T. Wagner</v>
      </c>
      <c r="H430" s="0" t="str">
        <f aca="false">CRM_Raw!H430</f>
        <v>Closed Lost</v>
      </c>
      <c r="I430" s="10" t="n">
        <f aca="false">CRM_Raw!I430</f>
        <v>732.83</v>
      </c>
      <c r="J430" s="11" t="n">
        <f aca="false">CRM_Raw!J430</f>
        <v>0.05</v>
      </c>
      <c r="K430" s="10" t="n">
        <f aca="false">I430*(1-J430)</f>
        <v>696.1885</v>
      </c>
      <c r="L430" s="12" t="n">
        <f aca="false">CRM_Raw!K430</f>
        <v>23</v>
      </c>
      <c r="M430" s="12" t="n">
        <f aca="false">IF(H430="Closed Won",1,0)</f>
        <v>0</v>
      </c>
    </row>
    <row r="431" customFormat="false" ht="15" hidden="false" customHeight="false" outlineLevel="0" collapsed="false">
      <c r="A431" s="0" t="str">
        <f aca="false">CRM_Raw!A431</f>
        <v>D-10427</v>
      </c>
      <c r="B431" s="0" t="str">
        <f aca="false">CRM_Raw!B431</f>
        <v>2025-02-17</v>
      </c>
      <c r="C431" s="0" t="str">
        <f aca="false">CRM_Raw!C431</f>
        <v>2025-02-25</v>
      </c>
      <c r="D431" s="0" t="str">
        <f aca="false">IF(CRM_Raw!D431="DACH","DACH",IF(ISNUMBER(SEARCH("uk",CRM_Raw!D431)),"UK &amp; Ireland",PROPER(CRM_Raw!D431)))</f>
        <v>Benelux</v>
      </c>
      <c r="E431" s="0" t="str">
        <f aca="false">CRM_Raw!E431</f>
        <v>Smart Ovens</v>
      </c>
      <c r="F431" s="0" t="str">
        <f aca="false">CRM_Raw!F431</f>
        <v>Retail Referral</v>
      </c>
      <c r="G431" s="0" t="str">
        <f aca="false">IF(TRIM(CRM_Raw!G431)="","Unassigned",CRM_Raw!G431)</f>
        <v>T. Wagner</v>
      </c>
      <c r="H431" s="0" t="str">
        <f aca="false">CRM_Raw!H431</f>
        <v>Closed Won</v>
      </c>
      <c r="I431" s="10" t="n">
        <f aca="false">CRM_Raw!I431</f>
        <v>899.58</v>
      </c>
      <c r="J431" s="11" t="n">
        <f aca="false">CRM_Raw!J431</f>
        <v>0.15</v>
      </c>
      <c r="K431" s="10" t="n">
        <f aca="false">I431*(1-J431)</f>
        <v>764.643</v>
      </c>
      <c r="L431" s="12" t="n">
        <f aca="false">CRM_Raw!K431</f>
        <v>8</v>
      </c>
      <c r="M431" s="12" t="n">
        <f aca="false">IF(H431="Closed Won",1,0)</f>
        <v>1</v>
      </c>
    </row>
    <row r="432" customFormat="false" ht="15" hidden="false" customHeight="false" outlineLevel="0" collapsed="false">
      <c r="A432" s="0" t="str">
        <f aca="false">CRM_Raw!A432</f>
        <v>D-10428</v>
      </c>
      <c r="B432" s="0" t="str">
        <f aca="false">CRM_Raw!B432</f>
        <v>2025-12-13</v>
      </c>
      <c r="C432" s="0" t="str">
        <f aca="false">CRM_Raw!C432</f>
        <v>2025-12-29</v>
      </c>
      <c r="D432" s="0" t="str">
        <f aca="false">IF(CRM_Raw!D432="DACH","DACH",IF(ISNUMBER(SEARCH("uk",CRM_Raw!D432)),"UK &amp; Ireland",PROPER(CRM_Raw!D432)))</f>
        <v>North America</v>
      </c>
      <c r="E432" s="0" t="str">
        <f aca="false">CRM_Raw!E432</f>
        <v>Small Kitchen Appliances</v>
      </c>
      <c r="F432" s="0" t="str">
        <f aca="false">CRM_Raw!F432</f>
        <v>Social Media Ads</v>
      </c>
      <c r="G432" s="0" t="str">
        <f aca="false">IF(TRIM(CRM_Raw!G432)="","Unassigned",CRM_Raw!G432)</f>
        <v>S. Andersson</v>
      </c>
      <c r="H432" s="0" t="str">
        <f aca="false">CRM_Raw!H432</f>
        <v>Closed Lost</v>
      </c>
      <c r="I432" s="10" t="n">
        <f aca="false">CRM_Raw!I432</f>
        <v>122.49</v>
      </c>
      <c r="J432" s="11" t="n">
        <f aca="false">CRM_Raw!J432</f>
        <v>0.05</v>
      </c>
      <c r="K432" s="10" t="n">
        <f aca="false">I432*(1-J432)</f>
        <v>116.3655</v>
      </c>
      <c r="L432" s="12" t="n">
        <f aca="false">CRM_Raw!K432</f>
        <v>16</v>
      </c>
      <c r="M432" s="12" t="n">
        <f aca="false">IF(H432="Closed Won",1,0)</f>
        <v>0</v>
      </c>
    </row>
    <row r="433" customFormat="false" ht="15" hidden="false" customHeight="false" outlineLevel="0" collapsed="false">
      <c r="A433" s="0" t="str">
        <f aca="false">CRM_Raw!A433</f>
        <v>D-10429</v>
      </c>
      <c r="B433" s="0" t="str">
        <f aca="false">CRM_Raw!B433</f>
        <v>2025-06-02</v>
      </c>
      <c r="C433" s="0" t="n">
        <f aca="false">CRM_Raw!C433</f>
        <v>0</v>
      </c>
      <c r="D433" s="0" t="str">
        <f aca="false">IF(CRM_Raw!D433="DACH","DACH",IF(ISNUMBER(SEARCH("uk",CRM_Raw!D433)),"UK &amp; Ireland",PROPER(CRM_Raw!D433)))</f>
        <v>France</v>
      </c>
      <c r="E433" s="0" t="str">
        <f aca="false">CRM_Raw!E433</f>
        <v>Small Kitchen Appliances</v>
      </c>
      <c r="F433" s="0" t="str">
        <f aca="false">CRM_Raw!F433</f>
        <v>Affiliate Partner</v>
      </c>
      <c r="G433" s="0" t="str">
        <f aca="false">IF(TRIM(CRM_Raw!G433)="","Unassigned",CRM_Raw!G433)</f>
        <v>K. Nilsson</v>
      </c>
      <c r="H433" s="0" t="str">
        <f aca="false">CRM_Raw!H433</f>
        <v>Proposal Sent</v>
      </c>
      <c r="I433" s="10" t="n">
        <f aca="false">CRM_Raw!I433</f>
        <v>378.65</v>
      </c>
      <c r="J433" s="11" t="n">
        <f aca="false">CRM_Raw!J433</f>
        <v>0</v>
      </c>
      <c r="K433" s="10" t="n">
        <f aca="false">I433*(1-J433)</f>
        <v>378.65</v>
      </c>
      <c r="L433" s="12" t="n">
        <f aca="false">CRM_Raw!K433</f>
        <v>0</v>
      </c>
      <c r="M433" s="12" t="n">
        <f aca="false">IF(H433="Closed Won",1,0)</f>
        <v>0</v>
      </c>
    </row>
    <row r="434" customFormat="false" ht="15" hidden="false" customHeight="false" outlineLevel="0" collapsed="false">
      <c r="A434" s="0" t="str">
        <f aca="false">CRM_Raw!A434</f>
        <v>D-10430</v>
      </c>
      <c r="B434" s="0" t="str">
        <f aca="false">CRM_Raw!B434</f>
        <v>2026-05-23</v>
      </c>
      <c r="C434" s="0" t="n">
        <f aca="false">CRM_Raw!C434</f>
        <v>0</v>
      </c>
      <c r="D434" s="0" t="str">
        <f aca="false">IF(CRM_Raw!D434="DACH","DACH",IF(ISNUMBER(SEARCH("uk",CRM_Raw!D434)),"UK &amp; Ireland",PROPER(CRM_Raw!D434)))</f>
        <v>DACH</v>
      </c>
      <c r="E434" s="0" t="str">
        <f aca="false">CRM_Raw!E434</f>
        <v>Small Kitchen Appliances</v>
      </c>
      <c r="F434" s="0" t="str">
        <f aca="false">CRM_Raw!F434</f>
        <v>Retail Referral</v>
      </c>
      <c r="G434" s="0" t="str">
        <f aca="false">IF(TRIM(CRM_Raw!G434)="","Unassigned",CRM_Raw!G434)</f>
        <v>T. Wagner</v>
      </c>
      <c r="H434" s="0" t="str">
        <f aca="false">CRM_Raw!H434</f>
        <v>Proposal Sent</v>
      </c>
      <c r="I434" s="10" t="n">
        <f aca="false">CRM_Raw!I434</f>
        <v>223.74</v>
      </c>
      <c r="J434" s="11" t="n">
        <f aca="false">CRM_Raw!J434</f>
        <v>0</v>
      </c>
      <c r="K434" s="10" t="n">
        <f aca="false">I434*(1-J434)</f>
        <v>223.74</v>
      </c>
      <c r="L434" s="12" t="n">
        <f aca="false">CRM_Raw!K434</f>
        <v>0</v>
      </c>
      <c r="M434" s="12" t="n">
        <f aca="false">IF(H434="Closed Won",1,0)</f>
        <v>0</v>
      </c>
    </row>
    <row r="435" customFormat="false" ht="15" hidden="false" customHeight="false" outlineLevel="0" collapsed="false">
      <c r="A435" s="0" t="str">
        <f aca="false">CRM_Raw!A435</f>
        <v>D-10431</v>
      </c>
      <c r="B435" s="0" t="str">
        <f aca="false">CRM_Raw!B435</f>
        <v>2025-08-17</v>
      </c>
      <c r="C435" s="0" t="str">
        <f aca="false">CRM_Raw!C435</f>
        <v>2025-08-26</v>
      </c>
      <c r="D435" s="0" t="str">
        <f aca="false">IF(CRM_Raw!D435="DACH","DACH",IF(ISNUMBER(SEARCH("uk",CRM_Raw!D435)),"UK &amp; Ireland",PROPER(CRM_Raw!D435)))</f>
        <v>UK &amp; Ireland</v>
      </c>
      <c r="E435" s="0" t="str">
        <f aca="false">CRM_Raw!E435</f>
        <v>Cordless Vacuums</v>
      </c>
      <c r="F435" s="0" t="str">
        <f aca="false">CRM_Raw!F435</f>
        <v>Trade Show</v>
      </c>
      <c r="G435" s="0" t="str">
        <f aca="false">IF(TRIM(CRM_Raw!G435)="","Unassigned",CRM_Raw!G435)</f>
        <v>A. Becker</v>
      </c>
      <c r="H435" s="0" t="str">
        <f aca="false">CRM_Raw!H435</f>
        <v>Closed Lost</v>
      </c>
      <c r="I435" s="10" t="n">
        <f aca="false">CRM_Raw!I435</f>
        <v>355.16</v>
      </c>
      <c r="J435" s="11" t="n">
        <f aca="false">CRM_Raw!J435</f>
        <v>0</v>
      </c>
      <c r="K435" s="10" t="n">
        <f aca="false">I435*(1-J435)</f>
        <v>355.16</v>
      </c>
      <c r="L435" s="12" t="n">
        <f aca="false">CRM_Raw!K435</f>
        <v>9</v>
      </c>
      <c r="M435" s="12" t="n">
        <f aca="false">IF(H435="Closed Won",1,0)</f>
        <v>0</v>
      </c>
    </row>
    <row r="436" customFormat="false" ht="15" hidden="false" customHeight="false" outlineLevel="0" collapsed="false">
      <c r="A436" s="0" t="str">
        <f aca="false">CRM_Raw!A436</f>
        <v>D-10432</v>
      </c>
      <c r="B436" s="0" t="str">
        <f aca="false">CRM_Raw!B436</f>
        <v>2025-04-01</v>
      </c>
      <c r="C436" s="0" t="n">
        <f aca="false">CRM_Raw!C436</f>
        <v>0</v>
      </c>
      <c r="D436" s="0" t="str">
        <f aca="false">IF(CRM_Raw!D436="DACH","DACH",IF(ISNUMBER(SEARCH("uk",CRM_Raw!D436)),"UK &amp; Ireland",PROPER(CRM_Raw!D436)))</f>
        <v>Benelux</v>
      </c>
      <c r="E436" s="0" t="str">
        <f aca="false">CRM_Raw!E436</f>
        <v>Dishwashers</v>
      </c>
      <c r="F436" s="0" t="str">
        <f aca="false">CRM_Raw!F436</f>
        <v>Email Campaign</v>
      </c>
      <c r="G436" s="0" t="str">
        <f aca="false">IF(TRIM(CRM_Raw!G436)="","Unassigned",CRM_Raw!G436)</f>
        <v>T. Wagner</v>
      </c>
      <c r="H436" s="0" t="str">
        <f aca="false">CRM_Raw!H436</f>
        <v>Proposal Sent</v>
      </c>
      <c r="I436" s="10" t="n">
        <f aca="false">CRM_Raw!I436</f>
        <v>713.67</v>
      </c>
      <c r="J436" s="11" t="n">
        <f aca="false">CRM_Raw!J436</f>
        <v>0.05</v>
      </c>
      <c r="K436" s="10" t="n">
        <f aca="false">I436*(1-J436)</f>
        <v>677.9865</v>
      </c>
      <c r="L436" s="12" t="n">
        <f aca="false">CRM_Raw!K436</f>
        <v>0</v>
      </c>
      <c r="M436" s="12" t="n">
        <f aca="false">IF(H436="Closed Won",1,0)</f>
        <v>0</v>
      </c>
    </row>
    <row r="437" customFormat="false" ht="15" hidden="false" customHeight="false" outlineLevel="0" collapsed="false">
      <c r="A437" s="0" t="str">
        <f aca="false">CRM_Raw!A437</f>
        <v>D-10433</v>
      </c>
      <c r="B437" s="0" t="str">
        <f aca="false">CRM_Raw!B437</f>
        <v>2026-02-27</v>
      </c>
      <c r="C437" s="0" t="str">
        <f aca="false">CRM_Raw!C437</f>
        <v>2026-03-03</v>
      </c>
      <c r="D437" s="0" t="str">
        <f aca="false">IF(CRM_Raw!D437="DACH","DACH",IF(ISNUMBER(SEARCH("uk",CRM_Raw!D437)),"UK &amp; Ireland",PROPER(CRM_Raw!D437)))</f>
        <v>Southern Europe</v>
      </c>
      <c r="E437" s="0" t="str">
        <f aca="false">CRM_Raw!E437</f>
        <v>Small Kitchen Appliances</v>
      </c>
      <c r="F437" s="0" t="str">
        <f aca="false">CRM_Raw!F437</f>
        <v>Web-shop Organic</v>
      </c>
      <c r="G437" s="0" t="str">
        <f aca="false">IF(TRIM(CRM_Raw!G437)="","Unassigned",CRM_Raw!G437)</f>
        <v>K. Nilsson</v>
      </c>
      <c r="H437" s="0" t="str">
        <f aca="false">CRM_Raw!H437</f>
        <v>Closed Won</v>
      </c>
      <c r="I437" s="10" t="n">
        <f aca="false">CRM_Raw!I437</f>
        <v>399.43</v>
      </c>
      <c r="J437" s="11" t="n">
        <f aca="false">CRM_Raw!J437</f>
        <v>0.15</v>
      </c>
      <c r="K437" s="10" t="n">
        <f aca="false">I437*(1-J437)</f>
        <v>339.5155</v>
      </c>
      <c r="L437" s="12" t="n">
        <f aca="false">CRM_Raw!K437</f>
        <v>4</v>
      </c>
      <c r="M437" s="12" t="n">
        <f aca="false">IF(H437="Closed Won",1,0)</f>
        <v>1</v>
      </c>
    </row>
    <row r="438" customFormat="false" ht="15" hidden="false" customHeight="false" outlineLevel="0" collapsed="false">
      <c r="A438" s="0" t="str">
        <f aca="false">CRM_Raw!A438</f>
        <v>D-10434</v>
      </c>
      <c r="B438" s="0" t="str">
        <f aca="false">CRM_Raw!B438</f>
        <v>2025-12-16</v>
      </c>
      <c r="C438" s="0" t="str">
        <f aca="false">CRM_Raw!C438</f>
        <v>2025-12-31</v>
      </c>
      <c r="D438" s="0" t="str">
        <f aca="false">IF(CRM_Raw!D438="DACH","DACH",IF(ISNUMBER(SEARCH("uk",CRM_Raw!D438)),"UK &amp; Ireland",PROPER(CRM_Raw!D438)))</f>
        <v>France</v>
      </c>
      <c r="E438" s="0" t="str">
        <f aca="false">CRM_Raw!E438</f>
        <v>Washing Machines</v>
      </c>
      <c r="F438" s="0" t="str">
        <f aca="false">CRM_Raw!F438</f>
        <v>Social Media Ads</v>
      </c>
      <c r="G438" s="0" t="str">
        <f aca="false">IF(TRIM(CRM_Raw!G438)="","Unassigned",CRM_Raw!G438)</f>
        <v>T. Wagner</v>
      </c>
      <c r="H438" s="0" t="str">
        <f aca="false">CRM_Raw!H438</f>
        <v>Closed Won</v>
      </c>
      <c r="I438" s="10" t="n">
        <f aca="false">CRM_Raw!I438</f>
        <v>602.88</v>
      </c>
      <c r="J438" s="11" t="n">
        <f aca="false">CRM_Raw!J438</f>
        <v>0.2</v>
      </c>
      <c r="K438" s="10" t="n">
        <f aca="false">I438*(1-J438)</f>
        <v>482.304</v>
      </c>
      <c r="L438" s="12" t="n">
        <f aca="false">CRM_Raw!K438</f>
        <v>15</v>
      </c>
      <c r="M438" s="12" t="n">
        <f aca="false">IF(H438="Closed Won",1,0)</f>
        <v>1</v>
      </c>
    </row>
    <row r="439" customFormat="false" ht="15" hidden="false" customHeight="false" outlineLevel="0" collapsed="false">
      <c r="A439" s="0" t="str">
        <f aca="false">CRM_Raw!A439</f>
        <v>D-10435</v>
      </c>
      <c r="B439" s="0" t="str">
        <f aca="false">CRM_Raw!B439</f>
        <v>2026-01-08</v>
      </c>
      <c r="C439" s="0" t="n">
        <f aca="false">CRM_Raw!C439</f>
        <v>0</v>
      </c>
      <c r="D439" s="0" t="str">
        <f aca="false">IF(CRM_Raw!D439="DACH","DACH",IF(ISNUMBER(SEARCH("uk",CRM_Raw!D439)),"UK &amp; Ireland",PROPER(CRM_Raw!D439)))</f>
        <v>Benelux</v>
      </c>
      <c r="E439" s="0" t="str">
        <f aca="false">CRM_Raw!E439</f>
        <v>Cordless Vacuums</v>
      </c>
      <c r="F439" s="0" t="str">
        <f aca="false">CRM_Raw!F439</f>
        <v>Social Media Ads</v>
      </c>
      <c r="G439" s="0" t="str">
        <f aca="false">IF(TRIM(CRM_Raw!G439)="","Unassigned",CRM_Raw!G439)</f>
        <v>T. Wagner</v>
      </c>
      <c r="H439" s="0" t="str">
        <f aca="false">CRM_Raw!H439</f>
        <v>Negotiation</v>
      </c>
      <c r="I439" s="10" t="n">
        <f aca="false">CRM_Raw!I439</f>
        <v>332.09</v>
      </c>
      <c r="J439" s="11" t="n">
        <f aca="false">CRM_Raw!J439</f>
        <v>0</v>
      </c>
      <c r="K439" s="10" t="n">
        <f aca="false">I439*(1-J439)</f>
        <v>332.09</v>
      </c>
      <c r="L439" s="12" t="n">
        <f aca="false">CRM_Raw!K439</f>
        <v>0</v>
      </c>
      <c r="M439" s="12" t="n">
        <f aca="false">IF(H439="Closed Won",1,0)</f>
        <v>0</v>
      </c>
    </row>
    <row r="440" customFormat="false" ht="15" hidden="false" customHeight="false" outlineLevel="0" collapsed="false">
      <c r="A440" s="0" t="str">
        <f aca="false">CRM_Raw!A440</f>
        <v>D-10436</v>
      </c>
      <c r="B440" s="0" t="str">
        <f aca="false">CRM_Raw!B440</f>
        <v>2026-01-18</v>
      </c>
      <c r="C440" s="0" t="n">
        <f aca="false">CRM_Raw!C440</f>
        <v>0</v>
      </c>
      <c r="D440" s="0" t="str">
        <f aca="false">IF(CRM_Raw!D440="DACH","DACH",IF(ISNUMBER(SEARCH("uk",CRM_Raw!D440)),"UK &amp; Ireland",PROPER(CRM_Raw!D440)))</f>
        <v>France</v>
      </c>
      <c r="E440" s="0" t="str">
        <f aca="false">CRM_Raw!E440</f>
        <v>Cordless Vacuums</v>
      </c>
      <c r="F440" s="0" t="str">
        <f aca="false">CRM_Raw!F440</f>
        <v>Email Campaign</v>
      </c>
      <c r="G440" s="0" t="str">
        <f aca="false">IF(TRIM(CRM_Raw!G440)="","Unassigned",CRM_Raw!G440)</f>
        <v>J. Murphy</v>
      </c>
      <c r="H440" s="0" t="str">
        <f aca="false">CRM_Raw!H440</f>
        <v>Negotiation</v>
      </c>
      <c r="I440" s="10" t="n">
        <f aca="false">CRM_Raw!I440</f>
        <v>326.14</v>
      </c>
      <c r="J440" s="11" t="n">
        <f aca="false">CRM_Raw!J440</f>
        <v>0.05</v>
      </c>
      <c r="K440" s="10" t="n">
        <f aca="false">I440*(1-J440)</f>
        <v>309.833</v>
      </c>
      <c r="L440" s="12" t="n">
        <f aca="false">CRM_Raw!K440</f>
        <v>0</v>
      </c>
      <c r="M440" s="12" t="n">
        <f aca="false">IF(H440="Closed Won",1,0)</f>
        <v>0</v>
      </c>
    </row>
    <row r="441" customFormat="false" ht="15" hidden="false" customHeight="false" outlineLevel="0" collapsed="false">
      <c r="A441" s="0" t="str">
        <f aca="false">CRM_Raw!A441</f>
        <v>D-10437</v>
      </c>
      <c r="B441" s="0" t="str">
        <f aca="false">CRM_Raw!B441</f>
        <v>2025-04-20</v>
      </c>
      <c r="C441" s="0" t="str">
        <f aca="false">CRM_Raw!C441</f>
        <v>2025-05-12</v>
      </c>
      <c r="D441" s="0" t="str">
        <f aca="false">IF(CRM_Raw!D441="DACH","DACH",IF(ISNUMBER(SEARCH("uk",CRM_Raw!D441)),"UK &amp; Ireland",PROPER(CRM_Raw!D441)))</f>
        <v>UK &amp; Ireland</v>
      </c>
      <c r="E441" s="0" t="str">
        <f aca="false">CRM_Raw!E441</f>
        <v>Small Kitchen Appliances</v>
      </c>
      <c r="F441" s="0" t="str">
        <f aca="false">CRM_Raw!F441</f>
        <v>Affiliate Partner</v>
      </c>
      <c r="G441" s="0" t="str">
        <f aca="false">IF(TRIM(CRM_Raw!G441)="","Unassigned",CRM_Raw!G441)</f>
        <v>K. Nilsson</v>
      </c>
      <c r="H441" s="0" t="str">
        <f aca="false">CRM_Raw!H441</f>
        <v>Closed Won</v>
      </c>
      <c r="I441" s="10" t="n">
        <f aca="false">CRM_Raw!I441</f>
        <v>134.93</v>
      </c>
      <c r="J441" s="11" t="n">
        <f aca="false">CRM_Raw!J441</f>
        <v>0.05</v>
      </c>
      <c r="K441" s="10" t="n">
        <f aca="false">I441*(1-J441)</f>
        <v>128.1835</v>
      </c>
      <c r="L441" s="12" t="n">
        <f aca="false">CRM_Raw!K441</f>
        <v>22</v>
      </c>
      <c r="M441" s="12" t="n">
        <f aca="false">IF(H441="Closed Won",1,0)</f>
        <v>1</v>
      </c>
    </row>
    <row r="442" customFormat="false" ht="15" hidden="false" customHeight="false" outlineLevel="0" collapsed="false">
      <c r="A442" s="0" t="str">
        <f aca="false">CRM_Raw!A442</f>
        <v>D-10438</v>
      </c>
      <c r="B442" s="0" t="str">
        <f aca="false">CRM_Raw!B442</f>
        <v>2026-03-01</v>
      </c>
      <c r="C442" s="0" t="str">
        <f aca="false">CRM_Raw!C442</f>
        <v>2026-03-26</v>
      </c>
      <c r="D442" s="0" t="str">
        <f aca="false">IF(CRM_Raw!D442="DACH","DACH",IF(ISNUMBER(SEARCH("uk",CRM_Raw!D442)),"UK &amp; Ireland",PROPER(CRM_Raw!D442)))</f>
        <v>North America</v>
      </c>
      <c r="E442" s="0" t="str">
        <f aca="false">CRM_Raw!E442</f>
        <v>Coffee Systems</v>
      </c>
      <c r="F442" s="0" t="str">
        <f aca="false">CRM_Raw!F442</f>
        <v>Affiliate Partner</v>
      </c>
      <c r="G442" s="0" t="str">
        <f aca="false">IF(TRIM(CRM_Raw!G442)="","Unassigned",CRM_Raw!G442)</f>
        <v>L. Dubois</v>
      </c>
      <c r="H442" s="0" t="str">
        <f aca="false">CRM_Raw!H442</f>
        <v>Closed Won</v>
      </c>
      <c r="I442" s="10" t="n">
        <f aca="false">CRM_Raw!I442</f>
        <v>1639.83</v>
      </c>
      <c r="J442" s="11" t="n">
        <f aca="false">CRM_Raw!J442</f>
        <v>0</v>
      </c>
      <c r="K442" s="10" t="n">
        <f aca="false">I442*(1-J442)</f>
        <v>1639.83</v>
      </c>
      <c r="L442" s="12" t="n">
        <f aca="false">CRM_Raw!K442</f>
        <v>25</v>
      </c>
      <c r="M442" s="12" t="n">
        <f aca="false">IF(H442="Closed Won",1,0)</f>
        <v>1</v>
      </c>
    </row>
    <row r="443" customFormat="false" ht="15" hidden="false" customHeight="false" outlineLevel="0" collapsed="false">
      <c r="A443" s="0" t="str">
        <f aca="false">CRM_Raw!A443</f>
        <v>D-10439</v>
      </c>
      <c r="B443" s="0" t="str">
        <f aca="false">CRM_Raw!B443</f>
        <v>2026-05-26</v>
      </c>
      <c r="C443" s="0" t="str">
        <f aca="false">CRM_Raw!C443</f>
        <v>2026-06-01</v>
      </c>
      <c r="D443" s="0" t="str">
        <f aca="false">IF(CRM_Raw!D443="DACH","DACH",IF(ISNUMBER(SEARCH("uk",CRM_Raw!D443)),"UK &amp; Ireland",PROPER(CRM_Raw!D443)))</f>
        <v>North America</v>
      </c>
      <c r="E443" s="0" t="str">
        <f aca="false">CRM_Raw!E443</f>
        <v>Dishwashers</v>
      </c>
      <c r="F443" s="0" t="str">
        <f aca="false">CRM_Raw!F443</f>
        <v>Social Media Ads</v>
      </c>
      <c r="G443" s="0" t="str">
        <f aca="false">IF(TRIM(CRM_Raw!G443)="","Unassigned",CRM_Raw!G443)</f>
        <v>M. Hoffmann</v>
      </c>
      <c r="H443" s="0" t="str">
        <f aca="false">CRM_Raw!H443</f>
        <v>Closed Won</v>
      </c>
      <c r="I443" s="10" t="n">
        <f aca="false">CRM_Raw!I443</f>
        <v>2133.63</v>
      </c>
      <c r="J443" s="11" t="n">
        <f aca="false">CRM_Raw!J443</f>
        <v>0.05</v>
      </c>
      <c r="K443" s="10" t="n">
        <f aca="false">I443*(1-J443)</f>
        <v>2026.9485</v>
      </c>
      <c r="L443" s="12" t="n">
        <f aca="false">CRM_Raw!K443</f>
        <v>20</v>
      </c>
      <c r="M443" s="12" t="n">
        <f aca="false">IF(H443="Closed Won",1,0)</f>
        <v>1</v>
      </c>
    </row>
    <row r="444" customFormat="false" ht="15" hidden="false" customHeight="false" outlineLevel="0" collapsed="false">
      <c r="A444" s="0" t="str">
        <f aca="false">CRM_Raw!A444</f>
        <v>D-10440</v>
      </c>
      <c r="B444" s="0" t="str">
        <f aca="false">CRM_Raw!B444</f>
        <v>2025-05-12</v>
      </c>
      <c r="C444" s="0" t="str">
        <f aca="false">CRM_Raw!C444</f>
        <v>2025-05-21</v>
      </c>
      <c r="D444" s="0" t="str">
        <f aca="false">IF(CRM_Raw!D444="DACH","DACH",IF(ISNUMBER(SEARCH("uk",CRM_Raw!D444)),"UK &amp; Ireland",PROPER(CRM_Raw!D444)))</f>
        <v>Nordics</v>
      </c>
      <c r="E444" s="0" t="str">
        <f aca="false">CRM_Raw!E444</f>
        <v>Coffee Systems</v>
      </c>
      <c r="F444" s="0" t="str">
        <f aca="false">CRM_Raw!F444</f>
        <v>Affiliate Partner</v>
      </c>
      <c r="G444" s="0" t="str">
        <f aca="false">IF(TRIM(CRM_Raw!G444)="","Unassigned",CRM_Raw!G444)</f>
        <v>M. Hoffmann</v>
      </c>
      <c r="H444" s="0" t="str">
        <f aca="false">CRM_Raw!H444</f>
        <v>Closed Won</v>
      </c>
      <c r="I444" s="10" t="n">
        <f aca="false">CRM_Raw!I444</f>
        <v>1649.03</v>
      </c>
      <c r="J444" s="11" t="n">
        <f aca="false">CRM_Raw!J444</f>
        <v>0</v>
      </c>
      <c r="K444" s="10" t="n">
        <f aca="false">I444*(1-J444)</f>
        <v>1649.03</v>
      </c>
      <c r="L444" s="12" t="n">
        <f aca="false">CRM_Raw!K444</f>
        <v>9</v>
      </c>
      <c r="M444" s="12" t="n">
        <f aca="false">IF(H444="Closed Won",1,0)</f>
        <v>1</v>
      </c>
    </row>
    <row r="445" customFormat="false" ht="15" hidden="false" customHeight="false" outlineLevel="0" collapsed="false">
      <c r="A445" s="0" t="str">
        <f aca="false">CRM_Raw!A445</f>
        <v>D-10441</v>
      </c>
      <c r="B445" s="0" t="str">
        <f aca="false">CRM_Raw!B445</f>
        <v>2025-10-08</v>
      </c>
      <c r="C445" s="0" t="str">
        <f aca="false">CRM_Raw!C445</f>
        <v>2025-10-24</v>
      </c>
      <c r="D445" s="0" t="str">
        <f aca="false">IF(CRM_Raw!D445="DACH","DACH",IF(ISNUMBER(SEARCH("uk",CRM_Raw!D445)),"UK &amp; Ireland",PROPER(CRM_Raw!D445)))</f>
        <v>Nordics</v>
      </c>
      <c r="E445" s="0" t="str">
        <f aca="false">CRM_Raw!E445</f>
        <v>Dishwashers</v>
      </c>
      <c r="F445" s="0" t="str">
        <f aca="false">CRM_Raw!F445</f>
        <v>Paid Search</v>
      </c>
      <c r="G445" s="0" t="str">
        <f aca="false">IF(TRIM(CRM_Raw!G445)="","Unassigned",CRM_Raw!G445)</f>
        <v>S. Andersson</v>
      </c>
      <c r="H445" s="0" t="str">
        <f aca="false">CRM_Raw!H445</f>
        <v>Closed Lost</v>
      </c>
      <c r="I445" s="10" t="n">
        <f aca="false">CRM_Raw!I445</f>
        <v>775.29</v>
      </c>
      <c r="J445" s="11" t="n">
        <f aca="false">CRM_Raw!J445</f>
        <v>0.05</v>
      </c>
      <c r="K445" s="10" t="n">
        <f aca="false">I445*(1-J445)</f>
        <v>736.5255</v>
      </c>
      <c r="L445" s="12" t="n">
        <f aca="false">CRM_Raw!K445</f>
        <v>16</v>
      </c>
      <c r="M445" s="12" t="n">
        <f aca="false">IF(H445="Closed Won",1,0)</f>
        <v>0</v>
      </c>
    </row>
    <row r="446" customFormat="false" ht="15" hidden="false" customHeight="false" outlineLevel="0" collapsed="false">
      <c r="A446" s="0" t="str">
        <f aca="false">CRM_Raw!A446</f>
        <v>D-10442</v>
      </c>
      <c r="B446" s="0" t="str">
        <f aca="false">CRM_Raw!B446</f>
        <v>2025-11-18</v>
      </c>
      <c r="C446" s="0" t="n">
        <f aca="false">CRM_Raw!C446</f>
        <v>0</v>
      </c>
      <c r="D446" s="0" t="str">
        <f aca="false">IF(CRM_Raw!D446="DACH","DACH",IF(ISNUMBER(SEARCH("uk",CRM_Raw!D446)),"UK &amp; Ireland",PROPER(CRM_Raw!D446)))</f>
        <v>Nordics</v>
      </c>
      <c r="E446" s="0" t="str">
        <f aca="false">CRM_Raw!E446</f>
        <v>Small Kitchen Appliances</v>
      </c>
      <c r="F446" s="0" t="str">
        <f aca="false">CRM_Raw!F446</f>
        <v>Retail Referral</v>
      </c>
      <c r="G446" s="0" t="str">
        <f aca="false">IF(TRIM(CRM_Raw!G446)="","Unassigned",CRM_Raw!G446)</f>
        <v>J. Murphy</v>
      </c>
      <c r="H446" s="0" t="str">
        <f aca="false">CRM_Raw!H446</f>
        <v>Negotiation</v>
      </c>
      <c r="I446" s="10" t="n">
        <f aca="false">CRM_Raw!I446</f>
        <v>137.41</v>
      </c>
      <c r="J446" s="11" t="n">
        <f aca="false">CRM_Raw!J446</f>
        <v>0</v>
      </c>
      <c r="K446" s="10" t="n">
        <f aca="false">I446*(1-J446)</f>
        <v>137.41</v>
      </c>
      <c r="L446" s="12" t="n">
        <f aca="false">CRM_Raw!K446</f>
        <v>0</v>
      </c>
      <c r="M446" s="12" t="n">
        <f aca="false">IF(H446="Closed Won",1,0)</f>
        <v>0</v>
      </c>
    </row>
    <row r="447" customFormat="false" ht="15" hidden="false" customHeight="false" outlineLevel="0" collapsed="false">
      <c r="A447" s="0" t="str">
        <f aca="false">CRM_Raw!A447</f>
        <v>D-10443</v>
      </c>
      <c r="B447" s="0" t="str">
        <f aca="false">CRM_Raw!B447</f>
        <v>2025-05-16</v>
      </c>
      <c r="C447" s="0" t="n">
        <f aca="false">CRM_Raw!C447</f>
        <v>0</v>
      </c>
      <c r="D447" s="0" t="str">
        <f aca="false">IF(CRM_Raw!D447="DACH","DACH",IF(ISNUMBER(SEARCH("uk",CRM_Raw!D447)),"UK &amp; Ireland",PROPER(CRM_Raw!D447)))</f>
        <v>UK &amp; Ireland</v>
      </c>
      <c r="E447" s="0" t="str">
        <f aca="false">CRM_Raw!E447</f>
        <v>Washing Machines</v>
      </c>
      <c r="F447" s="0" t="str">
        <f aca="false">CRM_Raw!F447</f>
        <v>Affiliate Partner</v>
      </c>
      <c r="G447" s="0" t="str">
        <f aca="false">IF(TRIM(CRM_Raw!G447)="","Unassigned",CRM_Raw!G447)</f>
        <v>P. Rossi</v>
      </c>
      <c r="H447" s="0" t="str">
        <f aca="false">CRM_Raw!H447</f>
        <v>Qualified</v>
      </c>
      <c r="I447" s="10" t="n">
        <f aca="false">CRM_Raw!I447</f>
        <v>698.66</v>
      </c>
      <c r="J447" s="11" t="n">
        <f aca="false">CRM_Raw!J447</f>
        <v>0.1</v>
      </c>
      <c r="K447" s="10" t="n">
        <f aca="false">I447*(1-J447)</f>
        <v>628.794</v>
      </c>
      <c r="L447" s="12" t="n">
        <f aca="false">CRM_Raw!K447</f>
        <v>0</v>
      </c>
      <c r="M447" s="12" t="n">
        <f aca="false">IF(H447="Closed Won",1,0)</f>
        <v>0</v>
      </c>
    </row>
    <row r="448" customFormat="false" ht="15" hidden="false" customHeight="false" outlineLevel="0" collapsed="false">
      <c r="A448" s="0" t="str">
        <f aca="false">CRM_Raw!A448</f>
        <v>D-10444</v>
      </c>
      <c r="B448" s="0" t="str">
        <f aca="false">CRM_Raw!B448</f>
        <v>2025-12-27</v>
      </c>
      <c r="C448" s="0" t="str">
        <f aca="false">CRM_Raw!C448</f>
        <v>2026-01-23</v>
      </c>
      <c r="D448" s="0" t="str">
        <f aca="false">IF(CRM_Raw!D448="DACH","DACH",IF(ISNUMBER(SEARCH("uk",CRM_Raw!D448)),"UK &amp; Ireland",PROPER(CRM_Raw!D448)))</f>
        <v>Nordics</v>
      </c>
      <c r="E448" s="0" t="str">
        <f aca="false">CRM_Raw!E448</f>
        <v>Small Kitchen Appliances</v>
      </c>
      <c r="F448" s="0" t="str">
        <f aca="false">CRM_Raw!F448</f>
        <v>Affiliate Partner</v>
      </c>
      <c r="G448" s="0" t="str">
        <f aca="false">IF(TRIM(CRM_Raw!G448)="","Unassigned",CRM_Raw!G448)</f>
        <v>L. Dubois</v>
      </c>
      <c r="H448" s="0" t="str">
        <f aca="false">CRM_Raw!H448</f>
        <v>Closed Lost</v>
      </c>
      <c r="I448" s="10" t="n">
        <f aca="false">CRM_Raw!I448</f>
        <v>253.88</v>
      </c>
      <c r="J448" s="11" t="n">
        <f aca="false">CRM_Raw!J448</f>
        <v>0.15</v>
      </c>
      <c r="K448" s="10" t="n">
        <f aca="false">I448*(1-J448)</f>
        <v>215.798</v>
      </c>
      <c r="L448" s="12" t="n">
        <f aca="false">CRM_Raw!K448</f>
        <v>27</v>
      </c>
      <c r="M448" s="12" t="n">
        <f aca="false">IF(H448="Closed Won",1,0)</f>
        <v>0</v>
      </c>
    </row>
    <row r="449" customFormat="false" ht="15" hidden="false" customHeight="false" outlineLevel="0" collapsed="false">
      <c r="A449" s="0" t="str">
        <f aca="false">CRM_Raw!A449</f>
        <v>D-10445</v>
      </c>
      <c r="B449" s="0" t="str">
        <f aca="false">CRM_Raw!B449</f>
        <v>2025-01-14</v>
      </c>
      <c r="C449" s="0" t="str">
        <f aca="false">CRM_Raw!C449</f>
        <v>2025-02-08</v>
      </c>
      <c r="D449" s="0" t="str">
        <f aca="false">IF(CRM_Raw!D449="DACH","DACH",IF(ISNUMBER(SEARCH("uk",CRM_Raw!D449)),"UK &amp; Ireland",PROPER(CRM_Raw!D449)))</f>
        <v>Southern Europe</v>
      </c>
      <c r="E449" s="0" t="str">
        <f aca="false">CRM_Raw!E449</f>
        <v>Washing Machines</v>
      </c>
      <c r="F449" s="0" t="str">
        <f aca="false">CRM_Raw!F449</f>
        <v>Paid Search</v>
      </c>
      <c r="G449" s="0" t="str">
        <f aca="false">IF(TRIM(CRM_Raw!G449)="","Unassigned",CRM_Raw!G449)</f>
        <v>K. Nilsson</v>
      </c>
      <c r="H449" s="0" t="str">
        <f aca="false">CRM_Raw!H449</f>
        <v>Closed Lost</v>
      </c>
      <c r="I449" s="10" t="n">
        <f aca="false">CRM_Raw!I449</f>
        <v>701.91</v>
      </c>
      <c r="J449" s="11" t="n">
        <f aca="false">CRM_Raw!J449</f>
        <v>0</v>
      </c>
      <c r="K449" s="10" t="n">
        <f aca="false">I449*(1-J449)</f>
        <v>701.91</v>
      </c>
      <c r="L449" s="12" t="n">
        <f aca="false">CRM_Raw!K449</f>
        <v>25</v>
      </c>
      <c r="M449" s="12" t="n">
        <f aca="false">IF(H449="Closed Won",1,0)</f>
        <v>0</v>
      </c>
    </row>
    <row r="450" customFormat="false" ht="15" hidden="false" customHeight="false" outlineLevel="0" collapsed="false">
      <c r="A450" s="0" t="str">
        <f aca="false">CRM_Raw!A450</f>
        <v>D-10446</v>
      </c>
      <c r="B450" s="0" t="str">
        <f aca="false">CRM_Raw!B450</f>
        <v>2025-05-30</v>
      </c>
      <c r="C450" s="0" t="n">
        <f aca="false">CRM_Raw!C450</f>
        <v>0</v>
      </c>
      <c r="D450" s="0" t="str">
        <f aca="false">IF(CRM_Raw!D450="DACH","DACH",IF(ISNUMBER(SEARCH("uk",CRM_Raw!D450)),"UK &amp; Ireland",PROPER(CRM_Raw!D450)))</f>
        <v>North America</v>
      </c>
      <c r="E450" s="0" t="str">
        <f aca="false">CRM_Raw!E450</f>
        <v>Coffee Systems</v>
      </c>
      <c r="F450" s="0" t="str">
        <f aca="false">CRM_Raw!F450</f>
        <v>Trade Show</v>
      </c>
      <c r="G450" s="0" t="str">
        <f aca="false">IF(TRIM(CRM_Raw!G450)="","Unassigned",CRM_Raw!G450)</f>
        <v>J. Murphy</v>
      </c>
      <c r="H450" s="0" t="str">
        <f aca="false">CRM_Raw!H450</f>
        <v>Proposal Sent</v>
      </c>
      <c r="I450" s="10" t="n">
        <f aca="false">CRM_Raw!I450</f>
        <v>553.85</v>
      </c>
      <c r="J450" s="11" t="n">
        <f aca="false">CRM_Raw!J450</f>
        <v>0</v>
      </c>
      <c r="K450" s="10" t="n">
        <f aca="false">I450*(1-J450)</f>
        <v>553.85</v>
      </c>
      <c r="L450" s="12" t="n">
        <f aca="false">CRM_Raw!K450</f>
        <v>0</v>
      </c>
      <c r="M450" s="12" t="n">
        <f aca="false">IF(H450="Closed Won",1,0)</f>
        <v>0</v>
      </c>
    </row>
    <row r="451" customFormat="false" ht="15" hidden="false" customHeight="false" outlineLevel="0" collapsed="false">
      <c r="A451" s="0" t="str">
        <f aca="false">CRM_Raw!A451</f>
        <v>D-10447</v>
      </c>
      <c r="B451" s="0" t="str">
        <f aca="false">CRM_Raw!B451</f>
        <v>2025-04-15</v>
      </c>
      <c r="C451" s="0" t="str">
        <f aca="false">CRM_Raw!C451</f>
        <v>2025-05-06</v>
      </c>
      <c r="D451" s="0" t="str">
        <f aca="false">IF(CRM_Raw!D451="DACH","DACH",IF(ISNUMBER(SEARCH("uk",CRM_Raw!D451)),"UK &amp; Ireland",PROPER(CRM_Raw!D451)))</f>
        <v>North America</v>
      </c>
      <c r="E451" s="0" t="str">
        <f aca="false">CRM_Raw!E451</f>
        <v>Washing Machines</v>
      </c>
      <c r="F451" s="0" t="str">
        <f aca="false">CRM_Raw!F451</f>
        <v>Web-shop Organic</v>
      </c>
      <c r="G451" s="0" t="str">
        <f aca="false">IF(TRIM(CRM_Raw!G451)="","Unassigned",CRM_Raw!G451)</f>
        <v>T. Wagner</v>
      </c>
      <c r="H451" s="0" t="str">
        <f aca="false">CRM_Raw!H451</f>
        <v>Closed Lost</v>
      </c>
      <c r="I451" s="10" t="n">
        <f aca="false">CRM_Raw!I451</f>
        <v>2108.26</v>
      </c>
      <c r="J451" s="11" t="n">
        <f aca="false">CRM_Raw!J451</f>
        <v>0.2</v>
      </c>
      <c r="K451" s="10" t="n">
        <f aca="false">I451*(1-J451)</f>
        <v>1686.608</v>
      </c>
      <c r="L451" s="12" t="n">
        <f aca="false">CRM_Raw!K451</f>
        <v>21</v>
      </c>
      <c r="M451" s="12" t="n">
        <f aca="false">IF(H451="Closed Won",1,0)</f>
        <v>0</v>
      </c>
    </row>
    <row r="452" customFormat="false" ht="15" hidden="false" customHeight="false" outlineLevel="0" collapsed="false">
      <c r="A452" s="0" t="str">
        <f aca="false">CRM_Raw!A452</f>
        <v>D-10448</v>
      </c>
      <c r="B452" s="0" t="str">
        <f aca="false">CRM_Raw!B452</f>
        <v>2025-09-01</v>
      </c>
      <c r="C452" s="0" t="str">
        <f aca="false">CRM_Raw!C452</f>
        <v>2025-09-26</v>
      </c>
      <c r="D452" s="0" t="str">
        <f aca="false">IF(CRM_Raw!D452="DACH","DACH",IF(ISNUMBER(SEARCH("uk",CRM_Raw!D452)),"UK &amp; Ireland",PROPER(CRM_Raw!D452)))</f>
        <v>UK &amp; Ireland</v>
      </c>
      <c r="E452" s="0" t="str">
        <f aca="false">CRM_Raw!E452</f>
        <v>Small Kitchen Appliances</v>
      </c>
      <c r="F452" s="0" t="str">
        <f aca="false">CRM_Raw!F452</f>
        <v>Affiliate Partner</v>
      </c>
      <c r="G452" s="0" t="str">
        <f aca="false">IF(TRIM(CRM_Raw!G452)="","Unassigned",CRM_Raw!G452)</f>
        <v>K. Nilsson</v>
      </c>
      <c r="H452" s="0" t="str">
        <f aca="false">CRM_Raw!H452</f>
        <v>Closed Lost</v>
      </c>
      <c r="I452" s="10" t="n">
        <f aca="false">CRM_Raw!I452</f>
        <v>130.21</v>
      </c>
      <c r="J452" s="11" t="n">
        <f aca="false">CRM_Raw!J452</f>
        <v>0.05</v>
      </c>
      <c r="K452" s="10" t="n">
        <f aca="false">I452*(1-J452)</f>
        <v>123.6995</v>
      </c>
      <c r="L452" s="12" t="n">
        <f aca="false">CRM_Raw!K452</f>
        <v>25</v>
      </c>
      <c r="M452" s="12" t="n">
        <f aca="false">IF(H452="Closed Won",1,0)</f>
        <v>0</v>
      </c>
    </row>
    <row r="453" customFormat="false" ht="15" hidden="false" customHeight="false" outlineLevel="0" collapsed="false">
      <c r="A453" s="0" t="str">
        <f aca="false">CRM_Raw!A453</f>
        <v>D-10449</v>
      </c>
      <c r="B453" s="0" t="str">
        <f aca="false">CRM_Raw!B453</f>
        <v>2025-02-25</v>
      </c>
      <c r="C453" s="0" t="str">
        <f aca="false">CRM_Raw!C453</f>
        <v>2025-03-04</v>
      </c>
      <c r="D453" s="0" t="str">
        <f aca="false">IF(CRM_Raw!D453="DACH","DACH",IF(ISNUMBER(SEARCH("uk",CRM_Raw!D453)),"UK &amp; Ireland",PROPER(CRM_Raw!D453)))</f>
        <v>Benelux</v>
      </c>
      <c r="E453" s="0" t="str">
        <f aca="false">CRM_Raw!E453</f>
        <v>Dishwashers</v>
      </c>
      <c r="F453" s="0" t="str">
        <f aca="false">CRM_Raw!F453</f>
        <v>Trade Show</v>
      </c>
      <c r="G453" s="0" t="str">
        <f aca="false">IF(TRIM(CRM_Raw!G453)="","Unassigned",CRM_Raw!G453)</f>
        <v>P. Rossi</v>
      </c>
      <c r="H453" s="0" t="str">
        <f aca="false">CRM_Raw!H453</f>
        <v>Closed Won</v>
      </c>
      <c r="I453" s="10" t="n">
        <f aca="false">CRM_Raw!I453</f>
        <v>2039.85</v>
      </c>
      <c r="J453" s="11" t="n">
        <f aca="false">CRM_Raw!J453</f>
        <v>0.2</v>
      </c>
      <c r="K453" s="10" t="n">
        <f aca="false">I453*(1-J453)</f>
        <v>1631.88</v>
      </c>
      <c r="L453" s="12" t="n">
        <f aca="false">CRM_Raw!K453</f>
        <v>7</v>
      </c>
      <c r="M453" s="12" t="n">
        <f aca="false">IF(H453="Closed Won",1,0)</f>
        <v>1</v>
      </c>
    </row>
    <row r="454" customFormat="false" ht="15" hidden="false" customHeight="false" outlineLevel="0" collapsed="false">
      <c r="A454" s="0" t="str">
        <f aca="false">CRM_Raw!A454</f>
        <v>D-10450</v>
      </c>
      <c r="B454" s="0" t="str">
        <f aca="false">CRM_Raw!B454</f>
        <v>2025-07-21</v>
      </c>
      <c r="C454" s="0" t="n">
        <f aca="false">CRM_Raw!C454</f>
        <v>0</v>
      </c>
      <c r="D454" s="0" t="str">
        <f aca="false">IF(CRM_Raw!D454="DACH","DACH",IF(ISNUMBER(SEARCH("uk",CRM_Raw!D454)),"UK &amp; Ireland",PROPER(CRM_Raw!D454)))</f>
        <v>North America</v>
      </c>
      <c r="E454" s="0" t="str">
        <f aca="false">CRM_Raw!E454</f>
        <v>Dishwashers</v>
      </c>
      <c r="F454" s="0" t="str">
        <f aca="false">CRM_Raw!F454</f>
        <v>Email Campaign</v>
      </c>
      <c r="G454" s="0" t="str">
        <f aca="false">IF(TRIM(CRM_Raw!G454)="","Unassigned",CRM_Raw!G454)</f>
        <v>P. Rossi</v>
      </c>
      <c r="H454" s="0" t="str">
        <f aca="false">CRM_Raw!H454</f>
        <v>Proposal Sent</v>
      </c>
      <c r="I454" s="10" t="n">
        <f aca="false">CRM_Raw!I454</f>
        <v>802.77</v>
      </c>
      <c r="J454" s="11" t="n">
        <f aca="false">CRM_Raw!J454</f>
        <v>0.05</v>
      </c>
      <c r="K454" s="10" t="n">
        <f aca="false">I454*(1-J454)</f>
        <v>762.6315</v>
      </c>
      <c r="L454" s="12" t="n">
        <f aca="false">CRM_Raw!K454</f>
        <v>0</v>
      </c>
      <c r="M454" s="12" t="n">
        <f aca="false">IF(H454="Closed Won",1,0)</f>
        <v>0</v>
      </c>
    </row>
    <row r="455" customFormat="false" ht="15" hidden="false" customHeight="false" outlineLevel="0" collapsed="false">
      <c r="A455" s="0" t="str">
        <f aca="false">CRM_Raw!A455</f>
        <v>D-10451</v>
      </c>
      <c r="B455" s="0" t="str">
        <f aca="false">CRM_Raw!B455</f>
        <v>2025-05-03</v>
      </c>
      <c r="C455" s="0" t="str">
        <f aca="false">CRM_Raw!C455</f>
        <v>2025-05-13</v>
      </c>
      <c r="D455" s="0" t="str">
        <f aca="false">IF(CRM_Raw!D455="DACH","DACH",IF(ISNUMBER(SEARCH("uk",CRM_Raw!D455)),"UK &amp; Ireland",PROPER(CRM_Raw!D455)))</f>
        <v>UK &amp; Ireland</v>
      </c>
      <c r="E455" s="0" t="str">
        <f aca="false">CRM_Raw!E455</f>
        <v>Small Kitchen Appliances</v>
      </c>
      <c r="F455" s="0" t="str">
        <f aca="false">CRM_Raw!F455</f>
        <v>Web-shop Organic</v>
      </c>
      <c r="G455" s="0" t="str">
        <f aca="false">IF(TRIM(CRM_Raw!G455)="","Unassigned",CRM_Raw!G455)</f>
        <v>M. Hoffmann</v>
      </c>
      <c r="H455" s="0" t="str">
        <f aca="false">CRM_Raw!H455</f>
        <v>Closed Won</v>
      </c>
      <c r="I455" s="10" t="n">
        <f aca="false">CRM_Raw!I455</f>
        <v>340.53</v>
      </c>
      <c r="J455" s="11" t="n">
        <f aca="false">CRM_Raw!J455</f>
        <v>0.2</v>
      </c>
      <c r="K455" s="10" t="n">
        <f aca="false">I455*(1-J455)</f>
        <v>272.424</v>
      </c>
      <c r="L455" s="12" t="n">
        <f aca="false">CRM_Raw!K455</f>
        <v>10</v>
      </c>
      <c r="M455" s="12" t="n">
        <f aca="false">IF(H455="Closed Won",1,0)</f>
        <v>1</v>
      </c>
    </row>
    <row r="456" customFormat="false" ht="15" hidden="false" customHeight="false" outlineLevel="0" collapsed="false">
      <c r="A456" s="0" t="str">
        <f aca="false">CRM_Raw!A456</f>
        <v>D-10452</v>
      </c>
      <c r="B456" s="0" t="str">
        <f aca="false">CRM_Raw!B456</f>
        <v>2025-02-10</v>
      </c>
      <c r="C456" s="0" t="str">
        <f aca="false">CRM_Raw!C456</f>
        <v>2025-03-07</v>
      </c>
      <c r="D456" s="0" t="str">
        <f aca="false">IF(CRM_Raw!D456="DACH","DACH",IF(ISNUMBER(SEARCH("uk",CRM_Raw!D456)),"UK &amp; Ireland",PROPER(CRM_Raw!D456)))</f>
        <v>France</v>
      </c>
      <c r="E456" s="0" t="str">
        <f aca="false">CRM_Raw!E456</f>
        <v>Smart Ovens</v>
      </c>
      <c r="F456" s="0" t="str">
        <f aca="false">CRM_Raw!F456</f>
        <v>Paid Search</v>
      </c>
      <c r="G456" s="0" t="str">
        <f aca="false">IF(TRIM(CRM_Raw!G456)="","Unassigned",CRM_Raw!G456)</f>
        <v>M. Hoffmann</v>
      </c>
      <c r="H456" s="0" t="str">
        <f aca="false">CRM_Raw!H456</f>
        <v>Closed Won</v>
      </c>
      <c r="I456" s="10" t="n">
        <f aca="false">CRM_Raw!I456</f>
        <v>830.86</v>
      </c>
      <c r="J456" s="11" t="n">
        <f aca="false">CRM_Raw!J456</f>
        <v>0.2</v>
      </c>
      <c r="K456" s="10" t="n">
        <f aca="false">I456*(1-J456)</f>
        <v>664.688</v>
      </c>
      <c r="L456" s="12" t="n">
        <f aca="false">CRM_Raw!K456</f>
        <v>25</v>
      </c>
      <c r="M456" s="12" t="n">
        <f aca="false">IF(H456="Closed Won",1,0)</f>
        <v>1</v>
      </c>
    </row>
    <row r="457" customFormat="false" ht="15" hidden="false" customHeight="false" outlineLevel="0" collapsed="false">
      <c r="A457" s="0" t="str">
        <f aca="false">CRM_Raw!A457</f>
        <v>D-10453</v>
      </c>
      <c r="B457" s="0" t="str">
        <f aca="false">CRM_Raw!B457</f>
        <v>2026-05-18</v>
      </c>
      <c r="C457" s="0" t="n">
        <f aca="false">CRM_Raw!C457</f>
        <v>0</v>
      </c>
      <c r="D457" s="0" t="str">
        <f aca="false">IF(CRM_Raw!D457="DACH","DACH",IF(ISNUMBER(SEARCH("uk",CRM_Raw!D457)),"UK &amp; Ireland",PROPER(CRM_Raw!D457)))</f>
        <v>Southern Europe</v>
      </c>
      <c r="E457" s="0" t="str">
        <f aca="false">CRM_Raw!E457</f>
        <v>Washing Machines</v>
      </c>
      <c r="F457" s="0" t="str">
        <f aca="false">CRM_Raw!F457</f>
        <v>Email Campaign</v>
      </c>
      <c r="G457" s="0" t="str">
        <f aca="false">IF(TRIM(CRM_Raw!G457)="","Unassigned",CRM_Raw!G457)</f>
        <v>J. Murphy</v>
      </c>
      <c r="H457" s="0" t="str">
        <f aca="false">CRM_Raw!H457</f>
        <v>Proposal Sent</v>
      </c>
      <c r="I457" s="10" t="n">
        <f aca="false">CRM_Raw!I457</f>
        <v>682.6</v>
      </c>
      <c r="J457" s="11" t="n">
        <f aca="false">CRM_Raw!J457</f>
        <v>0.2</v>
      </c>
      <c r="K457" s="10" t="n">
        <f aca="false">I457*(1-J457)</f>
        <v>546.08</v>
      </c>
      <c r="L457" s="12" t="n">
        <f aca="false">CRM_Raw!K457</f>
        <v>0</v>
      </c>
      <c r="M457" s="12" t="n">
        <f aca="false">IF(H457="Closed Won",1,0)</f>
        <v>0</v>
      </c>
    </row>
    <row r="458" customFormat="false" ht="15" hidden="false" customHeight="false" outlineLevel="0" collapsed="false">
      <c r="A458" s="0" t="str">
        <f aca="false">CRM_Raw!A458</f>
        <v>D-10454</v>
      </c>
      <c r="B458" s="0" t="str">
        <f aca="false">CRM_Raw!B458</f>
        <v>2025-03-11</v>
      </c>
      <c r="C458" s="0" t="n">
        <f aca="false">CRM_Raw!C458</f>
        <v>0</v>
      </c>
      <c r="D458" s="0" t="str">
        <f aca="false">IF(CRM_Raw!D458="DACH","DACH",IF(ISNUMBER(SEARCH("uk",CRM_Raw!D458)),"UK &amp; Ireland",PROPER(CRM_Raw!D458)))</f>
        <v>Southern Europe</v>
      </c>
      <c r="E458" s="0" t="str">
        <f aca="false">CRM_Raw!E458</f>
        <v>Cordless Vacuums</v>
      </c>
      <c r="F458" s="0" t="str">
        <f aca="false">CRM_Raw!F458</f>
        <v>Social Media Ads</v>
      </c>
      <c r="G458" s="0" t="str">
        <f aca="false">IF(TRIM(CRM_Raw!G458)="","Unassigned",CRM_Raw!G458)</f>
        <v>M. Hoffmann</v>
      </c>
      <c r="H458" s="0" t="str">
        <f aca="false">CRM_Raw!H458</f>
        <v>Proposal Sent</v>
      </c>
      <c r="I458" s="10" t="n">
        <f aca="false">CRM_Raw!I458</f>
        <v>1008.13</v>
      </c>
      <c r="J458" s="11" t="n">
        <f aca="false">CRM_Raw!J458</f>
        <v>0.1</v>
      </c>
      <c r="K458" s="10" t="n">
        <f aca="false">I458*(1-J458)</f>
        <v>907.317</v>
      </c>
      <c r="L458" s="12" t="n">
        <f aca="false">CRM_Raw!K458</f>
        <v>0</v>
      </c>
      <c r="M458" s="12" t="n">
        <f aca="false">IF(H458="Closed Won",1,0)</f>
        <v>0</v>
      </c>
    </row>
    <row r="459" customFormat="false" ht="15" hidden="false" customHeight="false" outlineLevel="0" collapsed="false">
      <c r="A459" s="0" t="str">
        <f aca="false">CRM_Raw!A459</f>
        <v>D-10455</v>
      </c>
      <c r="B459" s="0" t="str">
        <f aca="false">CRM_Raw!B459</f>
        <v>2025-12-06</v>
      </c>
      <c r="C459" s="0" t="str">
        <f aca="false">CRM_Raw!C459</f>
        <v>2025-12-21</v>
      </c>
      <c r="D459" s="0" t="str">
        <f aca="false">IF(CRM_Raw!D459="DACH","DACH",IF(ISNUMBER(SEARCH("uk",CRM_Raw!D459)),"UK &amp; Ireland",PROPER(CRM_Raw!D459)))</f>
        <v>Benelux</v>
      </c>
      <c r="E459" s="0" t="str">
        <f aca="false">CRM_Raw!E459</f>
        <v>Smart Ovens</v>
      </c>
      <c r="F459" s="0" t="str">
        <f aca="false">CRM_Raw!F459</f>
        <v>Paid Search</v>
      </c>
      <c r="G459" s="0" t="str">
        <f aca="false">IF(TRIM(CRM_Raw!G459)="","Unassigned",CRM_Raw!G459)</f>
        <v>S. Andersson</v>
      </c>
      <c r="H459" s="0" t="str">
        <f aca="false">CRM_Raw!H459</f>
        <v>Closed Won</v>
      </c>
      <c r="I459" s="10" t="n">
        <f aca="false">CRM_Raw!I459</f>
        <v>1783.98</v>
      </c>
      <c r="J459" s="11" t="n">
        <f aca="false">CRM_Raw!J459</f>
        <v>0.1</v>
      </c>
      <c r="K459" s="10" t="n">
        <f aca="false">I459*(1-J459)</f>
        <v>1605.582</v>
      </c>
      <c r="L459" s="12" t="n">
        <f aca="false">CRM_Raw!K459</f>
        <v>15</v>
      </c>
      <c r="M459" s="12" t="n">
        <f aca="false">IF(H459="Closed Won",1,0)</f>
        <v>1</v>
      </c>
    </row>
    <row r="460" customFormat="false" ht="15" hidden="false" customHeight="false" outlineLevel="0" collapsed="false">
      <c r="A460" s="0" t="str">
        <f aca="false">CRM_Raw!A460</f>
        <v>D-10456</v>
      </c>
      <c r="B460" s="0" t="str">
        <f aca="false">CRM_Raw!B460</f>
        <v>2026-04-02</v>
      </c>
      <c r="C460" s="0" t="str">
        <f aca="false">CRM_Raw!C460</f>
        <v>2026-05-14</v>
      </c>
      <c r="D460" s="0" t="str">
        <f aca="false">IF(CRM_Raw!D460="DACH","DACH",IF(ISNUMBER(SEARCH("uk",CRM_Raw!D460)),"UK &amp; Ireland",PROPER(CRM_Raw!D460)))</f>
        <v>North America</v>
      </c>
      <c r="E460" s="0" t="str">
        <f aca="false">CRM_Raw!E460</f>
        <v>Small Kitchen Appliances</v>
      </c>
      <c r="F460" s="0" t="str">
        <f aca="false">CRM_Raw!F460</f>
        <v>Web-shop Organic</v>
      </c>
      <c r="G460" s="0" t="str">
        <f aca="false">IF(TRIM(CRM_Raw!G460)="","Unassigned",CRM_Raw!G460)</f>
        <v>P. Rossi</v>
      </c>
      <c r="H460" s="0" t="str">
        <f aca="false">CRM_Raw!H460</f>
        <v>Closed Won</v>
      </c>
      <c r="I460" s="10" t="n">
        <f aca="false">CRM_Raw!I460</f>
        <v>386.12</v>
      </c>
      <c r="J460" s="11" t="n">
        <f aca="false">CRM_Raw!J460</f>
        <v>0</v>
      </c>
      <c r="K460" s="10" t="n">
        <f aca="false">I460*(1-J460)</f>
        <v>386.12</v>
      </c>
      <c r="L460" s="12" t="n">
        <f aca="false">CRM_Raw!K460</f>
        <v>42</v>
      </c>
      <c r="M460" s="12" t="n">
        <f aca="false">IF(H460="Closed Won",1,0)</f>
        <v>1</v>
      </c>
    </row>
    <row r="461" customFormat="false" ht="15" hidden="false" customHeight="false" outlineLevel="0" collapsed="false">
      <c r="A461" s="0" t="str">
        <f aca="false">CRM_Raw!A461</f>
        <v>D-10457</v>
      </c>
      <c r="B461" s="0" t="str">
        <f aca="false">CRM_Raw!B461</f>
        <v>2025-04-27</v>
      </c>
      <c r="C461" s="0" t="str">
        <f aca="false">CRM_Raw!C461</f>
        <v>2025-05-10</v>
      </c>
      <c r="D461" s="0" t="str">
        <f aca="false">IF(CRM_Raw!D461="DACH","DACH",IF(ISNUMBER(SEARCH("uk",CRM_Raw!D461)),"UK &amp; Ireland",PROPER(CRM_Raw!D461)))</f>
        <v>DACH</v>
      </c>
      <c r="E461" s="0" t="str">
        <f aca="false">CRM_Raw!E461</f>
        <v>Small Kitchen Appliances</v>
      </c>
      <c r="F461" s="0" t="str">
        <f aca="false">CRM_Raw!F461</f>
        <v>Retail Referral</v>
      </c>
      <c r="G461" s="0" t="str">
        <f aca="false">IF(TRIM(CRM_Raw!G461)="","Unassigned",CRM_Raw!G461)</f>
        <v>K. Nilsson</v>
      </c>
      <c r="H461" s="0" t="str">
        <f aca="false">CRM_Raw!H461</f>
        <v>Closed Lost</v>
      </c>
      <c r="I461" s="10" t="n">
        <f aca="false">CRM_Raw!I461</f>
        <v>136.69</v>
      </c>
      <c r="J461" s="11" t="n">
        <f aca="false">CRM_Raw!J461</f>
        <v>0.1</v>
      </c>
      <c r="K461" s="10" t="n">
        <f aca="false">I461*(1-J461)</f>
        <v>123.021</v>
      </c>
      <c r="L461" s="12" t="n">
        <f aca="false">CRM_Raw!K461</f>
        <v>13</v>
      </c>
      <c r="M461" s="12" t="n">
        <f aca="false">IF(H461="Closed Won",1,0)</f>
        <v>0</v>
      </c>
    </row>
    <row r="462" customFormat="false" ht="15" hidden="false" customHeight="false" outlineLevel="0" collapsed="false">
      <c r="A462" s="0" t="str">
        <f aca="false">CRM_Raw!A462</f>
        <v>D-10458</v>
      </c>
      <c r="B462" s="0" t="str">
        <f aca="false">CRM_Raw!B462</f>
        <v>2025-10-31</v>
      </c>
      <c r="C462" s="0" t="n">
        <f aca="false">CRM_Raw!C462</f>
        <v>0</v>
      </c>
      <c r="D462" s="0" t="str">
        <f aca="false">IF(CRM_Raw!D462="DACH","DACH",IF(ISNUMBER(SEARCH("uk",CRM_Raw!D462)),"UK &amp; Ireland",PROPER(CRM_Raw!D462)))</f>
        <v>North America</v>
      </c>
      <c r="E462" s="0" t="str">
        <f aca="false">CRM_Raw!E462</f>
        <v>Washing Machines</v>
      </c>
      <c r="F462" s="0" t="str">
        <f aca="false">CRM_Raw!F462</f>
        <v>Paid Search</v>
      </c>
      <c r="G462" s="0" t="str">
        <f aca="false">IF(TRIM(CRM_Raw!G462)="","Unassigned",CRM_Raw!G462)</f>
        <v>A. Becker</v>
      </c>
      <c r="H462" s="0" t="str">
        <f aca="false">CRM_Raw!H462</f>
        <v>Qualified</v>
      </c>
      <c r="I462" s="10" t="n">
        <f aca="false">CRM_Raw!I462</f>
        <v>1875.3</v>
      </c>
      <c r="J462" s="11" t="n">
        <f aca="false">CRM_Raw!J462</f>
        <v>0</v>
      </c>
      <c r="K462" s="10" t="n">
        <f aca="false">I462*(1-J462)</f>
        <v>1875.3</v>
      </c>
      <c r="L462" s="12" t="n">
        <f aca="false">CRM_Raw!K462</f>
        <v>0</v>
      </c>
      <c r="M462" s="12" t="n">
        <f aca="false">IF(H462="Closed Won",1,0)</f>
        <v>0</v>
      </c>
    </row>
    <row r="463" customFormat="false" ht="15" hidden="false" customHeight="false" outlineLevel="0" collapsed="false">
      <c r="A463" s="0" t="str">
        <f aca="false">CRM_Raw!A463</f>
        <v>D-10459</v>
      </c>
      <c r="B463" s="0" t="str">
        <f aca="false">CRM_Raw!B463</f>
        <v>2025-03-09</v>
      </c>
      <c r="C463" s="0" t="str">
        <f aca="false">CRM_Raw!C463</f>
        <v>2025-03-28</v>
      </c>
      <c r="D463" s="0" t="str">
        <f aca="false">IF(CRM_Raw!D463="DACH","DACH",IF(ISNUMBER(SEARCH("uk",CRM_Raw!D463)),"UK &amp; Ireland",PROPER(CRM_Raw!D463)))</f>
        <v>DACH</v>
      </c>
      <c r="E463" s="0" t="str">
        <f aca="false">CRM_Raw!E463</f>
        <v>Coffee Systems</v>
      </c>
      <c r="F463" s="0" t="str">
        <f aca="false">CRM_Raw!F463</f>
        <v>Trade Show</v>
      </c>
      <c r="G463" s="0" t="str">
        <f aca="false">IF(TRIM(CRM_Raw!G463)="","Unassigned",CRM_Raw!G463)</f>
        <v>A. Becker</v>
      </c>
      <c r="H463" s="0" t="str">
        <f aca="false">CRM_Raw!H463</f>
        <v>Closed Won</v>
      </c>
      <c r="I463" s="10" t="n">
        <f aca="false">CRM_Raw!I463</f>
        <v>546.14</v>
      </c>
      <c r="J463" s="11" t="n">
        <f aca="false">CRM_Raw!J463</f>
        <v>0.2</v>
      </c>
      <c r="K463" s="10" t="n">
        <f aca="false">I463*(1-J463)</f>
        <v>436.912</v>
      </c>
      <c r="L463" s="12" t="n">
        <f aca="false">CRM_Raw!K463</f>
        <v>19</v>
      </c>
      <c r="M463" s="12" t="n">
        <f aca="false">IF(H463="Closed Won",1,0)</f>
        <v>1</v>
      </c>
    </row>
    <row r="464" customFormat="false" ht="15" hidden="false" customHeight="false" outlineLevel="0" collapsed="false">
      <c r="A464" s="0" t="str">
        <f aca="false">CRM_Raw!A464</f>
        <v>D-10460</v>
      </c>
      <c r="B464" s="0" t="str">
        <f aca="false">CRM_Raw!B464</f>
        <v>2026-03-22</v>
      </c>
      <c r="C464" s="0" t="n">
        <f aca="false">CRM_Raw!C464</f>
        <v>0</v>
      </c>
      <c r="D464" s="0" t="str">
        <f aca="false">IF(CRM_Raw!D464="DACH","DACH",IF(ISNUMBER(SEARCH("uk",CRM_Raw!D464)),"UK &amp; Ireland",PROPER(CRM_Raw!D464)))</f>
        <v>Southern Europe</v>
      </c>
      <c r="E464" s="0" t="str">
        <f aca="false">CRM_Raw!E464</f>
        <v>Dishwashers</v>
      </c>
      <c r="F464" s="0" t="str">
        <f aca="false">CRM_Raw!F464</f>
        <v>Email Campaign</v>
      </c>
      <c r="G464" s="0" t="str">
        <f aca="false">IF(TRIM(CRM_Raw!G464)="","Unassigned",CRM_Raw!G464)</f>
        <v>S. Andersson</v>
      </c>
      <c r="H464" s="0" t="str">
        <f aca="false">CRM_Raw!H464</f>
        <v>Negotiation</v>
      </c>
      <c r="I464" s="10" t="n">
        <f aca="false">CRM_Raw!I464</f>
        <v>798.54</v>
      </c>
      <c r="J464" s="11" t="n">
        <f aca="false">CRM_Raw!J464</f>
        <v>0</v>
      </c>
      <c r="K464" s="10" t="n">
        <f aca="false">I464*(1-J464)</f>
        <v>798.54</v>
      </c>
      <c r="L464" s="12" t="n">
        <f aca="false">CRM_Raw!K464</f>
        <v>0</v>
      </c>
      <c r="M464" s="12" t="n">
        <f aca="false">IF(H464="Closed Won",1,0)</f>
        <v>0</v>
      </c>
    </row>
    <row r="465" customFormat="false" ht="15" hidden="false" customHeight="false" outlineLevel="0" collapsed="false">
      <c r="A465" s="0" t="str">
        <f aca="false">CRM_Raw!A465</f>
        <v>D-10461</v>
      </c>
      <c r="B465" s="0" t="str">
        <f aca="false">CRM_Raw!B465</f>
        <v>2025-03-17</v>
      </c>
      <c r="C465" s="0" t="str">
        <f aca="false">CRM_Raw!C465</f>
        <v>2025-04-10</v>
      </c>
      <c r="D465" s="0" t="str">
        <f aca="false">IF(CRM_Raw!D465="DACH","DACH",IF(ISNUMBER(SEARCH("uk",CRM_Raw!D465)),"UK &amp; Ireland",PROPER(CRM_Raw!D465)))</f>
        <v>Benelux</v>
      </c>
      <c r="E465" s="0" t="str">
        <f aca="false">CRM_Raw!E465</f>
        <v>Small Kitchen Appliances</v>
      </c>
      <c r="F465" s="0" t="str">
        <f aca="false">CRM_Raw!F465</f>
        <v>Paid Search</v>
      </c>
      <c r="G465" s="0" t="str">
        <f aca="false">IF(TRIM(CRM_Raw!G465)="","Unassigned",CRM_Raw!G465)</f>
        <v>L. Dubois</v>
      </c>
      <c r="H465" s="0" t="str">
        <f aca="false">CRM_Raw!H465</f>
        <v>Closed Won</v>
      </c>
      <c r="I465" s="10" t="n">
        <f aca="false">CRM_Raw!I465</f>
        <v>126.71</v>
      </c>
      <c r="J465" s="11" t="n">
        <f aca="false">CRM_Raw!J465</f>
        <v>0</v>
      </c>
      <c r="K465" s="10" t="n">
        <f aca="false">I465*(1-J465)</f>
        <v>126.71</v>
      </c>
      <c r="L465" s="12" t="n">
        <f aca="false">CRM_Raw!K465</f>
        <v>24</v>
      </c>
      <c r="M465" s="12" t="n">
        <f aca="false">IF(H465="Closed Won",1,0)</f>
        <v>1</v>
      </c>
    </row>
    <row r="466" customFormat="false" ht="15" hidden="false" customHeight="false" outlineLevel="0" collapsed="false">
      <c r="A466" s="0" t="str">
        <f aca="false">CRM_Raw!A466</f>
        <v>D-10462</v>
      </c>
      <c r="B466" s="0" t="str">
        <f aca="false">CRM_Raw!B466</f>
        <v>2026-03-20</v>
      </c>
      <c r="C466" s="0" t="str">
        <f aca="false">CRM_Raw!C466</f>
        <v>2026-03-29</v>
      </c>
      <c r="D466" s="0" t="str">
        <f aca="false">IF(CRM_Raw!D466="DACH","DACH",IF(ISNUMBER(SEARCH("uk",CRM_Raw!D466)),"UK &amp; Ireland",PROPER(CRM_Raw!D466)))</f>
        <v>Benelux</v>
      </c>
      <c r="E466" s="0" t="str">
        <f aca="false">CRM_Raw!E466</f>
        <v>Dishwashers</v>
      </c>
      <c r="F466" s="0" t="str">
        <f aca="false">CRM_Raw!F466</f>
        <v>Social Media Ads</v>
      </c>
      <c r="G466" s="0" t="str">
        <f aca="false">IF(TRIM(CRM_Raw!G466)="","Unassigned",CRM_Raw!G466)</f>
        <v>K. Nilsson</v>
      </c>
      <c r="H466" s="0" t="str">
        <f aca="false">CRM_Raw!H466</f>
        <v>Closed Won</v>
      </c>
      <c r="I466" s="10" t="n">
        <f aca="false">CRM_Raw!I466</f>
        <v>703.75</v>
      </c>
      <c r="J466" s="11" t="n">
        <f aca="false">CRM_Raw!J466</f>
        <v>0.1</v>
      </c>
      <c r="K466" s="10" t="n">
        <f aca="false">I466*(1-J466)</f>
        <v>633.375</v>
      </c>
      <c r="L466" s="12" t="n">
        <f aca="false">CRM_Raw!K466</f>
        <v>9</v>
      </c>
      <c r="M466" s="12" t="n">
        <f aca="false">IF(H466="Closed Won",1,0)</f>
        <v>1</v>
      </c>
    </row>
    <row r="467" customFormat="false" ht="15" hidden="false" customHeight="false" outlineLevel="0" collapsed="false">
      <c r="A467" s="0" t="str">
        <f aca="false">CRM_Raw!A467</f>
        <v>D-10463</v>
      </c>
      <c r="B467" s="0" t="str">
        <f aca="false">CRM_Raw!B467</f>
        <v>2025-02-16</v>
      </c>
      <c r="C467" s="0" t="n">
        <f aca="false">CRM_Raw!C467</f>
        <v>0</v>
      </c>
      <c r="D467" s="0" t="str">
        <f aca="false">IF(CRM_Raw!D467="DACH","DACH",IF(ISNUMBER(SEARCH("uk",CRM_Raw!D467)),"UK &amp; Ireland",PROPER(CRM_Raw!D467)))</f>
        <v>DACH</v>
      </c>
      <c r="E467" s="0" t="str">
        <f aca="false">CRM_Raw!E467</f>
        <v>Small Kitchen Appliances</v>
      </c>
      <c r="F467" s="0" t="str">
        <f aca="false">CRM_Raw!F467</f>
        <v>Affiliate Partner</v>
      </c>
      <c r="G467" s="0" t="str">
        <f aca="false">IF(TRIM(CRM_Raw!G467)="","Unassigned",CRM_Raw!G467)</f>
        <v>L. Dubois</v>
      </c>
      <c r="H467" s="0" t="str">
        <f aca="false">CRM_Raw!H467</f>
        <v>Negotiation</v>
      </c>
      <c r="I467" s="10" t="n">
        <f aca="false">CRM_Raw!I467</f>
        <v>335.41</v>
      </c>
      <c r="J467" s="11" t="n">
        <f aca="false">CRM_Raw!J467</f>
        <v>0</v>
      </c>
      <c r="K467" s="10" t="n">
        <f aca="false">I467*(1-J467)</f>
        <v>335.41</v>
      </c>
      <c r="L467" s="12" t="n">
        <f aca="false">CRM_Raw!K467</f>
        <v>0</v>
      </c>
      <c r="M467" s="12" t="n">
        <f aca="false">IF(H467="Closed Won",1,0)</f>
        <v>0</v>
      </c>
    </row>
    <row r="468" customFormat="false" ht="15" hidden="false" customHeight="false" outlineLevel="0" collapsed="false">
      <c r="A468" s="0" t="str">
        <f aca="false">CRM_Raw!A468</f>
        <v>D-10464</v>
      </c>
      <c r="B468" s="0" t="str">
        <f aca="false">CRM_Raw!B468</f>
        <v>2025-10-16</v>
      </c>
      <c r="C468" s="0" t="n">
        <f aca="false">CRM_Raw!C468</f>
        <v>0</v>
      </c>
      <c r="D468" s="0" t="str">
        <f aca="false">IF(CRM_Raw!D468="DACH","DACH",IF(ISNUMBER(SEARCH("uk",CRM_Raw!D468)),"UK &amp; Ireland",PROPER(CRM_Raw!D468)))</f>
        <v>France</v>
      </c>
      <c r="E468" s="0" t="str">
        <f aca="false">CRM_Raw!E468</f>
        <v>Small Kitchen Appliances</v>
      </c>
      <c r="F468" s="0" t="str">
        <f aca="false">CRM_Raw!F468</f>
        <v>Paid Search</v>
      </c>
      <c r="G468" s="0" t="str">
        <f aca="false">IF(TRIM(CRM_Raw!G468)="","Unassigned",CRM_Raw!G468)</f>
        <v>L. Dubois</v>
      </c>
      <c r="H468" s="0" t="str">
        <f aca="false">CRM_Raw!H468</f>
        <v>Proposal Sent</v>
      </c>
      <c r="I468" s="10" t="n">
        <f aca="false">CRM_Raw!I468</f>
        <v>245.27</v>
      </c>
      <c r="J468" s="11" t="n">
        <f aca="false">CRM_Raw!J468</f>
        <v>0.2</v>
      </c>
      <c r="K468" s="10" t="n">
        <f aca="false">I468*(1-J468)</f>
        <v>196.216</v>
      </c>
      <c r="L468" s="12" t="n">
        <f aca="false">CRM_Raw!K468</f>
        <v>0</v>
      </c>
      <c r="M468" s="12" t="n">
        <f aca="false">IF(H468="Closed Won",1,0)</f>
        <v>0</v>
      </c>
    </row>
    <row r="469" customFormat="false" ht="15" hidden="false" customHeight="false" outlineLevel="0" collapsed="false">
      <c r="A469" s="0" t="str">
        <f aca="false">CRM_Raw!A469</f>
        <v>D-10465</v>
      </c>
      <c r="B469" s="0" t="str">
        <f aca="false">CRM_Raw!B469</f>
        <v>2025-05-20</v>
      </c>
      <c r="C469" s="0" t="n">
        <f aca="false">CRM_Raw!C469</f>
        <v>0</v>
      </c>
      <c r="D469" s="0" t="str">
        <f aca="false">IF(CRM_Raw!D469="DACH","DACH",IF(ISNUMBER(SEARCH("uk",CRM_Raw!D469)),"UK &amp; Ireland",PROPER(CRM_Raw!D469)))</f>
        <v>Southern Europe</v>
      </c>
      <c r="E469" s="0" t="str">
        <f aca="false">CRM_Raw!E469</f>
        <v>Smart Ovens</v>
      </c>
      <c r="F469" s="0" t="str">
        <f aca="false">CRM_Raw!F469</f>
        <v>Social Media Ads</v>
      </c>
      <c r="G469" s="0" t="str">
        <f aca="false">IF(TRIM(CRM_Raw!G469)="","Unassigned",CRM_Raw!G469)</f>
        <v>S. Andersson</v>
      </c>
      <c r="H469" s="0" t="str">
        <f aca="false">CRM_Raw!H469</f>
        <v>Negotiation</v>
      </c>
      <c r="I469" s="10" t="n">
        <f aca="false">CRM_Raw!I469</f>
        <v>2786.69</v>
      </c>
      <c r="J469" s="11" t="n">
        <f aca="false">CRM_Raw!J469</f>
        <v>0</v>
      </c>
      <c r="K469" s="10" t="n">
        <f aca="false">I469*(1-J469)</f>
        <v>2786.69</v>
      </c>
      <c r="L469" s="12" t="n">
        <f aca="false">CRM_Raw!K469</f>
        <v>0</v>
      </c>
      <c r="M469" s="12" t="n">
        <f aca="false">IF(H469="Closed Won",1,0)</f>
        <v>0</v>
      </c>
    </row>
    <row r="470" customFormat="false" ht="15" hidden="false" customHeight="false" outlineLevel="0" collapsed="false">
      <c r="A470" s="0" t="str">
        <f aca="false">CRM_Raw!A470</f>
        <v>D-10466</v>
      </c>
      <c r="B470" s="0" t="str">
        <f aca="false">CRM_Raw!B470</f>
        <v>2025-01-12</v>
      </c>
      <c r="C470" s="0" t="str">
        <f aca="false">CRM_Raw!C470</f>
        <v>2025-01-28</v>
      </c>
      <c r="D470" s="0" t="str">
        <f aca="false">IF(CRM_Raw!D470="DACH","DACH",IF(ISNUMBER(SEARCH("uk",CRM_Raw!D470)),"UK &amp; Ireland",PROPER(CRM_Raw!D470)))</f>
        <v>Southern Europe</v>
      </c>
      <c r="E470" s="0" t="str">
        <f aca="false">CRM_Raw!E470</f>
        <v>Coffee Systems</v>
      </c>
      <c r="F470" s="0" t="str">
        <f aca="false">CRM_Raw!F470</f>
        <v>Paid Search</v>
      </c>
      <c r="G470" s="0" t="str">
        <f aca="false">IF(TRIM(CRM_Raw!G470)="","Unassigned",CRM_Raw!G470)</f>
        <v>P. Rossi</v>
      </c>
      <c r="H470" s="0" t="str">
        <f aca="false">CRM_Raw!H470</f>
        <v>Closed Lost</v>
      </c>
      <c r="I470" s="10" t="n">
        <f aca="false">CRM_Raw!I470</f>
        <v>1401.86</v>
      </c>
      <c r="J470" s="11" t="n">
        <f aca="false">CRM_Raw!J470</f>
        <v>0.05</v>
      </c>
      <c r="K470" s="10" t="n">
        <f aca="false">I470*(1-J470)</f>
        <v>1331.767</v>
      </c>
      <c r="L470" s="12" t="n">
        <f aca="false">CRM_Raw!K470</f>
        <v>16</v>
      </c>
      <c r="M470" s="12" t="n">
        <f aca="false">IF(H470="Closed Won",1,0)</f>
        <v>0</v>
      </c>
    </row>
    <row r="471" customFormat="false" ht="15" hidden="false" customHeight="false" outlineLevel="0" collapsed="false">
      <c r="A471" s="0" t="str">
        <f aca="false">CRM_Raw!A471</f>
        <v>D-10467</v>
      </c>
      <c r="B471" s="0" t="str">
        <f aca="false">CRM_Raw!B471</f>
        <v>2025-08-04</v>
      </c>
      <c r="C471" s="0" t="n">
        <f aca="false">CRM_Raw!C471</f>
        <v>0</v>
      </c>
      <c r="D471" s="0" t="str">
        <f aca="false">IF(CRM_Raw!D471="DACH","DACH",IF(ISNUMBER(SEARCH("uk",CRM_Raw!D471)),"UK &amp; Ireland",PROPER(CRM_Raw!D471)))</f>
        <v>Nordics</v>
      </c>
      <c r="E471" s="0" t="str">
        <f aca="false">CRM_Raw!E471</f>
        <v>Washing Machines</v>
      </c>
      <c r="F471" s="0" t="str">
        <f aca="false">CRM_Raw!F471</f>
        <v>Retail Referral</v>
      </c>
      <c r="G471" s="0" t="str">
        <f aca="false">IF(TRIM(CRM_Raw!G471)="","Unassigned",CRM_Raw!G471)</f>
        <v>J. Murphy</v>
      </c>
      <c r="H471" s="0" t="str">
        <f aca="false">CRM_Raw!H471</f>
        <v>Negotiation</v>
      </c>
      <c r="I471" s="10" t="n">
        <f aca="false">CRM_Raw!I471</f>
        <v>739.41</v>
      </c>
      <c r="J471" s="11" t="n">
        <f aca="false">CRM_Raw!J471</f>
        <v>0</v>
      </c>
      <c r="K471" s="10" t="n">
        <f aca="false">I471*(1-J471)</f>
        <v>739.41</v>
      </c>
      <c r="L471" s="12" t="n">
        <f aca="false">CRM_Raw!K471</f>
        <v>0</v>
      </c>
      <c r="M471" s="12" t="n">
        <f aca="false">IF(H471="Closed Won",1,0)</f>
        <v>0</v>
      </c>
    </row>
    <row r="472" customFormat="false" ht="15" hidden="false" customHeight="false" outlineLevel="0" collapsed="false">
      <c r="A472" s="0" t="str">
        <f aca="false">CRM_Raw!A472</f>
        <v>D-10468</v>
      </c>
      <c r="B472" s="0" t="str">
        <f aca="false">CRM_Raw!B472</f>
        <v>2025-06-14</v>
      </c>
      <c r="C472" s="0" t="str">
        <f aca="false">CRM_Raw!C472</f>
        <v>2025-07-03</v>
      </c>
      <c r="D472" s="0" t="str">
        <f aca="false">IF(CRM_Raw!D472="DACH","DACH",IF(ISNUMBER(SEARCH("uk",CRM_Raw!D472)),"UK &amp; Ireland",PROPER(CRM_Raw!D472)))</f>
        <v>Benelux</v>
      </c>
      <c r="E472" s="0" t="str">
        <f aca="false">CRM_Raw!E472</f>
        <v>Small Kitchen Appliances</v>
      </c>
      <c r="F472" s="0" t="str">
        <f aca="false">CRM_Raw!F472</f>
        <v>Retail Referral</v>
      </c>
      <c r="G472" s="0" t="str">
        <f aca="false">IF(TRIM(CRM_Raw!G472)="","Unassigned",CRM_Raw!G472)</f>
        <v>M. Hoffmann</v>
      </c>
      <c r="H472" s="0" t="str">
        <f aca="false">CRM_Raw!H472</f>
        <v>Closed Won</v>
      </c>
      <c r="I472" s="10" t="n">
        <f aca="false">CRM_Raw!I472</f>
        <v>127.95</v>
      </c>
      <c r="J472" s="11" t="n">
        <f aca="false">CRM_Raw!J472</f>
        <v>0</v>
      </c>
      <c r="K472" s="10" t="n">
        <f aca="false">I472*(1-J472)</f>
        <v>127.95</v>
      </c>
      <c r="L472" s="12" t="n">
        <f aca="false">CRM_Raw!K472</f>
        <v>19</v>
      </c>
      <c r="M472" s="12" t="n">
        <f aca="false">IF(H472="Closed Won",1,0)</f>
        <v>1</v>
      </c>
    </row>
    <row r="473" customFormat="false" ht="15" hidden="false" customHeight="false" outlineLevel="0" collapsed="false">
      <c r="A473" s="0" t="str">
        <f aca="false">CRM_Raw!A473</f>
        <v>D-10469</v>
      </c>
      <c r="B473" s="0" t="str">
        <f aca="false">CRM_Raw!B473</f>
        <v>2026-04-18</v>
      </c>
      <c r="C473" s="0" t="n">
        <f aca="false">CRM_Raw!C473</f>
        <v>0</v>
      </c>
      <c r="D473" s="0" t="str">
        <f aca="false">IF(CRM_Raw!D473="DACH","DACH",IF(ISNUMBER(SEARCH("uk",CRM_Raw!D473)),"UK &amp; Ireland",PROPER(CRM_Raw!D473)))</f>
        <v>DACH</v>
      </c>
      <c r="E473" s="0" t="str">
        <f aca="false">CRM_Raw!E473</f>
        <v>Coffee Systems</v>
      </c>
      <c r="F473" s="0" t="str">
        <f aca="false">CRM_Raw!F473</f>
        <v>Affiliate Partner</v>
      </c>
      <c r="G473" s="0" t="str">
        <f aca="false">IF(TRIM(CRM_Raw!G473)="","Unassigned",CRM_Raw!G473)</f>
        <v>A. Becker</v>
      </c>
      <c r="H473" s="0" t="str">
        <f aca="false">CRM_Raw!H473</f>
        <v>Negotiation</v>
      </c>
      <c r="I473" s="10" t="n">
        <f aca="false">CRM_Raw!I473</f>
        <v>475.89</v>
      </c>
      <c r="J473" s="11" t="n">
        <f aca="false">CRM_Raw!J473</f>
        <v>0</v>
      </c>
      <c r="K473" s="10" t="n">
        <f aca="false">I473*(1-J473)</f>
        <v>475.89</v>
      </c>
      <c r="L473" s="12" t="n">
        <f aca="false">CRM_Raw!K473</f>
        <v>0</v>
      </c>
      <c r="M473" s="12" t="n">
        <f aca="false">IF(H473="Closed Won",1,0)</f>
        <v>0</v>
      </c>
    </row>
    <row r="474" customFormat="false" ht="15" hidden="false" customHeight="false" outlineLevel="0" collapsed="false">
      <c r="A474" s="0" t="str">
        <f aca="false">CRM_Raw!A474</f>
        <v>D-10470</v>
      </c>
      <c r="B474" s="0" t="str">
        <f aca="false">CRM_Raw!B474</f>
        <v>2025-12-05</v>
      </c>
      <c r="C474" s="0" t="str">
        <f aca="false">CRM_Raw!C474</f>
        <v>2025-12-22</v>
      </c>
      <c r="D474" s="0" t="str">
        <f aca="false">IF(CRM_Raw!D474="DACH","DACH",IF(ISNUMBER(SEARCH("uk",CRM_Raw!D474)),"UK &amp; Ireland",PROPER(CRM_Raw!D474)))</f>
        <v>DACH</v>
      </c>
      <c r="E474" s="0" t="str">
        <f aca="false">CRM_Raw!E474</f>
        <v>Coffee Systems</v>
      </c>
      <c r="F474" s="0" t="str">
        <f aca="false">CRM_Raw!F474</f>
        <v>Affiliate Partner</v>
      </c>
      <c r="G474" s="0" t="str">
        <f aca="false">IF(TRIM(CRM_Raw!G474)="","Unassigned",CRM_Raw!G474)</f>
        <v>T. Wagner</v>
      </c>
      <c r="H474" s="0" t="str">
        <f aca="false">CRM_Raw!H474</f>
        <v>Closed Won</v>
      </c>
      <c r="I474" s="10" t="n">
        <f aca="false">CRM_Raw!I474</f>
        <v>502.65</v>
      </c>
      <c r="J474" s="11" t="n">
        <f aca="false">CRM_Raw!J474</f>
        <v>0</v>
      </c>
      <c r="K474" s="10" t="n">
        <f aca="false">I474*(1-J474)</f>
        <v>502.65</v>
      </c>
      <c r="L474" s="12" t="n">
        <f aca="false">CRM_Raw!K474</f>
        <v>17</v>
      </c>
      <c r="M474" s="12" t="n">
        <f aca="false">IF(H474="Closed Won",1,0)</f>
        <v>1</v>
      </c>
    </row>
    <row r="475" customFormat="false" ht="15" hidden="false" customHeight="false" outlineLevel="0" collapsed="false">
      <c r="A475" s="0" t="str">
        <f aca="false">CRM_Raw!A475</f>
        <v>D-10471</v>
      </c>
      <c r="B475" s="0" t="str">
        <f aca="false">CRM_Raw!B475</f>
        <v>2025-06-06</v>
      </c>
      <c r="C475" s="0" t="str">
        <f aca="false">CRM_Raw!C475</f>
        <v>2025-06-21</v>
      </c>
      <c r="D475" s="0" t="str">
        <f aca="false">IF(CRM_Raw!D475="DACH","DACH",IF(ISNUMBER(SEARCH("uk",CRM_Raw!D475)),"UK &amp; Ireland",PROPER(CRM_Raw!D475)))</f>
        <v>France</v>
      </c>
      <c r="E475" s="0" t="str">
        <f aca="false">CRM_Raw!E475</f>
        <v>Dishwashers</v>
      </c>
      <c r="F475" s="0" t="str">
        <f aca="false">CRM_Raw!F475</f>
        <v>Social Media Ads</v>
      </c>
      <c r="G475" s="0" t="str">
        <f aca="false">IF(TRIM(CRM_Raw!G475)="","Unassigned",CRM_Raw!G475)</f>
        <v>J. Murphy</v>
      </c>
      <c r="H475" s="0" t="str">
        <f aca="false">CRM_Raw!H475</f>
        <v>Closed Lost</v>
      </c>
      <c r="I475" s="10" t="n">
        <f aca="false">CRM_Raw!I475</f>
        <v>699.44</v>
      </c>
      <c r="J475" s="11" t="n">
        <f aca="false">CRM_Raw!J475</f>
        <v>0.05</v>
      </c>
      <c r="K475" s="10" t="n">
        <f aca="false">I475*(1-J475)</f>
        <v>664.468</v>
      </c>
      <c r="L475" s="12" t="n">
        <f aca="false">CRM_Raw!K475</f>
        <v>15</v>
      </c>
      <c r="M475" s="12" t="n">
        <f aca="false">IF(H475="Closed Won",1,0)</f>
        <v>0</v>
      </c>
    </row>
    <row r="476" customFormat="false" ht="15" hidden="false" customHeight="false" outlineLevel="0" collapsed="false">
      <c r="A476" s="0" t="str">
        <f aca="false">CRM_Raw!A476</f>
        <v>D-10472</v>
      </c>
      <c r="B476" s="0" t="str">
        <f aca="false">CRM_Raw!B476</f>
        <v>2026-03-23</v>
      </c>
      <c r="C476" s="0" t="str">
        <f aca="false">CRM_Raw!C476</f>
        <v>2026-04-04</v>
      </c>
      <c r="D476" s="0" t="str">
        <f aca="false">IF(CRM_Raw!D476="DACH","DACH",IF(ISNUMBER(SEARCH("uk",CRM_Raw!D476)),"UK &amp; Ireland",PROPER(CRM_Raw!D476)))</f>
        <v>UK &amp; Ireland</v>
      </c>
      <c r="E476" s="0" t="str">
        <f aca="false">CRM_Raw!E476</f>
        <v>Smart Ovens</v>
      </c>
      <c r="F476" s="0" t="str">
        <f aca="false">CRM_Raw!F476</f>
        <v>Paid Search</v>
      </c>
      <c r="G476" s="0" t="str">
        <f aca="false">IF(TRIM(CRM_Raw!G476)="","Unassigned",CRM_Raw!G476)</f>
        <v>S. Andersson</v>
      </c>
      <c r="H476" s="0" t="str">
        <f aca="false">CRM_Raw!H476</f>
        <v>Closed Won</v>
      </c>
      <c r="I476" s="10" t="n">
        <f aca="false">CRM_Raw!I476</f>
        <v>1665.41</v>
      </c>
      <c r="J476" s="11" t="n">
        <f aca="false">CRM_Raw!J476</f>
        <v>0.05</v>
      </c>
      <c r="K476" s="10" t="n">
        <f aca="false">I476*(1-J476)</f>
        <v>1582.1395</v>
      </c>
      <c r="L476" s="12" t="n">
        <f aca="false">CRM_Raw!K476</f>
        <v>12</v>
      </c>
      <c r="M476" s="12" t="n">
        <f aca="false">IF(H476="Closed Won",1,0)</f>
        <v>1</v>
      </c>
    </row>
    <row r="477" customFormat="false" ht="15" hidden="false" customHeight="false" outlineLevel="0" collapsed="false">
      <c r="A477" s="0" t="str">
        <f aca="false">CRM_Raw!A477</f>
        <v>D-10473</v>
      </c>
      <c r="B477" s="0" t="str">
        <f aca="false">CRM_Raw!B477</f>
        <v>2025-04-22</v>
      </c>
      <c r="C477" s="0" t="str">
        <f aca="false">CRM_Raw!C477</f>
        <v>2025-05-23</v>
      </c>
      <c r="D477" s="0" t="str">
        <f aca="false">IF(CRM_Raw!D477="DACH","DACH",IF(ISNUMBER(SEARCH("uk",CRM_Raw!D477)),"UK &amp; Ireland",PROPER(CRM_Raw!D477)))</f>
        <v>Benelux</v>
      </c>
      <c r="E477" s="0" t="str">
        <f aca="false">CRM_Raw!E477</f>
        <v>Cordless Vacuums</v>
      </c>
      <c r="F477" s="0" t="str">
        <f aca="false">CRM_Raw!F477</f>
        <v>Email Campaign</v>
      </c>
      <c r="G477" s="0" t="str">
        <f aca="false">IF(TRIM(CRM_Raw!G477)="","Unassigned",CRM_Raw!G477)</f>
        <v>T. Wagner</v>
      </c>
      <c r="H477" s="0" t="str">
        <f aca="false">CRM_Raw!H477</f>
        <v>Closed Won</v>
      </c>
      <c r="I477" s="10" t="n">
        <f aca="false">CRM_Raw!I477</f>
        <v>375.03</v>
      </c>
      <c r="J477" s="11" t="n">
        <f aca="false">CRM_Raw!J477</f>
        <v>0.2</v>
      </c>
      <c r="K477" s="10" t="n">
        <f aca="false">I477*(1-J477)</f>
        <v>300.024</v>
      </c>
      <c r="L477" s="12" t="n">
        <f aca="false">CRM_Raw!K477</f>
        <v>31</v>
      </c>
      <c r="M477" s="12" t="n">
        <f aca="false">IF(H477="Closed Won",1,0)</f>
        <v>1</v>
      </c>
    </row>
    <row r="478" customFormat="false" ht="15" hidden="false" customHeight="false" outlineLevel="0" collapsed="false">
      <c r="A478" s="0" t="str">
        <f aca="false">CRM_Raw!A478</f>
        <v>D-10474</v>
      </c>
      <c r="B478" s="0" t="str">
        <f aca="false">CRM_Raw!B478</f>
        <v>2025-09-27</v>
      </c>
      <c r="C478" s="0" t="n">
        <f aca="false">CRM_Raw!C478</f>
        <v>0</v>
      </c>
      <c r="D478" s="0" t="str">
        <f aca="false">IF(CRM_Raw!D478="DACH","DACH",IF(ISNUMBER(SEARCH("uk",CRM_Raw!D478)),"UK &amp; Ireland",PROPER(CRM_Raw!D478)))</f>
        <v>North America</v>
      </c>
      <c r="E478" s="0" t="str">
        <f aca="false">CRM_Raw!E478</f>
        <v>Coffee Systems</v>
      </c>
      <c r="F478" s="0" t="str">
        <f aca="false">CRM_Raw!F478</f>
        <v>Retail Referral</v>
      </c>
      <c r="G478" s="0" t="str">
        <f aca="false">IF(TRIM(CRM_Raw!G478)="","Unassigned",CRM_Raw!G478)</f>
        <v>S. Andersson</v>
      </c>
      <c r="H478" s="0" t="str">
        <f aca="false">CRM_Raw!H478</f>
        <v>Negotiation</v>
      </c>
      <c r="I478" s="10" t="n">
        <f aca="false">CRM_Raw!I478</f>
        <v>545.77</v>
      </c>
      <c r="J478" s="11" t="n">
        <f aca="false">CRM_Raw!J478</f>
        <v>0</v>
      </c>
      <c r="K478" s="10" t="n">
        <f aca="false">I478*(1-J478)</f>
        <v>545.77</v>
      </c>
      <c r="L478" s="12" t="n">
        <f aca="false">CRM_Raw!K478</f>
        <v>0</v>
      </c>
      <c r="M478" s="12" t="n">
        <f aca="false">IF(H478="Closed Won",1,0)</f>
        <v>0</v>
      </c>
    </row>
    <row r="479" customFormat="false" ht="15" hidden="false" customHeight="false" outlineLevel="0" collapsed="false">
      <c r="A479" s="0" t="str">
        <f aca="false">CRM_Raw!A479</f>
        <v>D-10475</v>
      </c>
      <c r="B479" s="0" t="str">
        <f aca="false">CRM_Raw!B479</f>
        <v>2025-08-06</v>
      </c>
      <c r="C479" s="0" t="n">
        <f aca="false">CRM_Raw!C479</f>
        <v>0</v>
      </c>
      <c r="D479" s="0" t="str">
        <f aca="false">IF(CRM_Raw!D479="DACH","DACH",IF(ISNUMBER(SEARCH("uk",CRM_Raw!D479)),"UK &amp; Ireland",PROPER(CRM_Raw!D479)))</f>
        <v>North America</v>
      </c>
      <c r="E479" s="0" t="str">
        <f aca="false">CRM_Raw!E479</f>
        <v>Washing Machines</v>
      </c>
      <c r="F479" s="0" t="str">
        <f aca="false">CRM_Raw!F479</f>
        <v>Affiliate Partner</v>
      </c>
      <c r="G479" s="0" t="str">
        <f aca="false">IF(TRIM(CRM_Raw!G479)="","Unassigned",CRM_Raw!G479)</f>
        <v>K. Nilsson</v>
      </c>
      <c r="H479" s="0" t="str">
        <f aca="false">CRM_Raw!H479</f>
        <v>Qualified</v>
      </c>
      <c r="I479" s="10" t="n">
        <f aca="false">CRM_Raw!I479</f>
        <v>2048.49</v>
      </c>
      <c r="J479" s="11" t="n">
        <f aca="false">CRM_Raw!J479</f>
        <v>0.1</v>
      </c>
      <c r="K479" s="10" t="n">
        <f aca="false">I479*(1-J479)</f>
        <v>1843.641</v>
      </c>
      <c r="L479" s="12" t="n">
        <f aca="false">CRM_Raw!K479</f>
        <v>0</v>
      </c>
      <c r="M479" s="12" t="n">
        <f aca="false">IF(H479="Closed Won",1,0)</f>
        <v>0</v>
      </c>
    </row>
    <row r="480" customFormat="false" ht="15" hidden="false" customHeight="false" outlineLevel="0" collapsed="false">
      <c r="A480" s="0" t="str">
        <f aca="false">CRM_Raw!A480</f>
        <v>D-10476</v>
      </c>
      <c r="B480" s="0" t="str">
        <f aca="false">CRM_Raw!B480</f>
        <v>2026-02-06</v>
      </c>
      <c r="C480" s="0" t="str">
        <f aca="false">CRM_Raw!C480</f>
        <v>2026-03-01</v>
      </c>
      <c r="D480" s="0" t="str">
        <f aca="false">IF(CRM_Raw!D480="DACH","DACH",IF(ISNUMBER(SEARCH("uk",CRM_Raw!D480)),"UK &amp; Ireland",PROPER(CRM_Raw!D480)))</f>
        <v>Benelux</v>
      </c>
      <c r="E480" s="0" t="str">
        <f aca="false">CRM_Raw!E480</f>
        <v>Small Kitchen Appliances</v>
      </c>
      <c r="F480" s="0" t="str">
        <f aca="false">CRM_Raw!F480</f>
        <v>Email Campaign</v>
      </c>
      <c r="G480" s="0" t="str">
        <f aca="false">IF(TRIM(CRM_Raw!G480)="","Unassigned",CRM_Raw!G480)</f>
        <v>P. Rossi</v>
      </c>
      <c r="H480" s="0" t="str">
        <f aca="false">CRM_Raw!H480</f>
        <v>Closed Won</v>
      </c>
      <c r="I480" s="10" t="n">
        <f aca="false">CRM_Raw!I480</f>
        <v>236.57</v>
      </c>
      <c r="J480" s="11" t="n">
        <f aca="false">CRM_Raw!J480</f>
        <v>0.1</v>
      </c>
      <c r="K480" s="10" t="n">
        <f aca="false">I480*(1-J480)</f>
        <v>212.913</v>
      </c>
      <c r="L480" s="12" t="n">
        <f aca="false">CRM_Raw!K480</f>
        <v>23</v>
      </c>
      <c r="M480" s="12" t="n">
        <f aca="false">IF(H480="Closed Won",1,0)</f>
        <v>1</v>
      </c>
    </row>
    <row r="481" customFormat="false" ht="15" hidden="false" customHeight="false" outlineLevel="0" collapsed="false">
      <c r="A481" s="0" t="str">
        <f aca="false">CRM_Raw!A481</f>
        <v>D-10477</v>
      </c>
      <c r="B481" s="0" t="str">
        <f aca="false">CRM_Raw!B481</f>
        <v>2025-09-02</v>
      </c>
      <c r="C481" s="0" t="n">
        <f aca="false">CRM_Raw!C481</f>
        <v>0</v>
      </c>
      <c r="D481" s="0" t="str">
        <f aca="false">IF(CRM_Raw!D481="DACH","DACH",IF(ISNUMBER(SEARCH("uk",CRM_Raw!D481)),"UK &amp; Ireland",PROPER(CRM_Raw!D481)))</f>
        <v>Nordics</v>
      </c>
      <c r="E481" s="0" t="str">
        <f aca="false">CRM_Raw!E481</f>
        <v>Smart Ovens</v>
      </c>
      <c r="F481" s="0" t="str">
        <f aca="false">CRM_Raw!F481</f>
        <v>Paid Search</v>
      </c>
      <c r="G481" s="0" t="str">
        <f aca="false">IF(TRIM(CRM_Raw!G481)="","Unassigned",CRM_Raw!G481)</f>
        <v>A. Becker</v>
      </c>
      <c r="H481" s="0" t="str">
        <f aca="false">CRM_Raw!H481</f>
        <v>Proposal Sent</v>
      </c>
      <c r="I481" s="10" t="n">
        <f aca="false">CRM_Raw!I481</f>
        <v>2792.75</v>
      </c>
      <c r="J481" s="11" t="n">
        <f aca="false">CRM_Raw!J481</f>
        <v>0.15</v>
      </c>
      <c r="K481" s="10" t="n">
        <f aca="false">I481*(1-J481)</f>
        <v>2373.8375</v>
      </c>
      <c r="L481" s="12" t="n">
        <f aca="false">CRM_Raw!K481</f>
        <v>0</v>
      </c>
      <c r="M481" s="12" t="n">
        <f aca="false">IF(H481="Closed Won",1,0)</f>
        <v>0</v>
      </c>
    </row>
    <row r="482" customFormat="false" ht="15" hidden="false" customHeight="false" outlineLevel="0" collapsed="false">
      <c r="A482" s="0" t="str">
        <f aca="false">CRM_Raw!A482</f>
        <v>D-10478</v>
      </c>
      <c r="B482" s="0" t="str">
        <f aca="false">CRM_Raw!B482</f>
        <v>2025-07-03</v>
      </c>
      <c r="C482" s="0" t="str">
        <f aca="false">CRM_Raw!C482</f>
        <v>2025-07-09</v>
      </c>
      <c r="D482" s="0" t="str">
        <f aca="false">IF(CRM_Raw!D482="DACH","DACH",IF(ISNUMBER(SEARCH("uk",CRM_Raw!D482)),"UK &amp; Ireland",PROPER(CRM_Raw!D482)))</f>
        <v>UK &amp; Ireland</v>
      </c>
      <c r="E482" s="0" t="str">
        <f aca="false">CRM_Raw!E482</f>
        <v>Washing Machines</v>
      </c>
      <c r="F482" s="0" t="str">
        <f aca="false">CRM_Raw!F482</f>
        <v>Web-shop Organic</v>
      </c>
      <c r="G482" s="0" t="str">
        <f aca="false">IF(TRIM(CRM_Raw!G482)="","Unassigned",CRM_Raw!G482)</f>
        <v>M. Hoffmann</v>
      </c>
      <c r="H482" s="0" t="str">
        <f aca="false">CRM_Raw!H482</f>
        <v>Closed Lost</v>
      </c>
      <c r="I482" s="10" t="n">
        <f aca="false">CRM_Raw!I482</f>
        <v>685.12</v>
      </c>
      <c r="J482" s="11" t="n">
        <f aca="false">CRM_Raw!J482</f>
        <v>0.15</v>
      </c>
      <c r="K482" s="10" t="n">
        <f aca="false">I482*(1-J482)</f>
        <v>582.352</v>
      </c>
      <c r="L482" s="12" t="n">
        <f aca="false">CRM_Raw!K482</f>
        <v>6</v>
      </c>
      <c r="M482" s="12" t="n">
        <f aca="false">IF(H482="Closed Won",1,0)</f>
        <v>0</v>
      </c>
    </row>
    <row r="483" customFormat="false" ht="15" hidden="false" customHeight="false" outlineLevel="0" collapsed="false">
      <c r="A483" s="0" t="str">
        <f aca="false">CRM_Raw!A483</f>
        <v>D-10479</v>
      </c>
      <c r="B483" s="0" t="str">
        <f aca="false">CRM_Raw!B483</f>
        <v>2025-08-13</v>
      </c>
      <c r="C483" s="0" t="n">
        <f aca="false">CRM_Raw!C483</f>
        <v>0</v>
      </c>
      <c r="D483" s="0" t="str">
        <f aca="false">IF(CRM_Raw!D483="DACH","DACH",IF(ISNUMBER(SEARCH("uk",CRM_Raw!D483)),"UK &amp; Ireland",PROPER(CRM_Raw!D483)))</f>
        <v>Southern Europe</v>
      </c>
      <c r="E483" s="0" t="str">
        <f aca="false">CRM_Raw!E483</f>
        <v>Dishwashers</v>
      </c>
      <c r="F483" s="0" t="str">
        <f aca="false">CRM_Raw!F483</f>
        <v>Retail Referral</v>
      </c>
      <c r="G483" s="0" t="str">
        <f aca="false">IF(TRIM(CRM_Raw!G483)="","Unassigned",CRM_Raw!G483)</f>
        <v>A. Becker</v>
      </c>
      <c r="H483" s="0" t="str">
        <f aca="false">CRM_Raw!H483</f>
        <v>Proposal Sent</v>
      </c>
      <c r="I483" s="10" t="n">
        <f aca="false">CRM_Raw!I483</f>
        <v>676.57</v>
      </c>
      <c r="J483" s="11" t="n">
        <f aca="false">CRM_Raw!J483</f>
        <v>0</v>
      </c>
      <c r="K483" s="10" t="n">
        <f aca="false">I483*(1-J483)</f>
        <v>676.57</v>
      </c>
      <c r="L483" s="12" t="n">
        <f aca="false">CRM_Raw!K483</f>
        <v>0</v>
      </c>
      <c r="M483" s="12" t="n">
        <f aca="false">IF(H483="Closed Won",1,0)</f>
        <v>0</v>
      </c>
    </row>
    <row r="484" customFormat="false" ht="15" hidden="false" customHeight="false" outlineLevel="0" collapsed="false">
      <c r="A484" s="0" t="str">
        <f aca="false">CRM_Raw!A484</f>
        <v>D-10480</v>
      </c>
      <c r="B484" s="0" t="str">
        <f aca="false">CRM_Raw!B484</f>
        <v>2026-02-02</v>
      </c>
      <c r="C484" s="0" t="str">
        <f aca="false">CRM_Raw!C484</f>
        <v>2026-02-20</v>
      </c>
      <c r="D484" s="0" t="str">
        <f aca="false">IF(CRM_Raw!D484="DACH","DACH",IF(ISNUMBER(SEARCH("uk",CRM_Raw!D484)),"UK &amp; Ireland",PROPER(CRM_Raw!D484)))</f>
        <v>UK &amp; Ireland</v>
      </c>
      <c r="E484" s="0" t="str">
        <f aca="false">CRM_Raw!E484</f>
        <v>Smart Ovens</v>
      </c>
      <c r="F484" s="0" t="str">
        <f aca="false">CRM_Raw!F484</f>
        <v>Affiliate Partner</v>
      </c>
      <c r="G484" s="0" t="str">
        <f aca="false">IF(TRIM(CRM_Raw!G484)="","Unassigned",CRM_Raw!G484)</f>
        <v>P. Rossi</v>
      </c>
      <c r="H484" s="0" t="str">
        <f aca="false">CRM_Raw!H484</f>
        <v>Closed Lost</v>
      </c>
      <c r="I484" s="10" t="n">
        <f aca="false">CRM_Raw!I484</f>
        <v>966.91</v>
      </c>
      <c r="J484" s="11" t="n">
        <f aca="false">CRM_Raw!J484</f>
        <v>0</v>
      </c>
      <c r="K484" s="10" t="n">
        <f aca="false">I484*(1-J484)</f>
        <v>966.91</v>
      </c>
      <c r="L484" s="12" t="n">
        <f aca="false">CRM_Raw!K484</f>
        <v>18</v>
      </c>
      <c r="M484" s="12" t="n">
        <f aca="false">IF(H484="Closed Won",1,0)</f>
        <v>0</v>
      </c>
    </row>
    <row r="485" customFormat="false" ht="15" hidden="false" customHeight="false" outlineLevel="0" collapsed="false">
      <c r="A485" s="0" t="str">
        <f aca="false">CRM_Raw!A485</f>
        <v>D-10481</v>
      </c>
      <c r="B485" s="0" t="str">
        <f aca="false">CRM_Raw!B485</f>
        <v>2025-09-27</v>
      </c>
      <c r="C485" s="0" t="str">
        <f aca="false">CRM_Raw!C485</f>
        <v>2025-10-18</v>
      </c>
      <c r="D485" s="0" t="str">
        <f aca="false">IF(CRM_Raw!D485="DACH","DACH",IF(ISNUMBER(SEARCH("uk",CRM_Raw!D485)),"UK &amp; Ireland",PROPER(CRM_Raw!D485)))</f>
        <v>Southern Europe</v>
      </c>
      <c r="E485" s="0" t="str">
        <f aca="false">CRM_Raw!E485</f>
        <v>Washing Machines</v>
      </c>
      <c r="F485" s="0" t="str">
        <f aca="false">CRM_Raw!F485</f>
        <v>Affiliate Partner</v>
      </c>
      <c r="G485" s="0" t="str">
        <f aca="false">IF(TRIM(CRM_Raw!G485)="","Unassigned",CRM_Raw!G485)</f>
        <v>J. Murphy</v>
      </c>
      <c r="H485" s="0" t="str">
        <f aca="false">CRM_Raw!H485</f>
        <v>Closed Lost</v>
      </c>
      <c r="I485" s="10" t="n">
        <f aca="false">CRM_Raw!I485</f>
        <v>1371.63</v>
      </c>
      <c r="J485" s="11" t="n">
        <f aca="false">CRM_Raw!J485</f>
        <v>0.15</v>
      </c>
      <c r="K485" s="10" t="n">
        <f aca="false">I485*(1-J485)</f>
        <v>1165.8855</v>
      </c>
      <c r="L485" s="12" t="n">
        <f aca="false">CRM_Raw!K485</f>
        <v>21</v>
      </c>
      <c r="M485" s="12" t="n">
        <f aca="false">IF(H485="Closed Won",1,0)</f>
        <v>0</v>
      </c>
    </row>
    <row r="486" customFormat="false" ht="15" hidden="false" customHeight="false" outlineLevel="0" collapsed="false">
      <c r="A486" s="0" t="str">
        <f aca="false">CRM_Raw!A486</f>
        <v>D-10482</v>
      </c>
      <c r="B486" s="0" t="str">
        <f aca="false">CRM_Raw!B486</f>
        <v>2025-09-15</v>
      </c>
      <c r="C486" s="0" t="str">
        <f aca="false">CRM_Raw!C486</f>
        <v>2025-10-15</v>
      </c>
      <c r="D486" s="0" t="str">
        <f aca="false">IF(CRM_Raw!D486="DACH","DACH",IF(ISNUMBER(SEARCH("uk",CRM_Raw!D486)),"UK &amp; Ireland",PROPER(CRM_Raw!D486)))</f>
        <v>Benelux</v>
      </c>
      <c r="E486" s="0" t="str">
        <f aca="false">CRM_Raw!E486</f>
        <v>Cordless Vacuums</v>
      </c>
      <c r="F486" s="0" t="str">
        <f aca="false">CRM_Raw!F486</f>
        <v>Social Media Ads</v>
      </c>
      <c r="G486" s="0" t="str">
        <f aca="false">IF(TRIM(CRM_Raw!G486)="","Unassigned",CRM_Raw!G486)</f>
        <v>L. Dubois</v>
      </c>
      <c r="H486" s="0" t="str">
        <f aca="false">CRM_Raw!H486</f>
        <v>Closed Won</v>
      </c>
      <c r="I486" s="10" t="n">
        <f aca="false">CRM_Raw!I486</f>
        <v>352.91</v>
      </c>
      <c r="J486" s="11" t="n">
        <f aca="false">CRM_Raw!J486</f>
        <v>0.05</v>
      </c>
      <c r="K486" s="10" t="n">
        <f aca="false">I486*(1-J486)</f>
        <v>335.2645</v>
      </c>
      <c r="L486" s="12" t="n">
        <f aca="false">CRM_Raw!K486</f>
        <v>30</v>
      </c>
      <c r="M486" s="12" t="n">
        <f aca="false">IF(H486="Closed Won",1,0)</f>
        <v>1</v>
      </c>
    </row>
    <row r="487" customFormat="false" ht="15" hidden="false" customHeight="false" outlineLevel="0" collapsed="false">
      <c r="A487" s="0" t="str">
        <f aca="false">CRM_Raw!A487</f>
        <v>D-10483</v>
      </c>
      <c r="B487" s="0" t="str">
        <f aca="false">CRM_Raw!B487</f>
        <v>2025-05-23</v>
      </c>
      <c r="C487" s="0" t="str">
        <f aca="false">CRM_Raw!C487</f>
        <v>2025-06-07</v>
      </c>
      <c r="D487" s="0" t="str">
        <f aca="false">IF(CRM_Raw!D487="DACH","DACH",IF(ISNUMBER(SEARCH("uk",CRM_Raw!D487)),"UK &amp; Ireland",PROPER(CRM_Raw!D487)))</f>
        <v>North America</v>
      </c>
      <c r="E487" s="0" t="str">
        <f aca="false">CRM_Raw!E487</f>
        <v>Dishwashers</v>
      </c>
      <c r="F487" s="0" t="str">
        <f aca="false">CRM_Raw!F487</f>
        <v>Retail Referral</v>
      </c>
      <c r="G487" s="0" t="str">
        <f aca="false">IF(TRIM(CRM_Raw!G487)="","Unassigned",CRM_Raw!G487)</f>
        <v>A. Becker</v>
      </c>
      <c r="H487" s="0" t="str">
        <f aca="false">CRM_Raw!H487</f>
        <v>Closed Lost</v>
      </c>
      <c r="I487" s="10" t="n">
        <f aca="false">CRM_Raw!I487</f>
        <v>2028.81</v>
      </c>
      <c r="J487" s="11" t="n">
        <f aca="false">CRM_Raw!J487</f>
        <v>0.15</v>
      </c>
      <c r="K487" s="10" t="n">
        <f aca="false">I487*(1-J487)</f>
        <v>1724.4885</v>
      </c>
      <c r="L487" s="12" t="n">
        <f aca="false">CRM_Raw!K487</f>
        <v>15</v>
      </c>
      <c r="M487" s="12" t="n">
        <f aca="false">IF(H487="Closed Won",1,0)</f>
        <v>0</v>
      </c>
    </row>
    <row r="488" customFormat="false" ht="15" hidden="false" customHeight="false" outlineLevel="0" collapsed="false">
      <c r="A488" s="0" t="str">
        <f aca="false">CRM_Raw!A488</f>
        <v>D-10484</v>
      </c>
      <c r="B488" s="0" t="str">
        <f aca="false">CRM_Raw!B488</f>
        <v>2026-01-06</v>
      </c>
      <c r="C488" s="0" t="str">
        <f aca="false">CRM_Raw!C488</f>
        <v>2026-02-01</v>
      </c>
      <c r="D488" s="0" t="str">
        <f aca="false">IF(CRM_Raw!D488="DACH","DACH",IF(ISNUMBER(SEARCH("uk",CRM_Raw!D488)),"UK &amp; Ireland",PROPER(CRM_Raw!D488)))</f>
        <v>France</v>
      </c>
      <c r="E488" s="0" t="str">
        <f aca="false">CRM_Raw!E488</f>
        <v>Coffee Systems</v>
      </c>
      <c r="F488" s="0" t="str">
        <f aca="false">CRM_Raw!F488</f>
        <v>Web-shop Organic</v>
      </c>
      <c r="G488" s="0" t="str">
        <f aca="false">IF(TRIM(CRM_Raw!G488)="","Unassigned",CRM_Raw!G488)</f>
        <v>M. Hoffmann</v>
      </c>
      <c r="H488" s="0" t="str">
        <f aca="false">CRM_Raw!H488</f>
        <v>Closed Lost</v>
      </c>
      <c r="I488" s="10" t="n">
        <f aca="false">CRM_Raw!I488</f>
        <v>519</v>
      </c>
      <c r="J488" s="11" t="n">
        <f aca="false">CRM_Raw!J488</f>
        <v>0.15</v>
      </c>
      <c r="K488" s="10" t="n">
        <f aca="false">I488*(1-J488)</f>
        <v>441.15</v>
      </c>
      <c r="L488" s="12" t="n">
        <f aca="false">CRM_Raw!K488</f>
        <v>26</v>
      </c>
      <c r="M488" s="12" t="n">
        <f aca="false">IF(H488="Closed Won",1,0)</f>
        <v>0</v>
      </c>
    </row>
    <row r="489" customFormat="false" ht="15" hidden="false" customHeight="false" outlineLevel="0" collapsed="false">
      <c r="A489" s="0" t="str">
        <f aca="false">CRM_Raw!A489</f>
        <v>D-10485</v>
      </c>
      <c r="B489" s="0" t="str">
        <f aca="false">CRM_Raw!B489</f>
        <v>2025-08-04</v>
      </c>
      <c r="C489" s="0" t="str">
        <f aca="false">CRM_Raw!C489</f>
        <v>2025-08-12</v>
      </c>
      <c r="D489" s="0" t="str">
        <f aca="false">IF(CRM_Raw!D489="DACH","DACH",IF(ISNUMBER(SEARCH("uk",CRM_Raw!D489)),"UK &amp; Ireland",PROPER(CRM_Raw!D489)))</f>
        <v>DACH</v>
      </c>
      <c r="E489" s="0" t="str">
        <f aca="false">CRM_Raw!E489</f>
        <v>Dishwashers</v>
      </c>
      <c r="F489" s="0" t="str">
        <f aca="false">CRM_Raw!F489</f>
        <v>Affiliate Partner</v>
      </c>
      <c r="G489" s="0" t="str">
        <f aca="false">IF(TRIM(CRM_Raw!G489)="","Unassigned",CRM_Raw!G489)</f>
        <v>T. Wagner</v>
      </c>
      <c r="H489" s="0" t="str">
        <f aca="false">CRM_Raw!H489</f>
        <v>Closed Lost</v>
      </c>
      <c r="I489" s="10" t="n">
        <f aca="false">CRM_Raw!I489</f>
        <v>1496.31</v>
      </c>
      <c r="J489" s="11" t="n">
        <f aca="false">CRM_Raw!J489</f>
        <v>0</v>
      </c>
      <c r="K489" s="10" t="n">
        <f aca="false">I489*(1-J489)</f>
        <v>1496.31</v>
      </c>
      <c r="L489" s="12" t="n">
        <f aca="false">CRM_Raw!K489</f>
        <v>8</v>
      </c>
      <c r="M489" s="12" t="n">
        <f aca="false">IF(H489="Closed Won",1,0)</f>
        <v>0</v>
      </c>
    </row>
    <row r="490" customFormat="false" ht="15" hidden="false" customHeight="false" outlineLevel="0" collapsed="false">
      <c r="A490" s="0" t="str">
        <f aca="false">CRM_Raw!A490</f>
        <v>D-10486</v>
      </c>
      <c r="B490" s="0" t="str">
        <f aca="false">CRM_Raw!B490</f>
        <v>2025-05-18</v>
      </c>
      <c r="C490" s="0" t="str">
        <f aca="false">CRM_Raw!C490</f>
        <v>2025-06-19</v>
      </c>
      <c r="D490" s="0" t="str">
        <f aca="false">IF(CRM_Raw!D490="DACH","DACH",IF(ISNUMBER(SEARCH("uk",CRM_Raw!D490)),"UK &amp; Ireland",PROPER(CRM_Raw!D490)))</f>
        <v>UK &amp; Ireland</v>
      </c>
      <c r="E490" s="0" t="str">
        <f aca="false">CRM_Raw!E490</f>
        <v>Smart Ovens</v>
      </c>
      <c r="F490" s="0" t="str">
        <f aca="false">CRM_Raw!F490</f>
        <v>Web-shop Organic</v>
      </c>
      <c r="G490" s="0" t="str">
        <f aca="false">IF(TRIM(CRM_Raw!G490)="","Unassigned",CRM_Raw!G490)</f>
        <v>M. Hoffmann</v>
      </c>
      <c r="H490" s="0" t="str">
        <f aca="false">CRM_Raw!H490</f>
        <v>Closed Lost</v>
      </c>
      <c r="I490" s="10" t="n">
        <f aca="false">CRM_Raw!I490</f>
        <v>775.71</v>
      </c>
      <c r="J490" s="11" t="n">
        <f aca="false">CRM_Raw!J490</f>
        <v>0</v>
      </c>
      <c r="K490" s="10" t="n">
        <f aca="false">I490*(1-J490)</f>
        <v>775.71</v>
      </c>
      <c r="L490" s="12" t="n">
        <f aca="false">CRM_Raw!K490</f>
        <v>32</v>
      </c>
      <c r="M490" s="12" t="n">
        <f aca="false">IF(H490="Closed Won",1,0)</f>
        <v>0</v>
      </c>
    </row>
    <row r="491" customFormat="false" ht="15" hidden="false" customHeight="false" outlineLevel="0" collapsed="false">
      <c r="A491" s="0" t="str">
        <f aca="false">CRM_Raw!A491</f>
        <v>D-10487</v>
      </c>
      <c r="B491" s="0" t="str">
        <f aca="false">CRM_Raw!B491</f>
        <v>2025-10-18</v>
      </c>
      <c r="C491" s="0" t="n">
        <f aca="false">CRM_Raw!C491</f>
        <v>0</v>
      </c>
      <c r="D491" s="0" t="str">
        <f aca="false">IF(CRM_Raw!D491="DACH","DACH",IF(ISNUMBER(SEARCH("uk",CRM_Raw!D491)),"UK &amp; Ireland",PROPER(CRM_Raw!D491)))</f>
        <v>Nordics</v>
      </c>
      <c r="E491" s="0" t="str">
        <f aca="false">CRM_Raw!E491</f>
        <v>Dishwashers</v>
      </c>
      <c r="F491" s="0" t="str">
        <f aca="false">CRM_Raw!F491</f>
        <v>Social Media Ads</v>
      </c>
      <c r="G491" s="0" t="str">
        <f aca="false">IF(TRIM(CRM_Raw!G491)="","Unassigned",CRM_Raw!G491)</f>
        <v>A. Becker</v>
      </c>
      <c r="H491" s="0" t="str">
        <f aca="false">CRM_Raw!H491</f>
        <v>Qualified</v>
      </c>
      <c r="I491" s="10" t="n">
        <f aca="false">CRM_Raw!I491</f>
        <v>2021.89</v>
      </c>
      <c r="J491" s="11" t="n">
        <f aca="false">CRM_Raw!J491</f>
        <v>0.05</v>
      </c>
      <c r="K491" s="10" t="n">
        <f aca="false">I491*(1-J491)</f>
        <v>1920.7955</v>
      </c>
      <c r="L491" s="12" t="n">
        <f aca="false">CRM_Raw!K491</f>
        <v>0</v>
      </c>
      <c r="M491" s="12" t="n">
        <f aca="false">IF(H491="Closed Won",1,0)</f>
        <v>0</v>
      </c>
    </row>
    <row r="492" customFormat="false" ht="15" hidden="false" customHeight="false" outlineLevel="0" collapsed="false">
      <c r="A492" s="0" t="str">
        <f aca="false">CRM_Raw!A492</f>
        <v>D-10488</v>
      </c>
      <c r="B492" s="0" t="str">
        <f aca="false">CRM_Raw!B492</f>
        <v>2025-05-27</v>
      </c>
      <c r="C492" s="0" t="n">
        <f aca="false">CRM_Raw!C492</f>
        <v>0</v>
      </c>
      <c r="D492" s="0" t="str">
        <f aca="false">IF(CRM_Raw!D492="DACH","DACH",IF(ISNUMBER(SEARCH("uk",CRM_Raw!D492)),"UK &amp; Ireland",PROPER(CRM_Raw!D492)))</f>
        <v>North America</v>
      </c>
      <c r="E492" s="0" t="str">
        <f aca="false">CRM_Raw!E492</f>
        <v>Dishwashers</v>
      </c>
      <c r="F492" s="0" t="str">
        <f aca="false">CRM_Raw!F492</f>
        <v>Web-shop Organic</v>
      </c>
      <c r="G492" s="0" t="str">
        <f aca="false">IF(TRIM(CRM_Raw!G492)="","Unassigned",CRM_Raw!G492)</f>
        <v>K. Nilsson</v>
      </c>
      <c r="H492" s="0" t="str">
        <f aca="false">CRM_Raw!H492</f>
        <v>Proposal Sent</v>
      </c>
      <c r="I492" s="10" t="n">
        <f aca="false">CRM_Raw!I492</f>
        <v>777.99</v>
      </c>
      <c r="J492" s="11" t="n">
        <f aca="false">CRM_Raw!J492</f>
        <v>0.1</v>
      </c>
      <c r="K492" s="10" t="n">
        <f aca="false">I492*(1-J492)</f>
        <v>700.191</v>
      </c>
      <c r="L492" s="12" t="n">
        <f aca="false">CRM_Raw!K492</f>
        <v>0</v>
      </c>
      <c r="M492" s="12" t="n">
        <f aca="false">IF(H492="Closed Won",1,0)</f>
        <v>0</v>
      </c>
    </row>
    <row r="493" customFormat="false" ht="15" hidden="false" customHeight="false" outlineLevel="0" collapsed="false">
      <c r="A493" s="0" t="str">
        <f aca="false">CRM_Raw!A493</f>
        <v>D-10489</v>
      </c>
      <c r="B493" s="0" t="str">
        <f aca="false">CRM_Raw!B493</f>
        <v>2026-04-10</v>
      </c>
      <c r="C493" s="0" t="str">
        <f aca="false">CRM_Raw!C493</f>
        <v>2026-05-03</v>
      </c>
      <c r="D493" s="0" t="str">
        <f aca="false">IF(CRM_Raw!D493="DACH","DACH",IF(ISNUMBER(SEARCH("uk",CRM_Raw!D493)),"UK &amp; Ireland",PROPER(CRM_Raw!D493)))</f>
        <v>Southern Europe</v>
      </c>
      <c r="E493" s="0" t="str">
        <f aca="false">CRM_Raw!E493</f>
        <v>Washing Machines</v>
      </c>
      <c r="F493" s="0" t="str">
        <f aca="false">CRM_Raw!F493</f>
        <v>Paid Search</v>
      </c>
      <c r="G493" s="0" t="str">
        <f aca="false">IF(TRIM(CRM_Raw!G493)="","Unassigned",CRM_Raw!G493)</f>
        <v>P. Rossi</v>
      </c>
      <c r="H493" s="0" t="str">
        <f aca="false">CRM_Raw!H493</f>
        <v>Closed Lost</v>
      </c>
      <c r="I493" s="10" t="n">
        <f aca="false">CRM_Raw!I493</f>
        <v>1210.44</v>
      </c>
      <c r="J493" s="11" t="n">
        <f aca="false">CRM_Raw!J493</f>
        <v>0.05</v>
      </c>
      <c r="K493" s="10" t="n">
        <f aca="false">I493*(1-J493)</f>
        <v>1149.918</v>
      </c>
      <c r="L493" s="12" t="n">
        <f aca="false">CRM_Raw!K493</f>
        <v>23</v>
      </c>
      <c r="M493" s="12" t="n">
        <f aca="false">IF(H493="Closed Won",1,0)</f>
        <v>0</v>
      </c>
    </row>
    <row r="494" customFormat="false" ht="15" hidden="false" customHeight="false" outlineLevel="0" collapsed="false">
      <c r="A494" s="0" t="str">
        <f aca="false">CRM_Raw!A494</f>
        <v>D-10490</v>
      </c>
      <c r="B494" s="0" t="str">
        <f aca="false">CRM_Raw!B494</f>
        <v>2025-06-03</v>
      </c>
      <c r="C494" s="0" t="str">
        <f aca="false">CRM_Raw!C494</f>
        <v>2025-07-02</v>
      </c>
      <c r="D494" s="0" t="str">
        <f aca="false">IF(CRM_Raw!D494="DACH","DACH",IF(ISNUMBER(SEARCH("uk",CRM_Raw!D494)),"UK &amp; Ireland",PROPER(CRM_Raw!D494)))</f>
        <v>UK &amp; Ireland</v>
      </c>
      <c r="E494" s="0" t="str">
        <f aca="false">CRM_Raw!E494</f>
        <v>Smart Ovens</v>
      </c>
      <c r="F494" s="0" t="str">
        <f aca="false">CRM_Raw!F494</f>
        <v>Web-shop Organic</v>
      </c>
      <c r="G494" s="0" t="str">
        <f aca="false">IF(TRIM(CRM_Raw!G494)="","Unassigned",CRM_Raw!G494)</f>
        <v>K. Nilsson</v>
      </c>
      <c r="H494" s="0" t="str">
        <f aca="false">CRM_Raw!H494</f>
        <v>Closed Lost</v>
      </c>
      <c r="I494" s="10" t="n">
        <f aca="false">CRM_Raw!I494</f>
        <v>2664.52</v>
      </c>
      <c r="J494" s="11" t="n">
        <f aca="false">CRM_Raw!J494</f>
        <v>0.1</v>
      </c>
      <c r="K494" s="10" t="n">
        <f aca="false">I494*(1-J494)</f>
        <v>2398.068</v>
      </c>
      <c r="L494" s="12" t="n">
        <f aca="false">CRM_Raw!K494</f>
        <v>29</v>
      </c>
      <c r="M494" s="12" t="n">
        <f aca="false">IF(H494="Closed Won",1,0)</f>
        <v>0</v>
      </c>
    </row>
    <row r="495" customFormat="false" ht="15" hidden="false" customHeight="false" outlineLevel="0" collapsed="false">
      <c r="A495" s="0" t="str">
        <f aca="false">CRM_Raw!A495</f>
        <v>D-10491</v>
      </c>
      <c r="B495" s="0" t="str">
        <f aca="false">CRM_Raw!B495</f>
        <v>2025-01-02</v>
      </c>
      <c r="C495" s="0" t="n">
        <f aca="false">CRM_Raw!C495</f>
        <v>0</v>
      </c>
      <c r="D495" s="0" t="str">
        <f aca="false">IF(CRM_Raw!D495="DACH","DACH",IF(ISNUMBER(SEARCH("uk",CRM_Raw!D495)),"UK &amp; Ireland",PROPER(CRM_Raw!D495)))</f>
        <v>North America</v>
      </c>
      <c r="E495" s="0" t="str">
        <f aca="false">CRM_Raw!E495</f>
        <v>Smart Ovens</v>
      </c>
      <c r="F495" s="0" t="str">
        <f aca="false">CRM_Raw!F495</f>
        <v>Web-shop Organic</v>
      </c>
      <c r="G495" s="0" t="str">
        <f aca="false">IF(TRIM(CRM_Raw!G495)="","Unassigned",CRM_Raw!G495)</f>
        <v>M. Hoffmann</v>
      </c>
      <c r="H495" s="0" t="str">
        <f aca="false">CRM_Raw!H495</f>
        <v>Qualified</v>
      </c>
      <c r="I495" s="10" t="n">
        <f aca="false">CRM_Raw!I495</f>
        <v>1848.74</v>
      </c>
      <c r="J495" s="11" t="n">
        <f aca="false">CRM_Raw!J495</f>
        <v>0.1</v>
      </c>
      <c r="K495" s="10" t="n">
        <f aca="false">I495*(1-J495)</f>
        <v>1663.866</v>
      </c>
      <c r="L495" s="12" t="n">
        <f aca="false">CRM_Raw!K495</f>
        <v>0</v>
      </c>
      <c r="M495" s="12" t="n">
        <f aca="false">IF(H495="Closed Won",1,0)</f>
        <v>0</v>
      </c>
    </row>
    <row r="496" customFormat="false" ht="15" hidden="false" customHeight="false" outlineLevel="0" collapsed="false">
      <c r="A496" s="0" t="str">
        <f aca="false">CRM_Raw!A496</f>
        <v>D-10492</v>
      </c>
      <c r="B496" s="0" t="str">
        <f aca="false">CRM_Raw!B496</f>
        <v>2025-08-23</v>
      </c>
      <c r="C496" s="0" t="n">
        <f aca="false">CRM_Raw!C496</f>
        <v>0</v>
      </c>
      <c r="D496" s="0" t="str">
        <f aca="false">IF(CRM_Raw!D496="DACH","DACH",IF(ISNUMBER(SEARCH("uk",CRM_Raw!D496)),"UK &amp; Ireland",PROPER(CRM_Raw!D496)))</f>
        <v>Benelux</v>
      </c>
      <c r="E496" s="0" t="str">
        <f aca="false">CRM_Raw!E496</f>
        <v>Cordless Vacuums</v>
      </c>
      <c r="F496" s="0" t="str">
        <f aca="false">CRM_Raw!F496</f>
        <v>Retail Referral</v>
      </c>
      <c r="G496" s="0" t="str">
        <f aca="false">IF(TRIM(CRM_Raw!G496)="","Unassigned",CRM_Raw!G496)</f>
        <v>K. Nilsson</v>
      </c>
      <c r="H496" s="0" t="str">
        <f aca="false">CRM_Raw!H496</f>
        <v>Qualified</v>
      </c>
      <c r="I496" s="10" t="n">
        <f aca="false">CRM_Raw!I496</f>
        <v>728.35</v>
      </c>
      <c r="J496" s="11" t="n">
        <f aca="false">CRM_Raw!J496</f>
        <v>0</v>
      </c>
      <c r="K496" s="10" t="n">
        <f aca="false">I496*(1-J496)</f>
        <v>728.35</v>
      </c>
      <c r="L496" s="12" t="n">
        <f aca="false">CRM_Raw!K496</f>
        <v>0</v>
      </c>
      <c r="M496" s="12" t="n">
        <f aca="false">IF(H496="Closed Won",1,0)</f>
        <v>0</v>
      </c>
    </row>
    <row r="497" customFormat="false" ht="15" hidden="false" customHeight="false" outlineLevel="0" collapsed="false">
      <c r="A497" s="0" t="str">
        <f aca="false">CRM_Raw!A497</f>
        <v>D-10493</v>
      </c>
      <c r="B497" s="0" t="str">
        <f aca="false">CRM_Raw!B497</f>
        <v>2026-03-12</v>
      </c>
      <c r="C497" s="0" t="str">
        <f aca="false">CRM_Raw!C497</f>
        <v>2026-04-19</v>
      </c>
      <c r="D497" s="0" t="str">
        <f aca="false">IF(CRM_Raw!D497="DACH","DACH",IF(ISNUMBER(SEARCH("uk",CRM_Raw!D497)),"UK &amp; Ireland",PROPER(CRM_Raw!D497)))</f>
        <v>Nordics</v>
      </c>
      <c r="E497" s="0" t="str">
        <f aca="false">CRM_Raw!E497</f>
        <v>Small Kitchen Appliances</v>
      </c>
      <c r="F497" s="0" t="str">
        <f aca="false">CRM_Raw!F497</f>
        <v>Retail Referral</v>
      </c>
      <c r="G497" s="0" t="str">
        <f aca="false">IF(TRIM(CRM_Raw!G497)="","Unassigned",CRM_Raw!G497)</f>
        <v>L. Dubois</v>
      </c>
      <c r="H497" s="0" t="str">
        <f aca="false">CRM_Raw!H497</f>
        <v>Closed Won</v>
      </c>
      <c r="I497" s="10" t="n">
        <f aca="false">CRM_Raw!I497</f>
        <v>123.81</v>
      </c>
      <c r="J497" s="11" t="n">
        <f aca="false">CRM_Raw!J497</f>
        <v>0.2</v>
      </c>
      <c r="K497" s="10" t="n">
        <f aca="false">I497*(1-J497)</f>
        <v>99.048</v>
      </c>
      <c r="L497" s="12" t="n">
        <f aca="false">CRM_Raw!K497</f>
        <v>38</v>
      </c>
      <c r="M497" s="12" t="n">
        <f aca="false">IF(H497="Closed Won",1,0)</f>
        <v>1</v>
      </c>
    </row>
    <row r="498" customFormat="false" ht="15" hidden="false" customHeight="false" outlineLevel="0" collapsed="false">
      <c r="A498" s="0" t="str">
        <f aca="false">CRM_Raw!A498</f>
        <v>D-10494</v>
      </c>
      <c r="B498" s="0" t="str">
        <f aca="false">CRM_Raw!B498</f>
        <v>2025-09-21</v>
      </c>
      <c r="C498" s="0" t="str">
        <f aca="false">CRM_Raw!C498</f>
        <v>2025-10-07</v>
      </c>
      <c r="D498" s="0" t="str">
        <f aca="false">IF(CRM_Raw!D498="DACH","DACH",IF(ISNUMBER(SEARCH("uk",CRM_Raw!D498)),"UK &amp; Ireland",PROPER(CRM_Raw!D498)))</f>
        <v>DACH</v>
      </c>
      <c r="E498" s="0" t="str">
        <f aca="false">CRM_Raw!E498</f>
        <v>Cordless Vacuums</v>
      </c>
      <c r="F498" s="0" t="str">
        <f aca="false">CRM_Raw!F498</f>
        <v>Social Media Ads</v>
      </c>
      <c r="G498" s="0" t="str">
        <f aca="false">IF(TRIM(CRM_Raw!G498)="","Unassigned",CRM_Raw!G498)</f>
        <v>K. Nilsson</v>
      </c>
      <c r="H498" s="0" t="str">
        <f aca="false">CRM_Raw!H498</f>
        <v>Closed Won</v>
      </c>
      <c r="I498" s="10" t="n">
        <f aca="false">CRM_Raw!I498</f>
        <v>372.53</v>
      </c>
      <c r="J498" s="11" t="n">
        <f aca="false">CRM_Raw!J498</f>
        <v>0.1</v>
      </c>
      <c r="K498" s="10" t="n">
        <f aca="false">I498*(1-J498)</f>
        <v>335.277</v>
      </c>
      <c r="L498" s="12" t="n">
        <f aca="false">CRM_Raw!K498</f>
        <v>16</v>
      </c>
      <c r="M498" s="12" t="n">
        <f aca="false">IF(H498="Closed Won",1,0)</f>
        <v>1</v>
      </c>
    </row>
    <row r="499" customFormat="false" ht="15" hidden="false" customHeight="false" outlineLevel="0" collapsed="false">
      <c r="A499" s="0" t="str">
        <f aca="false">CRM_Raw!A499</f>
        <v>D-10495</v>
      </c>
      <c r="B499" s="0" t="str">
        <f aca="false">CRM_Raw!B499</f>
        <v>2026-02-23</v>
      </c>
      <c r="C499" s="0" t="str">
        <f aca="false">CRM_Raw!C499</f>
        <v>2026-02-28</v>
      </c>
      <c r="D499" s="0" t="str">
        <f aca="false">IF(CRM_Raw!D499="DACH","DACH",IF(ISNUMBER(SEARCH("uk",CRM_Raw!D499)),"UK &amp; Ireland",PROPER(CRM_Raw!D499)))</f>
        <v>DACH</v>
      </c>
      <c r="E499" s="0" t="str">
        <f aca="false">CRM_Raw!E499</f>
        <v>Dishwashers</v>
      </c>
      <c r="F499" s="0" t="str">
        <f aca="false">CRM_Raw!F499</f>
        <v>Affiliate Partner</v>
      </c>
      <c r="G499" s="0" t="str">
        <f aca="false">IF(TRIM(CRM_Raw!G499)="","Unassigned",CRM_Raw!G499)</f>
        <v>P. Rossi</v>
      </c>
      <c r="H499" s="0" t="str">
        <f aca="false">CRM_Raw!H499</f>
        <v>Closed Won</v>
      </c>
      <c r="I499" s="10" t="n">
        <f aca="false">CRM_Raw!I499</f>
        <v>1989.94</v>
      </c>
      <c r="J499" s="11" t="n">
        <f aca="false">CRM_Raw!J499</f>
        <v>0</v>
      </c>
      <c r="K499" s="10" t="n">
        <f aca="false">I499*(1-J499)</f>
        <v>1989.94</v>
      </c>
      <c r="L499" s="12" t="n">
        <f aca="false">CRM_Raw!K499</f>
        <v>5</v>
      </c>
      <c r="M499" s="12" t="n">
        <f aca="false">IF(H499="Closed Won",1,0)</f>
        <v>1</v>
      </c>
    </row>
    <row r="500" customFormat="false" ht="15" hidden="false" customHeight="false" outlineLevel="0" collapsed="false">
      <c r="A500" s="0" t="str">
        <f aca="false">CRM_Raw!A500</f>
        <v>D-10496</v>
      </c>
      <c r="B500" s="0" t="str">
        <f aca="false">CRM_Raw!B500</f>
        <v>2025-10-10</v>
      </c>
      <c r="C500" s="0" t="n">
        <f aca="false">CRM_Raw!C500</f>
        <v>0</v>
      </c>
      <c r="D500" s="0" t="str">
        <f aca="false">IF(CRM_Raw!D500="DACH","DACH",IF(ISNUMBER(SEARCH("uk",CRM_Raw!D500)),"UK &amp; Ireland",PROPER(CRM_Raw!D500)))</f>
        <v>France</v>
      </c>
      <c r="E500" s="0" t="str">
        <f aca="false">CRM_Raw!E500</f>
        <v>Washing Machines</v>
      </c>
      <c r="F500" s="0" t="str">
        <f aca="false">CRM_Raw!F500</f>
        <v>Paid Search</v>
      </c>
      <c r="G500" s="0" t="str">
        <f aca="false">IF(TRIM(CRM_Raw!G500)="","Unassigned",CRM_Raw!G500)</f>
        <v>P. Rossi</v>
      </c>
      <c r="H500" s="0" t="str">
        <f aca="false">CRM_Raw!H500</f>
        <v>Qualified</v>
      </c>
      <c r="I500" s="10" t="n">
        <f aca="false">CRM_Raw!I500</f>
        <v>658.05</v>
      </c>
      <c r="J500" s="11" t="n">
        <f aca="false">CRM_Raw!J500</f>
        <v>0.05</v>
      </c>
      <c r="K500" s="10" t="n">
        <f aca="false">I500*(1-J500)</f>
        <v>625.1475</v>
      </c>
      <c r="L500" s="12" t="n">
        <f aca="false">CRM_Raw!K500</f>
        <v>0</v>
      </c>
      <c r="M500" s="12" t="n">
        <f aca="false">IF(H500="Closed Won",1,0)</f>
        <v>0</v>
      </c>
    </row>
    <row r="501" customFormat="false" ht="15" hidden="false" customHeight="false" outlineLevel="0" collapsed="false">
      <c r="A501" s="0" t="str">
        <f aca="false">CRM_Raw!A501</f>
        <v>D-10497</v>
      </c>
      <c r="B501" s="0" t="str">
        <f aca="false">CRM_Raw!B501</f>
        <v>2026-05-11</v>
      </c>
      <c r="C501" s="0" t="str">
        <f aca="false">CRM_Raw!C501</f>
        <v>2026-05-29</v>
      </c>
      <c r="D501" s="0" t="str">
        <f aca="false">IF(CRM_Raw!D501="DACH","DACH",IF(ISNUMBER(SEARCH("uk",CRM_Raw!D501)),"UK &amp; Ireland",PROPER(CRM_Raw!D501)))</f>
        <v>Nordics</v>
      </c>
      <c r="E501" s="0" t="str">
        <f aca="false">CRM_Raw!E501</f>
        <v>Washing Machines</v>
      </c>
      <c r="F501" s="0" t="str">
        <f aca="false">CRM_Raw!F501</f>
        <v>Social Media Ads</v>
      </c>
      <c r="G501" s="0" t="str">
        <f aca="false">IF(TRIM(CRM_Raw!G501)="","Unassigned",CRM_Raw!G501)</f>
        <v>P. Rossi</v>
      </c>
      <c r="H501" s="0" t="str">
        <f aca="false">CRM_Raw!H501</f>
        <v>Closed Won</v>
      </c>
      <c r="I501" s="10" t="n">
        <f aca="false">CRM_Raw!I501</f>
        <v>707.57</v>
      </c>
      <c r="J501" s="11" t="n">
        <f aca="false">CRM_Raw!J501</f>
        <v>0.2</v>
      </c>
      <c r="K501" s="10" t="n">
        <f aca="false">I501*(1-J501)</f>
        <v>566.056</v>
      </c>
      <c r="L501" s="12" t="n">
        <f aca="false">CRM_Raw!K501</f>
        <v>18</v>
      </c>
      <c r="M501" s="12" t="n">
        <f aca="false">IF(H501="Closed Won",1,0)</f>
        <v>1</v>
      </c>
    </row>
    <row r="502" customFormat="false" ht="15" hidden="false" customHeight="false" outlineLevel="0" collapsed="false">
      <c r="A502" s="0" t="str">
        <f aca="false">CRM_Raw!A502</f>
        <v>D-10498</v>
      </c>
      <c r="B502" s="0" t="str">
        <f aca="false">CRM_Raw!B502</f>
        <v>2026-04-03</v>
      </c>
      <c r="C502" s="0" t="n">
        <f aca="false">CRM_Raw!C502</f>
        <v>0</v>
      </c>
      <c r="D502" s="0" t="str">
        <f aca="false">IF(CRM_Raw!D502="DACH","DACH",IF(ISNUMBER(SEARCH("uk",CRM_Raw!D502)),"UK &amp; Ireland",PROPER(CRM_Raw!D502)))</f>
        <v>North America</v>
      </c>
      <c r="E502" s="0" t="str">
        <f aca="false">CRM_Raw!E502</f>
        <v>Small Kitchen Appliances</v>
      </c>
      <c r="F502" s="0" t="str">
        <f aca="false">CRM_Raw!F502</f>
        <v>Web-shop Organic</v>
      </c>
      <c r="G502" s="0" t="str">
        <f aca="false">IF(TRIM(CRM_Raw!G502)="","Unassigned",CRM_Raw!G502)</f>
        <v>S. Andersson</v>
      </c>
      <c r="H502" s="0" t="str">
        <f aca="false">CRM_Raw!H502</f>
        <v>Proposal Sent</v>
      </c>
      <c r="I502" s="10" t="n">
        <f aca="false">CRM_Raw!I502</f>
        <v>137.81</v>
      </c>
      <c r="J502" s="11" t="n">
        <f aca="false">CRM_Raw!J502</f>
        <v>0</v>
      </c>
      <c r="K502" s="10" t="n">
        <f aca="false">I502*(1-J502)</f>
        <v>137.81</v>
      </c>
      <c r="L502" s="12" t="n">
        <f aca="false">CRM_Raw!K502</f>
        <v>0</v>
      </c>
      <c r="M502" s="12" t="n">
        <f aca="false">IF(H502="Closed Won",1,0)</f>
        <v>0</v>
      </c>
    </row>
    <row r="503" customFormat="false" ht="15" hidden="false" customHeight="false" outlineLevel="0" collapsed="false">
      <c r="A503" s="0" t="str">
        <f aca="false">CRM_Raw!A503</f>
        <v>D-10499</v>
      </c>
      <c r="B503" s="0" t="str">
        <f aca="false">CRM_Raw!B503</f>
        <v>2025-06-14</v>
      </c>
      <c r="C503" s="0" t="str">
        <f aca="false">CRM_Raw!C503</f>
        <v>2025-07-12</v>
      </c>
      <c r="D503" s="0" t="str">
        <f aca="false">IF(CRM_Raw!D503="DACH","DACH",IF(ISNUMBER(SEARCH("uk",CRM_Raw!D503)),"UK &amp; Ireland",PROPER(CRM_Raw!D503)))</f>
        <v>Nordics</v>
      </c>
      <c r="E503" s="0" t="str">
        <f aca="false">CRM_Raw!E503</f>
        <v>Dishwashers</v>
      </c>
      <c r="F503" s="0" t="str">
        <f aca="false">CRM_Raw!F503</f>
        <v>Email Campaign</v>
      </c>
      <c r="G503" s="0" t="str">
        <f aca="false">IF(TRIM(CRM_Raw!G503)="","Unassigned",CRM_Raw!G503)</f>
        <v>A. Becker</v>
      </c>
      <c r="H503" s="0" t="str">
        <f aca="false">CRM_Raw!H503</f>
        <v>Closed Lost</v>
      </c>
      <c r="I503" s="10" t="n">
        <f aca="false">CRM_Raw!I503</f>
        <v>746.19</v>
      </c>
      <c r="J503" s="11" t="n">
        <f aca="false">CRM_Raw!J503</f>
        <v>0.2</v>
      </c>
      <c r="K503" s="10" t="n">
        <f aca="false">I503*(1-J503)</f>
        <v>596.952</v>
      </c>
      <c r="L503" s="12" t="n">
        <f aca="false">CRM_Raw!K503</f>
        <v>28</v>
      </c>
      <c r="M503" s="12" t="n">
        <f aca="false">IF(H503="Closed Won",1,0)</f>
        <v>0</v>
      </c>
    </row>
    <row r="504" customFormat="false" ht="15" hidden="false" customHeight="false" outlineLevel="0" collapsed="false">
      <c r="A504" s="0" t="str">
        <f aca="false">CRM_Raw!A504</f>
        <v>D-10500</v>
      </c>
      <c r="B504" s="0" t="str">
        <f aca="false">CRM_Raw!B504</f>
        <v>2025-04-01</v>
      </c>
      <c r="C504" s="0" t="str">
        <f aca="false">CRM_Raw!C504</f>
        <v>2025-04-22</v>
      </c>
      <c r="D504" s="0" t="str">
        <f aca="false">IF(CRM_Raw!D504="DACH","DACH",IF(ISNUMBER(SEARCH("uk",CRM_Raw!D504)),"UK &amp; Ireland",PROPER(CRM_Raw!D504)))</f>
        <v>UK &amp; Ireland</v>
      </c>
      <c r="E504" s="0" t="str">
        <f aca="false">CRM_Raw!E504</f>
        <v>Dishwashers</v>
      </c>
      <c r="F504" s="0" t="str">
        <f aca="false">CRM_Raw!F504</f>
        <v>Retail Referral</v>
      </c>
      <c r="G504" s="0" t="str">
        <f aca="false">IF(TRIM(CRM_Raw!G504)="","Unassigned",CRM_Raw!G504)</f>
        <v>K. Nilsson</v>
      </c>
      <c r="H504" s="0" t="str">
        <f aca="false">CRM_Raw!H504</f>
        <v>Closed Won</v>
      </c>
      <c r="I504" s="10" t="n">
        <f aca="false">CRM_Raw!I504</f>
        <v>1286.31</v>
      </c>
      <c r="J504" s="11" t="n">
        <f aca="false">CRM_Raw!J504</f>
        <v>0.05</v>
      </c>
      <c r="K504" s="10" t="n">
        <f aca="false">I504*(1-J504)</f>
        <v>1221.9945</v>
      </c>
      <c r="L504" s="12" t="n">
        <f aca="false">CRM_Raw!K504</f>
        <v>21</v>
      </c>
      <c r="M504" s="12" t="n">
        <f aca="false">IF(H504="Closed Won",1,0)</f>
        <v>1</v>
      </c>
    </row>
    <row r="505" customFormat="false" ht="15" hidden="false" customHeight="false" outlineLevel="0" collapsed="false">
      <c r="A505" s="0" t="str">
        <f aca="false">CRM_Raw!A505</f>
        <v>D-10501</v>
      </c>
      <c r="B505" s="0" t="str">
        <f aca="false">CRM_Raw!B505</f>
        <v>2025-06-29</v>
      </c>
      <c r="C505" s="0" t="n">
        <f aca="false">CRM_Raw!C505</f>
        <v>0</v>
      </c>
      <c r="D505" s="0" t="str">
        <f aca="false">IF(CRM_Raw!D505="DACH","DACH",IF(ISNUMBER(SEARCH("uk",CRM_Raw!D505)),"UK &amp; Ireland",PROPER(CRM_Raw!D505)))</f>
        <v>Nordics</v>
      </c>
      <c r="E505" s="0" t="str">
        <f aca="false">CRM_Raw!E505</f>
        <v>Small Kitchen Appliances</v>
      </c>
      <c r="F505" s="0" t="str">
        <f aca="false">CRM_Raw!F505</f>
        <v>Social Media Ads</v>
      </c>
      <c r="G505" s="0" t="str">
        <f aca="false">IF(TRIM(CRM_Raw!G505)="","Unassigned",CRM_Raw!G505)</f>
        <v>A. Becker</v>
      </c>
      <c r="H505" s="0" t="str">
        <f aca="false">CRM_Raw!H505</f>
        <v>Negotiation</v>
      </c>
      <c r="I505" s="10" t="n">
        <f aca="false">CRM_Raw!I505</f>
        <v>122.67</v>
      </c>
      <c r="J505" s="11" t="n">
        <f aca="false">CRM_Raw!J505</f>
        <v>0.2</v>
      </c>
      <c r="K505" s="10" t="n">
        <f aca="false">I505*(1-J505)</f>
        <v>98.136</v>
      </c>
      <c r="L505" s="12" t="n">
        <f aca="false">CRM_Raw!K505</f>
        <v>0</v>
      </c>
      <c r="M505" s="12" t="n">
        <f aca="false">IF(H505="Closed Won",1,0)</f>
        <v>0</v>
      </c>
    </row>
    <row r="506" customFormat="false" ht="15" hidden="false" customHeight="false" outlineLevel="0" collapsed="false">
      <c r="A506" s="0" t="str">
        <f aca="false">CRM_Raw!A506</f>
        <v>D-10502</v>
      </c>
      <c r="B506" s="0" t="str">
        <f aca="false">CRM_Raw!B506</f>
        <v>2025-08-26</v>
      </c>
      <c r="C506" s="0" t="str">
        <f aca="false">CRM_Raw!C506</f>
        <v>2025-09-19</v>
      </c>
      <c r="D506" s="0" t="str">
        <f aca="false">IF(CRM_Raw!D506="DACH","DACH",IF(ISNUMBER(SEARCH("uk",CRM_Raw!D506)),"UK &amp; Ireland",PROPER(CRM_Raw!D506)))</f>
        <v>Southern Europe</v>
      </c>
      <c r="E506" s="0" t="str">
        <f aca="false">CRM_Raw!E506</f>
        <v>Washing Machines</v>
      </c>
      <c r="F506" s="0" t="str">
        <f aca="false">CRM_Raw!F506</f>
        <v>Paid Search</v>
      </c>
      <c r="G506" s="0" t="str">
        <f aca="false">IF(TRIM(CRM_Raw!G506)="","Unassigned",CRM_Raw!G506)</f>
        <v>A. Becker</v>
      </c>
      <c r="H506" s="0" t="str">
        <f aca="false">CRM_Raw!H506</f>
        <v>Closed Lost</v>
      </c>
      <c r="I506" s="10" t="n">
        <f aca="false">CRM_Raw!I506</f>
        <v>702.51</v>
      </c>
      <c r="J506" s="11" t="n">
        <f aca="false">CRM_Raw!J506</f>
        <v>0</v>
      </c>
      <c r="K506" s="10" t="n">
        <f aca="false">I506*(1-J506)</f>
        <v>702.51</v>
      </c>
      <c r="L506" s="12" t="n">
        <f aca="false">CRM_Raw!K506</f>
        <v>24</v>
      </c>
      <c r="M506" s="12" t="n">
        <f aca="false">IF(H506="Closed Won",1,0)</f>
        <v>0</v>
      </c>
    </row>
    <row r="507" customFormat="false" ht="15" hidden="false" customHeight="false" outlineLevel="0" collapsed="false">
      <c r="A507" s="0" t="str">
        <f aca="false">CRM_Raw!A507</f>
        <v>D-10503</v>
      </c>
      <c r="B507" s="0" t="str">
        <f aca="false">CRM_Raw!B507</f>
        <v>2025-10-10</v>
      </c>
      <c r="C507" s="0" t="n">
        <f aca="false">CRM_Raw!C507</f>
        <v>0</v>
      </c>
      <c r="D507" s="0" t="str">
        <f aca="false">IF(CRM_Raw!D507="DACH","DACH",IF(ISNUMBER(SEARCH("uk",CRM_Raw!D507)),"UK &amp; Ireland",PROPER(CRM_Raw!D507)))</f>
        <v>Southern Europe</v>
      </c>
      <c r="E507" s="0" t="str">
        <f aca="false">CRM_Raw!E507</f>
        <v>Smart Ovens</v>
      </c>
      <c r="F507" s="0" t="str">
        <f aca="false">CRM_Raw!F507</f>
        <v>Trade Show</v>
      </c>
      <c r="G507" s="0" t="str">
        <f aca="false">IF(TRIM(CRM_Raw!G507)="","Unassigned",CRM_Raw!G507)</f>
        <v>L. Dubois</v>
      </c>
      <c r="H507" s="0" t="str">
        <f aca="false">CRM_Raw!H507</f>
        <v>Proposal Sent</v>
      </c>
      <c r="I507" s="10" t="n">
        <f aca="false">CRM_Raw!I507</f>
        <v>1674.33</v>
      </c>
      <c r="J507" s="11" t="n">
        <f aca="false">CRM_Raw!J507</f>
        <v>0.05</v>
      </c>
      <c r="K507" s="10" t="n">
        <f aca="false">I507*(1-J507)</f>
        <v>1590.6135</v>
      </c>
      <c r="L507" s="12" t="n">
        <f aca="false">CRM_Raw!K507</f>
        <v>0</v>
      </c>
      <c r="M507" s="12" t="n">
        <f aca="false">IF(H507="Closed Won",1,0)</f>
        <v>0</v>
      </c>
    </row>
    <row r="508" customFormat="false" ht="15" hidden="false" customHeight="false" outlineLevel="0" collapsed="false">
      <c r="A508" s="0" t="str">
        <f aca="false">CRM_Raw!A508</f>
        <v>D-10504</v>
      </c>
      <c r="B508" s="0" t="str">
        <f aca="false">CRM_Raw!B508</f>
        <v>2025-04-03</v>
      </c>
      <c r="C508" s="0" t="str">
        <f aca="false">CRM_Raw!C508</f>
        <v>2025-04-22</v>
      </c>
      <c r="D508" s="0" t="str">
        <f aca="false">IF(CRM_Raw!D508="DACH","DACH",IF(ISNUMBER(SEARCH("uk",CRM_Raw!D508)),"UK &amp; Ireland",PROPER(CRM_Raw!D508)))</f>
        <v>Nordics</v>
      </c>
      <c r="E508" s="0" t="str">
        <f aca="false">CRM_Raw!E508</f>
        <v>Coffee Systems</v>
      </c>
      <c r="F508" s="0" t="str">
        <f aca="false">CRM_Raw!F508</f>
        <v>Social Media Ads</v>
      </c>
      <c r="G508" s="0" t="str">
        <f aca="false">IF(TRIM(CRM_Raw!G508)="","Unassigned",CRM_Raw!G508)</f>
        <v>L. Dubois</v>
      </c>
      <c r="H508" s="0" t="str">
        <f aca="false">CRM_Raw!H508</f>
        <v>Closed Lost</v>
      </c>
      <c r="I508" s="10" t="n">
        <f aca="false">CRM_Raw!I508</f>
        <v>540.26</v>
      </c>
      <c r="J508" s="11" t="n">
        <f aca="false">CRM_Raw!J508</f>
        <v>0.2</v>
      </c>
      <c r="K508" s="10" t="n">
        <f aca="false">I508*(1-J508)</f>
        <v>432.208</v>
      </c>
      <c r="L508" s="12" t="n">
        <f aca="false">CRM_Raw!K508</f>
        <v>19</v>
      </c>
      <c r="M508" s="12" t="n">
        <f aca="false">IF(H508="Closed Won",1,0)</f>
        <v>0</v>
      </c>
    </row>
    <row r="509" customFormat="false" ht="15" hidden="false" customHeight="false" outlineLevel="0" collapsed="false">
      <c r="A509" s="0" t="str">
        <f aca="false">CRM_Raw!A509</f>
        <v>D-10505</v>
      </c>
      <c r="B509" s="0" t="str">
        <f aca="false">CRM_Raw!B509</f>
        <v>2026-04-11</v>
      </c>
      <c r="C509" s="0" t="n">
        <f aca="false">CRM_Raw!C509</f>
        <v>0</v>
      </c>
      <c r="D509" s="0" t="str">
        <f aca="false">IF(CRM_Raw!D509="DACH","DACH",IF(ISNUMBER(SEARCH("uk",CRM_Raw!D509)),"UK &amp; Ireland",PROPER(CRM_Raw!D509)))</f>
        <v>France</v>
      </c>
      <c r="E509" s="0" t="str">
        <f aca="false">CRM_Raw!E509</f>
        <v>Coffee Systems</v>
      </c>
      <c r="F509" s="0" t="str">
        <f aca="false">CRM_Raw!F509</f>
        <v>Social Media Ads</v>
      </c>
      <c r="G509" s="0" t="str">
        <f aca="false">IF(TRIM(CRM_Raw!G509)="","Unassigned",CRM_Raw!G509)</f>
        <v>S. Andersson</v>
      </c>
      <c r="H509" s="0" t="str">
        <f aca="false">CRM_Raw!H509</f>
        <v>Qualified</v>
      </c>
      <c r="I509" s="10" t="n">
        <f aca="false">CRM_Raw!I509</f>
        <v>539.24</v>
      </c>
      <c r="J509" s="11" t="n">
        <f aca="false">CRM_Raw!J509</f>
        <v>0</v>
      </c>
      <c r="K509" s="10" t="n">
        <f aca="false">I509*(1-J509)</f>
        <v>539.24</v>
      </c>
      <c r="L509" s="12" t="n">
        <f aca="false">CRM_Raw!K509</f>
        <v>0</v>
      </c>
      <c r="M509" s="12" t="n">
        <f aca="false">IF(H509="Closed Won",1,0)</f>
        <v>0</v>
      </c>
    </row>
    <row r="510" customFormat="false" ht="15" hidden="false" customHeight="false" outlineLevel="0" collapsed="false">
      <c r="A510" s="0" t="str">
        <f aca="false">CRM_Raw!A510</f>
        <v>D-10506</v>
      </c>
      <c r="B510" s="0" t="str">
        <f aca="false">CRM_Raw!B510</f>
        <v>2025-10-29</v>
      </c>
      <c r="C510" s="0" t="str">
        <f aca="false">CRM_Raw!C510</f>
        <v>2025-11-07</v>
      </c>
      <c r="D510" s="0" t="str">
        <f aca="false">IF(CRM_Raw!D510="DACH","DACH",IF(ISNUMBER(SEARCH("uk",CRM_Raw!D510)),"UK &amp; Ireland",PROPER(CRM_Raw!D510)))</f>
        <v>Benelux</v>
      </c>
      <c r="E510" s="0" t="str">
        <f aca="false">CRM_Raw!E510</f>
        <v>Washing Machines</v>
      </c>
      <c r="F510" s="0" t="str">
        <f aca="false">CRM_Raw!F510</f>
        <v>Web-shop Organic</v>
      </c>
      <c r="G510" s="0" t="str">
        <f aca="false">IF(TRIM(CRM_Raw!G510)="","Unassigned",CRM_Raw!G510)</f>
        <v>L. Dubois</v>
      </c>
      <c r="H510" s="0" t="str">
        <f aca="false">CRM_Raw!H510</f>
        <v>Closed Won</v>
      </c>
      <c r="I510" s="10" t="n">
        <f aca="false">CRM_Raw!I510</f>
        <v>1838.88</v>
      </c>
      <c r="J510" s="11" t="n">
        <f aca="false">CRM_Raw!J510</f>
        <v>0</v>
      </c>
      <c r="K510" s="10" t="n">
        <f aca="false">I510*(1-J510)</f>
        <v>1838.88</v>
      </c>
      <c r="L510" s="12" t="n">
        <f aca="false">CRM_Raw!K510</f>
        <v>9</v>
      </c>
      <c r="M510" s="12" t="n">
        <f aca="false">IF(H510="Closed Won",1,0)</f>
        <v>1</v>
      </c>
    </row>
    <row r="511" customFormat="false" ht="15" hidden="false" customHeight="false" outlineLevel="0" collapsed="false">
      <c r="A511" s="0" t="str">
        <f aca="false">CRM_Raw!A511</f>
        <v>D-10507</v>
      </c>
      <c r="B511" s="0" t="str">
        <f aca="false">CRM_Raw!B511</f>
        <v>2026-01-22</v>
      </c>
      <c r="C511" s="0" t="str">
        <f aca="false">CRM_Raw!C511</f>
        <v>2026-02-13</v>
      </c>
      <c r="D511" s="0" t="str">
        <f aca="false">IF(CRM_Raw!D511="DACH","DACH",IF(ISNUMBER(SEARCH("uk",CRM_Raw!D511)),"UK &amp; Ireland",PROPER(CRM_Raw!D511)))</f>
        <v>Nordics</v>
      </c>
      <c r="E511" s="0" t="str">
        <f aca="false">CRM_Raw!E511</f>
        <v>Washing Machines</v>
      </c>
      <c r="F511" s="0" t="str">
        <f aca="false">CRM_Raw!F511</f>
        <v>Paid Search</v>
      </c>
      <c r="G511" s="0" t="str">
        <f aca="false">IF(TRIM(CRM_Raw!G511)="","Unassigned",CRM_Raw!G511)</f>
        <v>T. Wagner</v>
      </c>
      <c r="H511" s="0" t="str">
        <f aca="false">CRM_Raw!H511</f>
        <v>Closed Lost</v>
      </c>
      <c r="I511" s="10" t="n">
        <f aca="false">CRM_Raw!I511</f>
        <v>1497.38</v>
      </c>
      <c r="J511" s="11" t="n">
        <f aca="false">CRM_Raw!J511</f>
        <v>0.15</v>
      </c>
      <c r="K511" s="10" t="n">
        <f aca="false">I511*(1-J511)</f>
        <v>1272.773</v>
      </c>
      <c r="L511" s="12" t="n">
        <f aca="false">CRM_Raw!K511</f>
        <v>22</v>
      </c>
      <c r="M511" s="12" t="n">
        <f aca="false">IF(H511="Closed Won",1,0)</f>
        <v>0</v>
      </c>
    </row>
    <row r="512" customFormat="false" ht="15" hidden="false" customHeight="false" outlineLevel="0" collapsed="false">
      <c r="A512" s="0" t="str">
        <f aca="false">CRM_Raw!A512</f>
        <v>D-10508</v>
      </c>
      <c r="B512" s="0" t="str">
        <f aca="false">CRM_Raw!B512</f>
        <v>2025-04-30</v>
      </c>
      <c r="C512" s="0" t="str">
        <f aca="false">CRM_Raw!C512</f>
        <v>2025-05-05</v>
      </c>
      <c r="D512" s="0" t="str">
        <f aca="false">IF(CRM_Raw!D512="DACH","DACH",IF(ISNUMBER(SEARCH("uk",CRM_Raw!D512)),"UK &amp; Ireland",PROPER(CRM_Raw!D512)))</f>
        <v>Benelux</v>
      </c>
      <c r="E512" s="0" t="str">
        <f aca="false">CRM_Raw!E512</f>
        <v>Washing Machines</v>
      </c>
      <c r="F512" s="0" t="str">
        <f aca="false">CRM_Raw!F512</f>
        <v>Retail Referral</v>
      </c>
      <c r="G512" s="0" t="str">
        <f aca="false">IF(TRIM(CRM_Raw!G512)="","Unassigned",CRM_Raw!G512)</f>
        <v>T. Wagner</v>
      </c>
      <c r="H512" s="0" t="str">
        <f aca="false">CRM_Raw!H512</f>
        <v>Closed Won</v>
      </c>
      <c r="I512" s="10" t="n">
        <f aca="false">CRM_Raw!I512</f>
        <v>655.67</v>
      </c>
      <c r="J512" s="11" t="n">
        <f aca="false">CRM_Raw!J512</f>
        <v>0.15</v>
      </c>
      <c r="K512" s="10" t="n">
        <f aca="false">I512*(1-J512)</f>
        <v>557.3195</v>
      </c>
      <c r="L512" s="12" t="n">
        <f aca="false">CRM_Raw!K512</f>
        <v>5</v>
      </c>
      <c r="M512" s="12" t="n">
        <f aca="false">IF(H512="Closed Won",1,0)</f>
        <v>1</v>
      </c>
    </row>
    <row r="513" customFormat="false" ht="15" hidden="false" customHeight="false" outlineLevel="0" collapsed="false">
      <c r="A513" s="0" t="str">
        <f aca="false">CRM_Raw!A513</f>
        <v>D-10509</v>
      </c>
      <c r="B513" s="0" t="str">
        <f aca="false">CRM_Raw!B513</f>
        <v>2025-12-28</v>
      </c>
      <c r="C513" s="0" t="str">
        <f aca="false">CRM_Raw!C513</f>
        <v>2026-02-03</v>
      </c>
      <c r="D513" s="0" t="str">
        <f aca="false">IF(CRM_Raw!D513="DACH","DACH",IF(ISNUMBER(SEARCH("uk",CRM_Raw!D513)),"UK &amp; Ireland",PROPER(CRM_Raw!D513)))</f>
        <v>Southern Europe</v>
      </c>
      <c r="E513" s="0" t="str">
        <f aca="false">CRM_Raw!E513</f>
        <v>Coffee Systems</v>
      </c>
      <c r="F513" s="0" t="str">
        <f aca="false">CRM_Raw!F513</f>
        <v>Email Campaign</v>
      </c>
      <c r="G513" s="0" t="str">
        <f aca="false">IF(TRIM(CRM_Raw!G513)="","Unassigned",CRM_Raw!G513)</f>
        <v>K. Nilsson</v>
      </c>
      <c r="H513" s="0" t="str">
        <f aca="false">CRM_Raw!H513</f>
        <v>Closed Lost</v>
      </c>
      <c r="I513" s="10" t="n">
        <f aca="false">CRM_Raw!I513</f>
        <v>498</v>
      </c>
      <c r="J513" s="11" t="n">
        <f aca="false">CRM_Raw!J513</f>
        <v>0.05</v>
      </c>
      <c r="K513" s="10" t="n">
        <f aca="false">I513*(1-J513)</f>
        <v>473.1</v>
      </c>
      <c r="L513" s="12" t="n">
        <f aca="false">CRM_Raw!K513</f>
        <v>37</v>
      </c>
      <c r="M513" s="12" t="n">
        <f aca="false">IF(H513="Closed Won",1,0)</f>
        <v>0</v>
      </c>
    </row>
    <row r="514" customFormat="false" ht="15" hidden="false" customHeight="false" outlineLevel="0" collapsed="false">
      <c r="A514" s="0" t="str">
        <f aca="false">CRM_Raw!A514</f>
        <v>D-10510</v>
      </c>
      <c r="B514" s="0" t="str">
        <f aca="false">CRM_Raw!B514</f>
        <v>2025-07-02</v>
      </c>
      <c r="C514" s="0" t="str">
        <f aca="false">CRM_Raw!C514</f>
        <v>2025-07-24</v>
      </c>
      <c r="D514" s="0" t="str">
        <f aca="false">IF(CRM_Raw!D514="DACH","DACH",IF(ISNUMBER(SEARCH("uk",CRM_Raw!D514)),"UK &amp; Ireland",PROPER(CRM_Raw!D514)))</f>
        <v>Southern Europe</v>
      </c>
      <c r="E514" s="0" t="str">
        <f aca="false">CRM_Raw!E514</f>
        <v>Small Kitchen Appliances</v>
      </c>
      <c r="F514" s="0" t="str">
        <f aca="false">CRM_Raw!F514</f>
        <v>Email Campaign</v>
      </c>
      <c r="G514" s="0" t="str">
        <f aca="false">IF(TRIM(CRM_Raw!G514)="","Unassigned",CRM_Raw!G514)</f>
        <v>L. Dubois</v>
      </c>
      <c r="H514" s="0" t="str">
        <f aca="false">CRM_Raw!H514</f>
        <v>Closed Lost</v>
      </c>
      <c r="I514" s="10" t="n">
        <f aca="false">CRM_Raw!I514</f>
        <v>360.42</v>
      </c>
      <c r="J514" s="11" t="n">
        <f aca="false">CRM_Raw!J514</f>
        <v>0</v>
      </c>
      <c r="K514" s="10" t="n">
        <f aca="false">I514*(1-J514)</f>
        <v>360.42</v>
      </c>
      <c r="L514" s="12" t="n">
        <f aca="false">CRM_Raw!K514</f>
        <v>22</v>
      </c>
      <c r="M514" s="12" t="n">
        <f aca="false">IF(H514="Closed Won",1,0)</f>
        <v>0</v>
      </c>
    </row>
    <row r="515" customFormat="false" ht="15" hidden="false" customHeight="false" outlineLevel="0" collapsed="false">
      <c r="A515" s="0" t="str">
        <f aca="false">CRM_Raw!A515</f>
        <v>D-10511</v>
      </c>
      <c r="B515" s="0" t="str">
        <f aca="false">CRM_Raw!B515</f>
        <v>2026-05-26</v>
      </c>
      <c r="C515" s="0" t="n">
        <f aca="false">CRM_Raw!C515</f>
        <v>0</v>
      </c>
      <c r="D515" s="0" t="str">
        <f aca="false">IF(CRM_Raw!D515="DACH","DACH",IF(ISNUMBER(SEARCH("uk",CRM_Raw!D515)),"UK &amp; Ireland",PROPER(CRM_Raw!D515)))</f>
        <v>UK &amp; Ireland</v>
      </c>
      <c r="E515" s="0" t="str">
        <f aca="false">CRM_Raw!E515</f>
        <v>Small Kitchen Appliances</v>
      </c>
      <c r="F515" s="0" t="str">
        <f aca="false">CRM_Raw!F515</f>
        <v>Affiliate Partner</v>
      </c>
      <c r="G515" s="0" t="str">
        <f aca="false">IF(TRIM(CRM_Raw!G515)="","Unassigned",CRM_Raw!G515)</f>
        <v>S. Andersson</v>
      </c>
      <c r="H515" s="0" t="str">
        <f aca="false">CRM_Raw!H515</f>
        <v>Negotiation</v>
      </c>
      <c r="I515" s="10" t="n">
        <f aca="false">CRM_Raw!I515</f>
        <v>116.62</v>
      </c>
      <c r="J515" s="11" t="n">
        <f aca="false">CRM_Raw!J515</f>
        <v>0.2</v>
      </c>
      <c r="K515" s="10" t="n">
        <f aca="false">I515*(1-J515)</f>
        <v>93.296</v>
      </c>
      <c r="L515" s="12" t="n">
        <f aca="false">CRM_Raw!K515</f>
        <v>0</v>
      </c>
      <c r="M515" s="12" t="n">
        <f aca="false">IF(H515="Closed Won",1,0)</f>
        <v>0</v>
      </c>
    </row>
    <row r="516" customFormat="false" ht="15" hidden="false" customHeight="false" outlineLevel="0" collapsed="false">
      <c r="A516" s="0" t="str">
        <f aca="false">CRM_Raw!A516</f>
        <v>D-10512</v>
      </c>
      <c r="B516" s="0" t="str">
        <f aca="false">CRM_Raw!B516</f>
        <v>2025-12-31</v>
      </c>
      <c r="C516" s="0" t="str">
        <f aca="false">CRM_Raw!C516</f>
        <v>2026-02-05</v>
      </c>
      <c r="D516" s="0" t="str">
        <f aca="false">IF(CRM_Raw!D516="DACH","DACH",IF(ISNUMBER(SEARCH("uk",CRM_Raw!D516)),"UK &amp; Ireland",PROPER(CRM_Raw!D516)))</f>
        <v>France</v>
      </c>
      <c r="E516" s="0" t="str">
        <f aca="false">CRM_Raw!E516</f>
        <v>Coffee Systems</v>
      </c>
      <c r="F516" s="0" t="str">
        <f aca="false">CRM_Raw!F516</f>
        <v>Web-shop Organic</v>
      </c>
      <c r="G516" s="0" t="str">
        <f aca="false">IF(TRIM(CRM_Raw!G516)="","Unassigned",CRM_Raw!G516)</f>
        <v>S. Andersson</v>
      </c>
      <c r="H516" s="0" t="str">
        <f aca="false">CRM_Raw!H516</f>
        <v>Closed Won</v>
      </c>
      <c r="I516" s="10" t="n">
        <f aca="false">CRM_Raw!I516</f>
        <v>1103.97</v>
      </c>
      <c r="J516" s="11" t="n">
        <f aca="false">CRM_Raw!J516</f>
        <v>0.1</v>
      </c>
      <c r="K516" s="10" t="n">
        <f aca="false">I516*(1-J516)</f>
        <v>993.573</v>
      </c>
      <c r="L516" s="12" t="n">
        <f aca="false">CRM_Raw!K516</f>
        <v>36</v>
      </c>
      <c r="M516" s="12" t="n">
        <f aca="false">IF(H516="Closed Won",1,0)</f>
        <v>1</v>
      </c>
    </row>
    <row r="517" customFormat="false" ht="15" hidden="false" customHeight="false" outlineLevel="0" collapsed="false">
      <c r="A517" s="0" t="str">
        <f aca="false">CRM_Raw!A517</f>
        <v>D-10513</v>
      </c>
      <c r="B517" s="0" t="str">
        <f aca="false">CRM_Raw!B517</f>
        <v>2026-01-16</v>
      </c>
      <c r="C517" s="0" t="str">
        <f aca="false">CRM_Raw!C517</f>
        <v>2026-02-18</v>
      </c>
      <c r="D517" s="0" t="str">
        <f aca="false">IF(CRM_Raw!D517="DACH","DACH",IF(ISNUMBER(SEARCH("uk",CRM_Raw!D517)),"UK &amp; Ireland",PROPER(CRM_Raw!D517)))</f>
        <v>DACH</v>
      </c>
      <c r="E517" s="0" t="str">
        <f aca="false">CRM_Raw!E517</f>
        <v>Washing Machines</v>
      </c>
      <c r="F517" s="0" t="str">
        <f aca="false">CRM_Raw!F517</f>
        <v>Trade Show</v>
      </c>
      <c r="G517" s="0" t="str">
        <f aca="false">IF(TRIM(CRM_Raw!G517)="","Unassigned",CRM_Raw!G517)</f>
        <v>T. Wagner</v>
      </c>
      <c r="H517" s="0" t="str">
        <f aca="false">CRM_Raw!H517</f>
        <v>Closed Lost</v>
      </c>
      <c r="I517" s="10" t="n">
        <f aca="false">CRM_Raw!I517</f>
        <v>2019.91</v>
      </c>
      <c r="J517" s="11" t="n">
        <f aca="false">CRM_Raw!J517</f>
        <v>0.2</v>
      </c>
      <c r="K517" s="10" t="n">
        <f aca="false">I517*(1-J517)</f>
        <v>1615.928</v>
      </c>
      <c r="L517" s="12" t="n">
        <f aca="false">CRM_Raw!K517</f>
        <v>33</v>
      </c>
      <c r="M517" s="12" t="n">
        <f aca="false">IF(H517="Closed Won",1,0)</f>
        <v>0</v>
      </c>
    </row>
    <row r="518" customFormat="false" ht="15" hidden="false" customHeight="false" outlineLevel="0" collapsed="false">
      <c r="A518" s="0" t="str">
        <f aca="false">CRM_Raw!A518</f>
        <v>D-10514</v>
      </c>
      <c r="B518" s="0" t="str">
        <f aca="false">CRM_Raw!B518</f>
        <v>2026-02-12</v>
      </c>
      <c r="C518" s="0" t="str">
        <f aca="false">CRM_Raw!C518</f>
        <v>2026-03-02</v>
      </c>
      <c r="D518" s="0" t="str">
        <f aca="false">IF(CRM_Raw!D518="DACH","DACH",IF(ISNUMBER(SEARCH("uk",CRM_Raw!D518)),"UK &amp; Ireland",PROPER(CRM_Raw!D518)))</f>
        <v>France</v>
      </c>
      <c r="E518" s="0" t="str">
        <f aca="false">CRM_Raw!E518</f>
        <v>Dishwashers</v>
      </c>
      <c r="F518" s="0" t="str">
        <f aca="false">CRM_Raw!F518</f>
        <v>Web-shop Organic</v>
      </c>
      <c r="G518" s="0" t="str">
        <f aca="false">IF(TRIM(CRM_Raw!G518)="","Unassigned",CRM_Raw!G518)</f>
        <v>J. Murphy</v>
      </c>
      <c r="H518" s="0" t="str">
        <f aca="false">CRM_Raw!H518</f>
        <v>Closed Won</v>
      </c>
      <c r="I518" s="10" t="n">
        <f aca="false">CRM_Raw!I518</f>
        <v>1548.68</v>
      </c>
      <c r="J518" s="11" t="n">
        <f aca="false">CRM_Raw!J518</f>
        <v>0.1</v>
      </c>
      <c r="K518" s="10" t="n">
        <f aca="false">I518*(1-J518)</f>
        <v>1393.812</v>
      </c>
      <c r="L518" s="12" t="n">
        <f aca="false">CRM_Raw!K518</f>
        <v>18</v>
      </c>
      <c r="M518" s="12" t="n">
        <f aca="false">IF(H518="Closed Won",1,0)</f>
        <v>1</v>
      </c>
    </row>
    <row r="519" customFormat="false" ht="15" hidden="false" customHeight="false" outlineLevel="0" collapsed="false">
      <c r="A519" s="0" t="str">
        <f aca="false">CRM_Raw!A519</f>
        <v>D-10515</v>
      </c>
      <c r="B519" s="0" t="str">
        <f aca="false">CRM_Raw!B519</f>
        <v>2026-04-14</v>
      </c>
      <c r="C519" s="0" t="n">
        <f aca="false">CRM_Raw!C519</f>
        <v>0</v>
      </c>
      <c r="D519" s="0" t="str">
        <f aca="false">IF(CRM_Raw!D519="DACH","DACH",IF(ISNUMBER(SEARCH("uk",CRM_Raw!D519)),"UK &amp; Ireland",PROPER(CRM_Raw!D519)))</f>
        <v>DACH</v>
      </c>
      <c r="E519" s="0" t="str">
        <f aca="false">CRM_Raw!E519</f>
        <v>Washing Machines</v>
      </c>
      <c r="F519" s="0" t="str">
        <f aca="false">CRM_Raw!F519</f>
        <v>Paid Search</v>
      </c>
      <c r="G519" s="0" t="str">
        <f aca="false">IF(TRIM(CRM_Raw!G519)="","Unassigned",CRM_Raw!G519)</f>
        <v>M. Hoffmann</v>
      </c>
      <c r="H519" s="0" t="str">
        <f aca="false">CRM_Raw!H519</f>
        <v>Qualified</v>
      </c>
      <c r="I519" s="10" t="n">
        <f aca="false">CRM_Raw!I519</f>
        <v>1412.81</v>
      </c>
      <c r="J519" s="11" t="n">
        <f aca="false">CRM_Raw!J519</f>
        <v>0</v>
      </c>
      <c r="K519" s="10" t="n">
        <f aca="false">I519*(1-J519)</f>
        <v>1412.81</v>
      </c>
      <c r="L519" s="12" t="n">
        <f aca="false">CRM_Raw!K519</f>
        <v>0</v>
      </c>
      <c r="M519" s="12" t="n">
        <f aca="false">IF(H519="Closed Won",1,0)</f>
        <v>0</v>
      </c>
    </row>
    <row r="520" customFormat="false" ht="15" hidden="false" customHeight="false" outlineLevel="0" collapsed="false">
      <c r="A520" s="0" t="str">
        <f aca="false">CRM_Raw!A520</f>
        <v>D-10516</v>
      </c>
      <c r="B520" s="0" t="str">
        <f aca="false">CRM_Raw!B520</f>
        <v>2026-01-24</v>
      </c>
      <c r="C520" s="0" t="str">
        <f aca="false">CRM_Raw!C520</f>
        <v>2026-02-12</v>
      </c>
      <c r="D520" s="0" t="str">
        <f aca="false">IF(CRM_Raw!D520="DACH","DACH",IF(ISNUMBER(SEARCH("uk",CRM_Raw!D520)),"UK &amp; Ireland",PROPER(CRM_Raw!D520)))</f>
        <v>Southern Europe</v>
      </c>
      <c r="E520" s="0" t="str">
        <f aca="false">CRM_Raw!E520</f>
        <v>Smart Ovens</v>
      </c>
      <c r="F520" s="0" t="str">
        <f aca="false">CRM_Raw!F520</f>
        <v>Web-shop Organic</v>
      </c>
      <c r="G520" s="0" t="str">
        <f aca="false">IF(TRIM(CRM_Raw!G520)="","Unassigned",CRM_Raw!G520)</f>
        <v>S. Andersson</v>
      </c>
      <c r="H520" s="0" t="str">
        <f aca="false">CRM_Raw!H520</f>
        <v>Closed Lost</v>
      </c>
      <c r="I520" s="10" t="n">
        <f aca="false">CRM_Raw!I520</f>
        <v>2494.32</v>
      </c>
      <c r="J520" s="11" t="n">
        <f aca="false">CRM_Raw!J520</f>
        <v>0.2</v>
      </c>
      <c r="K520" s="10" t="n">
        <f aca="false">I520*(1-J520)</f>
        <v>1995.456</v>
      </c>
      <c r="L520" s="12" t="n">
        <f aca="false">CRM_Raw!K520</f>
        <v>19</v>
      </c>
      <c r="M520" s="12" t="n">
        <f aca="false">IF(H520="Closed Won",1,0)</f>
        <v>0</v>
      </c>
    </row>
    <row r="521" customFormat="false" ht="15" hidden="false" customHeight="false" outlineLevel="0" collapsed="false">
      <c r="A521" s="0" t="str">
        <f aca="false">CRM_Raw!A521</f>
        <v>D-10517</v>
      </c>
      <c r="B521" s="0" t="str">
        <f aca="false">CRM_Raw!B521</f>
        <v>2025-10-03</v>
      </c>
      <c r="C521" s="0" t="str">
        <f aca="false">CRM_Raw!C521</f>
        <v>2025-10-17</v>
      </c>
      <c r="D521" s="0" t="str">
        <f aca="false">IF(CRM_Raw!D521="DACH","DACH",IF(ISNUMBER(SEARCH("uk",CRM_Raw!D521)),"UK &amp; Ireland",PROPER(CRM_Raw!D521)))</f>
        <v>France</v>
      </c>
      <c r="E521" s="0" t="str">
        <f aca="false">CRM_Raw!E521</f>
        <v>Coffee Systems</v>
      </c>
      <c r="F521" s="0" t="str">
        <f aca="false">CRM_Raw!F521</f>
        <v>Social Media Ads</v>
      </c>
      <c r="G521" s="0" t="str">
        <f aca="false">IF(TRIM(CRM_Raw!G521)="","Unassigned",CRM_Raw!G521)</f>
        <v>S. Andersson</v>
      </c>
      <c r="H521" s="0" t="str">
        <f aca="false">CRM_Raw!H521</f>
        <v>Closed Lost</v>
      </c>
      <c r="I521" s="10" t="n">
        <f aca="false">CRM_Raw!I521</f>
        <v>529.63</v>
      </c>
      <c r="J521" s="11" t="n">
        <f aca="false">CRM_Raw!J521</f>
        <v>0.05</v>
      </c>
      <c r="K521" s="10" t="n">
        <f aca="false">I521*(1-J521)</f>
        <v>503.1485</v>
      </c>
      <c r="L521" s="12" t="n">
        <f aca="false">CRM_Raw!K521</f>
        <v>14</v>
      </c>
      <c r="M521" s="12" t="n">
        <f aca="false">IF(H521="Closed Won",1,0)</f>
        <v>0</v>
      </c>
    </row>
    <row r="522" customFormat="false" ht="15" hidden="false" customHeight="false" outlineLevel="0" collapsed="false">
      <c r="A522" s="0" t="str">
        <f aca="false">CRM_Raw!A522</f>
        <v>D-10518</v>
      </c>
      <c r="B522" s="0" t="str">
        <f aca="false">CRM_Raw!B522</f>
        <v>2025-10-14</v>
      </c>
      <c r="C522" s="0" t="str">
        <f aca="false">CRM_Raw!C522</f>
        <v>2025-10-29</v>
      </c>
      <c r="D522" s="0" t="str">
        <f aca="false">IF(CRM_Raw!D522="DACH","DACH",IF(ISNUMBER(SEARCH("uk",CRM_Raw!D522)),"UK &amp; Ireland",PROPER(CRM_Raw!D522)))</f>
        <v>Southern Europe</v>
      </c>
      <c r="E522" s="0" t="str">
        <f aca="false">CRM_Raw!E522</f>
        <v>Cordless Vacuums</v>
      </c>
      <c r="F522" s="0" t="str">
        <f aca="false">CRM_Raw!F522</f>
        <v>Paid Search</v>
      </c>
      <c r="G522" s="0" t="str">
        <f aca="false">IF(TRIM(CRM_Raw!G522)="","Unassigned",CRM_Raw!G522)</f>
        <v>K. Nilsson</v>
      </c>
      <c r="H522" s="0" t="str">
        <f aca="false">CRM_Raw!H522</f>
        <v>Closed Lost</v>
      </c>
      <c r="I522" s="10" t="n">
        <f aca="false">CRM_Raw!I522</f>
        <v>1115.88</v>
      </c>
      <c r="J522" s="11" t="n">
        <f aca="false">CRM_Raw!J522</f>
        <v>0.15</v>
      </c>
      <c r="K522" s="10" t="n">
        <f aca="false">I522*(1-J522)</f>
        <v>948.498</v>
      </c>
      <c r="L522" s="12" t="n">
        <f aca="false">CRM_Raw!K522</f>
        <v>15</v>
      </c>
      <c r="M522" s="12" t="n">
        <f aca="false">IF(H522="Closed Won",1,0)</f>
        <v>0</v>
      </c>
    </row>
    <row r="523" customFormat="false" ht="15" hidden="false" customHeight="false" outlineLevel="0" collapsed="false">
      <c r="A523" s="0" t="str">
        <f aca="false">CRM_Raw!A523</f>
        <v>D-10519</v>
      </c>
      <c r="B523" s="0" t="str">
        <f aca="false">CRM_Raw!B523</f>
        <v>2026-03-19</v>
      </c>
      <c r="C523" s="0" t="n">
        <f aca="false">CRM_Raw!C523</f>
        <v>0</v>
      </c>
      <c r="D523" s="0" t="str">
        <f aca="false">IF(CRM_Raw!D523="DACH","DACH",IF(ISNUMBER(SEARCH("uk",CRM_Raw!D523)),"UK &amp; Ireland",PROPER(CRM_Raw!D523)))</f>
        <v>UK &amp; Ireland</v>
      </c>
      <c r="E523" s="0" t="str">
        <f aca="false">CRM_Raw!E523</f>
        <v>Smart Ovens</v>
      </c>
      <c r="F523" s="0" t="str">
        <f aca="false">CRM_Raw!F523</f>
        <v>Affiliate Partner</v>
      </c>
      <c r="G523" s="0" t="str">
        <f aca="false">IF(TRIM(CRM_Raw!G523)="","Unassigned",CRM_Raw!G523)</f>
        <v>S. Andersson</v>
      </c>
      <c r="H523" s="0" t="str">
        <f aca="false">CRM_Raw!H523</f>
        <v>Proposal Sent</v>
      </c>
      <c r="I523" s="10" t="n">
        <f aca="false">CRM_Raw!I523</f>
        <v>804.69</v>
      </c>
      <c r="J523" s="11" t="n">
        <f aca="false">CRM_Raw!J523</f>
        <v>0.05</v>
      </c>
      <c r="K523" s="10" t="n">
        <f aca="false">I523*(1-J523)</f>
        <v>764.4555</v>
      </c>
      <c r="L523" s="12" t="n">
        <f aca="false">CRM_Raw!K523</f>
        <v>0</v>
      </c>
      <c r="M523" s="12" t="n">
        <f aca="false">IF(H523="Closed Won",1,0)</f>
        <v>0</v>
      </c>
    </row>
    <row r="524" customFormat="false" ht="15" hidden="false" customHeight="false" outlineLevel="0" collapsed="false">
      <c r="A524" s="0" t="str">
        <f aca="false">CRM_Raw!A524</f>
        <v>D-10520</v>
      </c>
      <c r="B524" s="0" t="str">
        <f aca="false">CRM_Raw!B524</f>
        <v>2025-05-18</v>
      </c>
      <c r="C524" s="0" t="n">
        <f aca="false">CRM_Raw!C524</f>
        <v>0</v>
      </c>
      <c r="D524" s="0" t="str">
        <f aca="false">IF(CRM_Raw!D524="DACH","DACH",IF(ISNUMBER(SEARCH("uk",CRM_Raw!D524)),"UK &amp; Ireland",PROPER(CRM_Raw!D524)))</f>
        <v>North America</v>
      </c>
      <c r="E524" s="0" t="str">
        <f aca="false">CRM_Raw!E524</f>
        <v>Smart Ovens</v>
      </c>
      <c r="F524" s="0" t="str">
        <f aca="false">CRM_Raw!F524</f>
        <v>Web-shop Organic</v>
      </c>
      <c r="G524" s="0" t="str">
        <f aca="false">IF(TRIM(CRM_Raw!G524)="","Unassigned",CRM_Raw!G524)</f>
        <v>T. Wagner</v>
      </c>
      <c r="H524" s="0" t="str">
        <f aca="false">CRM_Raw!H524</f>
        <v>Qualified</v>
      </c>
      <c r="I524" s="10" t="n">
        <f aca="false">CRM_Raw!I524</f>
        <v>2819.34</v>
      </c>
      <c r="J524" s="11" t="n">
        <f aca="false">CRM_Raw!J524</f>
        <v>0.1</v>
      </c>
      <c r="K524" s="10" t="n">
        <f aca="false">I524*(1-J524)</f>
        <v>2537.406</v>
      </c>
      <c r="L524" s="12" t="n">
        <f aca="false">CRM_Raw!K524</f>
        <v>0</v>
      </c>
      <c r="M524" s="12" t="n">
        <f aca="false">IF(H524="Closed Won",1,0)</f>
        <v>0</v>
      </c>
    </row>
    <row r="525" customFormat="false" ht="15" hidden="false" customHeight="false" outlineLevel="0" collapsed="false">
      <c r="A525" s="0" t="str">
        <f aca="false">CRM_Raw!A525</f>
        <v>D-10521</v>
      </c>
      <c r="B525" s="0" t="str">
        <f aca="false">CRM_Raw!B525</f>
        <v>2025-09-14</v>
      </c>
      <c r="C525" s="0" t="str">
        <f aca="false">CRM_Raw!C525</f>
        <v>2025-09-26</v>
      </c>
      <c r="D525" s="0" t="str">
        <f aca="false">IF(CRM_Raw!D525="DACH","DACH",IF(ISNUMBER(SEARCH("uk",CRM_Raw!D525)),"UK &amp; Ireland",PROPER(CRM_Raw!D525)))</f>
        <v>Southern Europe</v>
      </c>
      <c r="E525" s="0" t="str">
        <f aca="false">CRM_Raw!E525</f>
        <v>Cordless Vacuums</v>
      </c>
      <c r="F525" s="0" t="str">
        <f aca="false">CRM_Raw!F525</f>
        <v>Email Campaign</v>
      </c>
      <c r="G525" s="0" t="str">
        <f aca="false">IF(TRIM(CRM_Raw!G525)="","Unassigned",CRM_Raw!G525)</f>
        <v>J. Murphy</v>
      </c>
      <c r="H525" s="0" t="str">
        <f aca="false">CRM_Raw!H525</f>
        <v>Closed Lost</v>
      </c>
      <c r="I525" s="10" t="n">
        <f aca="false">CRM_Raw!I525</f>
        <v>382.34</v>
      </c>
      <c r="J525" s="11" t="n">
        <f aca="false">CRM_Raw!J525</f>
        <v>0</v>
      </c>
      <c r="K525" s="10" t="n">
        <f aca="false">I525*(1-J525)</f>
        <v>382.34</v>
      </c>
      <c r="L525" s="12" t="n">
        <f aca="false">CRM_Raw!K525</f>
        <v>12</v>
      </c>
      <c r="M525" s="12" t="n">
        <f aca="false">IF(H525="Closed Won",1,0)</f>
        <v>0</v>
      </c>
    </row>
    <row r="526" customFormat="false" ht="15" hidden="false" customHeight="false" outlineLevel="0" collapsed="false">
      <c r="A526" s="0" t="str">
        <f aca="false">CRM_Raw!A526</f>
        <v>D-10522</v>
      </c>
      <c r="B526" s="0" t="str">
        <f aca="false">CRM_Raw!B526</f>
        <v>2026-04-06</v>
      </c>
      <c r="C526" s="0" t="n">
        <f aca="false">CRM_Raw!C526</f>
        <v>0</v>
      </c>
      <c r="D526" s="0" t="str">
        <f aca="false">IF(CRM_Raw!D526="DACH","DACH",IF(ISNUMBER(SEARCH("uk",CRM_Raw!D526)),"UK &amp; Ireland",PROPER(CRM_Raw!D526)))</f>
        <v>North America</v>
      </c>
      <c r="E526" s="0" t="str">
        <f aca="false">CRM_Raw!E526</f>
        <v>Cordless Vacuums</v>
      </c>
      <c r="F526" s="0" t="str">
        <f aca="false">CRM_Raw!F526</f>
        <v>Social Media Ads</v>
      </c>
      <c r="G526" s="0" t="str">
        <f aca="false">IF(TRIM(CRM_Raw!G526)="","Unassigned",CRM_Raw!G526)</f>
        <v>L. Dubois</v>
      </c>
      <c r="H526" s="0" t="str">
        <f aca="false">CRM_Raw!H526</f>
        <v>Negotiation</v>
      </c>
      <c r="I526" s="10" t="n">
        <f aca="false">CRM_Raw!I526</f>
        <v>344.79</v>
      </c>
      <c r="J526" s="11" t="n">
        <f aca="false">CRM_Raw!J526</f>
        <v>0.1</v>
      </c>
      <c r="K526" s="10" t="n">
        <f aca="false">I526*(1-J526)</f>
        <v>310.311</v>
      </c>
      <c r="L526" s="12" t="n">
        <f aca="false">CRM_Raw!K526</f>
        <v>0</v>
      </c>
      <c r="M526" s="12" t="n">
        <f aca="false">IF(H526="Closed Won",1,0)</f>
        <v>0</v>
      </c>
    </row>
    <row r="527" customFormat="false" ht="15" hidden="false" customHeight="false" outlineLevel="0" collapsed="false">
      <c r="A527" s="0" t="str">
        <f aca="false">CRM_Raw!A527</f>
        <v>D-10523</v>
      </c>
      <c r="B527" s="0" t="str">
        <f aca="false">CRM_Raw!B527</f>
        <v>2025-05-05</v>
      </c>
      <c r="C527" s="0" t="str">
        <f aca="false">CRM_Raw!C527</f>
        <v>2025-05-22</v>
      </c>
      <c r="D527" s="0" t="str">
        <f aca="false">IF(CRM_Raw!D527="DACH","DACH",IF(ISNUMBER(SEARCH("uk",CRM_Raw!D527)),"UK &amp; Ireland",PROPER(CRM_Raw!D527)))</f>
        <v>Nordics</v>
      </c>
      <c r="E527" s="0" t="str">
        <f aca="false">CRM_Raw!E527</f>
        <v>Cordless Vacuums</v>
      </c>
      <c r="F527" s="0" t="str">
        <f aca="false">CRM_Raw!F527</f>
        <v>Paid Search</v>
      </c>
      <c r="G527" s="0" t="str">
        <f aca="false">IF(TRIM(CRM_Raw!G527)="","Unassigned",CRM_Raw!G527)</f>
        <v>K. Nilsson</v>
      </c>
      <c r="H527" s="0" t="str">
        <f aca="false">CRM_Raw!H527</f>
        <v>Closed Won</v>
      </c>
      <c r="I527" s="10" t="n">
        <f aca="false">CRM_Raw!I527</f>
        <v>1144.17</v>
      </c>
      <c r="J527" s="11" t="n">
        <f aca="false">CRM_Raw!J527</f>
        <v>0</v>
      </c>
      <c r="K527" s="10" t="n">
        <f aca="false">I527*(1-J527)</f>
        <v>1144.17</v>
      </c>
      <c r="L527" s="12" t="n">
        <f aca="false">CRM_Raw!K527</f>
        <v>17</v>
      </c>
      <c r="M527" s="12" t="n">
        <f aca="false">IF(H527="Closed Won",1,0)</f>
        <v>1</v>
      </c>
    </row>
    <row r="528" customFormat="false" ht="15" hidden="false" customHeight="false" outlineLevel="0" collapsed="false">
      <c r="A528" s="0" t="str">
        <f aca="false">CRM_Raw!A528</f>
        <v>D-10524</v>
      </c>
      <c r="B528" s="0" t="str">
        <f aca="false">CRM_Raw!B528</f>
        <v>2025-10-19</v>
      </c>
      <c r="C528" s="0" t="str">
        <f aca="false">CRM_Raw!C528</f>
        <v>2025-11-04</v>
      </c>
      <c r="D528" s="0" t="str">
        <f aca="false">IF(CRM_Raw!D528="DACH","DACH",IF(ISNUMBER(SEARCH("uk",CRM_Raw!D528)),"UK &amp; Ireland",PROPER(CRM_Raw!D528)))</f>
        <v>Nordics</v>
      </c>
      <c r="E528" s="0" t="str">
        <f aca="false">CRM_Raw!E528</f>
        <v>Washing Machines</v>
      </c>
      <c r="F528" s="0" t="str">
        <f aca="false">CRM_Raw!F528</f>
        <v>Affiliate Partner</v>
      </c>
      <c r="G528" s="0" t="str">
        <f aca="false">IF(TRIM(CRM_Raw!G528)="","Unassigned",CRM_Raw!G528)</f>
        <v>M. Hoffmann</v>
      </c>
      <c r="H528" s="0" t="str">
        <f aca="false">CRM_Raw!H528</f>
        <v>Closed Won</v>
      </c>
      <c r="I528" s="10" t="n">
        <f aca="false">CRM_Raw!I528</f>
        <v>712.56</v>
      </c>
      <c r="J528" s="11" t="n">
        <f aca="false">CRM_Raw!J528</f>
        <v>0.05</v>
      </c>
      <c r="K528" s="10" t="n">
        <f aca="false">I528*(1-J528)</f>
        <v>676.932</v>
      </c>
      <c r="L528" s="12" t="n">
        <f aca="false">CRM_Raw!K528</f>
        <v>16</v>
      </c>
      <c r="M528" s="12" t="n">
        <f aca="false">IF(H528="Closed Won",1,0)</f>
        <v>1</v>
      </c>
    </row>
    <row r="529" customFormat="false" ht="15" hidden="false" customHeight="false" outlineLevel="0" collapsed="false">
      <c r="A529" s="0" t="str">
        <f aca="false">CRM_Raw!A529</f>
        <v>D-10525</v>
      </c>
      <c r="B529" s="0" t="str">
        <f aca="false">CRM_Raw!B529</f>
        <v>2025-06-21</v>
      </c>
      <c r="C529" s="0" t="n">
        <f aca="false">CRM_Raw!C529</f>
        <v>0</v>
      </c>
      <c r="D529" s="0" t="str">
        <f aca="false">IF(CRM_Raw!D529="DACH","DACH",IF(ISNUMBER(SEARCH("uk",CRM_Raw!D529)),"UK &amp; Ireland",PROPER(CRM_Raw!D529)))</f>
        <v>Nordics</v>
      </c>
      <c r="E529" s="0" t="str">
        <f aca="false">CRM_Raw!E529</f>
        <v>Cordless Vacuums</v>
      </c>
      <c r="F529" s="0" t="str">
        <f aca="false">CRM_Raw!F529</f>
        <v>Social Media Ads</v>
      </c>
      <c r="G529" s="0" t="str">
        <f aca="false">IF(TRIM(CRM_Raw!G529)="","Unassigned",CRM_Raw!G529)</f>
        <v>M. Hoffmann</v>
      </c>
      <c r="H529" s="0" t="str">
        <f aca="false">CRM_Raw!H529</f>
        <v>Negotiation</v>
      </c>
      <c r="I529" s="10" t="n">
        <f aca="false">CRM_Raw!I529</f>
        <v>806.19</v>
      </c>
      <c r="J529" s="11" t="n">
        <f aca="false">CRM_Raw!J529</f>
        <v>0.15</v>
      </c>
      <c r="K529" s="10" t="n">
        <f aca="false">I529*(1-J529)</f>
        <v>685.2615</v>
      </c>
      <c r="L529" s="12" t="n">
        <f aca="false">CRM_Raw!K529</f>
        <v>0</v>
      </c>
      <c r="M529" s="12" t="n">
        <f aca="false">IF(H529="Closed Won",1,0)</f>
        <v>0</v>
      </c>
    </row>
    <row r="530" customFormat="false" ht="15" hidden="false" customHeight="false" outlineLevel="0" collapsed="false">
      <c r="A530" s="0" t="str">
        <f aca="false">CRM_Raw!A530</f>
        <v>D-10526</v>
      </c>
      <c r="B530" s="0" t="str">
        <f aca="false">CRM_Raw!B530</f>
        <v>2025-03-23</v>
      </c>
      <c r="C530" s="0" t="str">
        <f aca="false">CRM_Raw!C530</f>
        <v>2025-04-03</v>
      </c>
      <c r="D530" s="0" t="str">
        <f aca="false">IF(CRM_Raw!D530="DACH","DACH",IF(ISNUMBER(SEARCH("uk",CRM_Raw!D530)),"UK &amp; Ireland",PROPER(CRM_Raw!D530)))</f>
        <v>Nordics</v>
      </c>
      <c r="E530" s="0" t="str">
        <f aca="false">CRM_Raw!E530</f>
        <v>Washing Machines</v>
      </c>
      <c r="F530" s="0" t="str">
        <f aca="false">CRM_Raw!F530</f>
        <v>Paid Search</v>
      </c>
      <c r="G530" s="0" t="str">
        <f aca="false">IF(TRIM(CRM_Raw!G530)="","Unassigned",CRM_Raw!G530)</f>
        <v>L. Dubois</v>
      </c>
      <c r="H530" s="0" t="str">
        <f aca="false">CRM_Raw!H530</f>
        <v>Closed Won</v>
      </c>
      <c r="I530" s="10" t="n">
        <f aca="false">CRM_Raw!I530</f>
        <v>630.84</v>
      </c>
      <c r="J530" s="11" t="n">
        <f aca="false">CRM_Raw!J530</f>
        <v>0.15</v>
      </c>
      <c r="K530" s="10" t="n">
        <f aca="false">I530*(1-J530)</f>
        <v>536.214</v>
      </c>
      <c r="L530" s="12" t="n">
        <f aca="false">CRM_Raw!K530</f>
        <v>11</v>
      </c>
      <c r="M530" s="12" t="n">
        <f aca="false">IF(H530="Closed Won",1,0)</f>
        <v>1</v>
      </c>
    </row>
    <row r="531" customFormat="false" ht="15" hidden="false" customHeight="false" outlineLevel="0" collapsed="false">
      <c r="A531" s="0" t="str">
        <f aca="false">CRM_Raw!A531</f>
        <v>D-10527</v>
      </c>
      <c r="B531" s="0" t="str">
        <f aca="false">CRM_Raw!B531</f>
        <v>2025-10-05</v>
      </c>
      <c r="C531" s="0" t="n">
        <f aca="false">CRM_Raw!C531</f>
        <v>0</v>
      </c>
      <c r="D531" s="0" t="str">
        <f aca="false">IF(CRM_Raw!D531="DACH","DACH",IF(ISNUMBER(SEARCH("uk",CRM_Raw!D531)),"UK &amp; Ireland",PROPER(CRM_Raw!D531)))</f>
        <v>France</v>
      </c>
      <c r="E531" s="0" t="str">
        <f aca="false">CRM_Raw!E531</f>
        <v>Small Kitchen Appliances</v>
      </c>
      <c r="F531" s="0" t="str">
        <f aca="false">CRM_Raw!F531</f>
        <v>Paid Search</v>
      </c>
      <c r="G531" s="0" t="str">
        <f aca="false">IF(TRIM(CRM_Raw!G531)="","Unassigned",CRM_Raw!G531)</f>
        <v>K. Nilsson</v>
      </c>
      <c r="H531" s="0" t="str">
        <f aca="false">CRM_Raw!H531</f>
        <v>Qualified</v>
      </c>
      <c r="I531" s="10" t="n">
        <f aca="false">CRM_Raw!I531</f>
        <v>132.82</v>
      </c>
      <c r="J531" s="11" t="n">
        <f aca="false">CRM_Raw!J531</f>
        <v>0.15</v>
      </c>
      <c r="K531" s="10" t="n">
        <f aca="false">I531*(1-J531)</f>
        <v>112.897</v>
      </c>
      <c r="L531" s="12" t="n">
        <f aca="false">CRM_Raw!K531</f>
        <v>0</v>
      </c>
      <c r="M531" s="12" t="n">
        <f aca="false">IF(H531="Closed Won",1,0)</f>
        <v>0</v>
      </c>
    </row>
    <row r="532" customFormat="false" ht="15" hidden="false" customHeight="false" outlineLevel="0" collapsed="false">
      <c r="A532" s="0" t="str">
        <f aca="false">CRM_Raw!A532</f>
        <v>D-10528</v>
      </c>
      <c r="B532" s="0" t="str">
        <f aca="false">CRM_Raw!B532</f>
        <v>2025-06-21</v>
      </c>
      <c r="C532" s="0" t="str">
        <f aca="false">CRM_Raw!C532</f>
        <v>2025-07-26</v>
      </c>
      <c r="D532" s="0" t="str">
        <f aca="false">IF(CRM_Raw!D532="DACH","DACH",IF(ISNUMBER(SEARCH("uk",CRM_Raw!D532)),"UK &amp; Ireland",PROPER(CRM_Raw!D532)))</f>
        <v>Nordics</v>
      </c>
      <c r="E532" s="0" t="str">
        <f aca="false">CRM_Raw!E532</f>
        <v>Washing Machines</v>
      </c>
      <c r="F532" s="0" t="str">
        <f aca="false">CRM_Raw!F532</f>
        <v>Trade Show</v>
      </c>
      <c r="G532" s="0" t="str">
        <f aca="false">IF(TRIM(CRM_Raw!G532)="","Unassigned",CRM_Raw!G532)</f>
        <v>K. Nilsson</v>
      </c>
      <c r="H532" s="0" t="str">
        <f aca="false">CRM_Raw!H532</f>
        <v>Closed Won</v>
      </c>
      <c r="I532" s="10" t="n">
        <f aca="false">CRM_Raw!I532</f>
        <v>700.58</v>
      </c>
      <c r="J532" s="11" t="n">
        <f aca="false">CRM_Raw!J532</f>
        <v>0</v>
      </c>
      <c r="K532" s="10" t="n">
        <f aca="false">I532*(1-J532)</f>
        <v>700.58</v>
      </c>
      <c r="L532" s="12" t="n">
        <f aca="false">CRM_Raw!K532</f>
        <v>35</v>
      </c>
      <c r="M532" s="12" t="n">
        <f aca="false">IF(H532="Closed Won",1,0)</f>
        <v>1</v>
      </c>
    </row>
    <row r="533" customFormat="false" ht="15" hidden="false" customHeight="false" outlineLevel="0" collapsed="false">
      <c r="A533" s="0" t="str">
        <f aca="false">CRM_Raw!A533</f>
        <v>D-10529</v>
      </c>
      <c r="B533" s="0" t="str">
        <f aca="false">CRM_Raw!B533</f>
        <v>2026-04-30</v>
      </c>
      <c r="C533" s="0" t="str">
        <f aca="false">CRM_Raw!C533</f>
        <v>2026-05-23</v>
      </c>
      <c r="D533" s="0" t="str">
        <f aca="false">IF(CRM_Raw!D533="DACH","DACH",IF(ISNUMBER(SEARCH("uk",CRM_Raw!D533)),"UK &amp; Ireland",PROPER(CRM_Raw!D533)))</f>
        <v>UK &amp; Ireland</v>
      </c>
      <c r="E533" s="0" t="str">
        <f aca="false">CRM_Raw!E533</f>
        <v>Dishwashers</v>
      </c>
      <c r="F533" s="0" t="str">
        <f aca="false">CRM_Raw!F533</f>
        <v>Web-shop Organic</v>
      </c>
      <c r="G533" s="0" t="str">
        <f aca="false">IF(TRIM(CRM_Raw!G533)="","Unassigned",CRM_Raw!G533)</f>
        <v>L. Dubois</v>
      </c>
      <c r="H533" s="0" t="str">
        <f aca="false">CRM_Raw!H533</f>
        <v>Closed Lost</v>
      </c>
      <c r="I533" s="10" t="n">
        <f aca="false">CRM_Raw!I533</f>
        <v>1282.38</v>
      </c>
      <c r="J533" s="11" t="n">
        <f aca="false">CRM_Raw!J533</f>
        <v>0.1</v>
      </c>
      <c r="K533" s="10" t="n">
        <f aca="false">I533*(1-J533)</f>
        <v>1154.142</v>
      </c>
      <c r="L533" s="12" t="n">
        <f aca="false">CRM_Raw!K533</f>
        <v>23</v>
      </c>
      <c r="M533" s="12" t="n">
        <f aca="false">IF(H533="Closed Won",1,0)</f>
        <v>0</v>
      </c>
    </row>
    <row r="534" customFormat="false" ht="15" hidden="false" customHeight="false" outlineLevel="0" collapsed="false">
      <c r="A534" s="0" t="str">
        <f aca="false">CRM_Raw!A534</f>
        <v>D-10530</v>
      </c>
      <c r="B534" s="0" t="str">
        <f aca="false">CRM_Raw!B534</f>
        <v>2025-03-28</v>
      </c>
      <c r="C534" s="0" t="n">
        <f aca="false">CRM_Raw!C534</f>
        <v>0</v>
      </c>
      <c r="D534" s="0" t="str">
        <f aca="false">IF(CRM_Raw!D534="DACH","DACH",IF(ISNUMBER(SEARCH("uk",CRM_Raw!D534)),"UK &amp; Ireland",PROPER(CRM_Raw!D534)))</f>
        <v>North America</v>
      </c>
      <c r="E534" s="0" t="str">
        <f aca="false">CRM_Raw!E534</f>
        <v>Smart Ovens</v>
      </c>
      <c r="F534" s="0" t="str">
        <f aca="false">CRM_Raw!F534</f>
        <v>Web-shop Organic</v>
      </c>
      <c r="G534" s="0" t="str">
        <f aca="false">IF(TRIM(CRM_Raw!G534)="","Unassigned",CRM_Raw!G534)</f>
        <v>Unassigned</v>
      </c>
      <c r="H534" s="0" t="str">
        <f aca="false">CRM_Raw!H534</f>
        <v>Negotiation</v>
      </c>
      <c r="I534" s="10" t="n">
        <f aca="false">CRM_Raw!I534</f>
        <v>947.24</v>
      </c>
      <c r="J534" s="11" t="n">
        <f aca="false">CRM_Raw!J534</f>
        <v>0</v>
      </c>
      <c r="K534" s="10" t="n">
        <f aca="false">I534*(1-J534)</f>
        <v>947.24</v>
      </c>
      <c r="L534" s="12" t="n">
        <f aca="false">CRM_Raw!K534</f>
        <v>0</v>
      </c>
      <c r="M534" s="12" t="n">
        <f aca="false">IF(H534="Closed Won",1,0)</f>
        <v>0</v>
      </c>
    </row>
    <row r="535" customFormat="false" ht="15" hidden="false" customHeight="false" outlineLevel="0" collapsed="false">
      <c r="A535" s="0" t="str">
        <f aca="false">CRM_Raw!A535</f>
        <v>D-10531</v>
      </c>
      <c r="B535" s="0" t="str">
        <f aca="false">CRM_Raw!B535</f>
        <v>2025-05-15</v>
      </c>
      <c r="C535" s="0" t="str">
        <f aca="false">CRM_Raw!C535</f>
        <v>2025-06-06</v>
      </c>
      <c r="D535" s="0" t="str">
        <f aca="false">IF(CRM_Raw!D535="DACH","DACH",IF(ISNUMBER(SEARCH("uk",CRM_Raw!D535)),"UK &amp; Ireland",PROPER(CRM_Raw!D535)))</f>
        <v>UK &amp; Ireland</v>
      </c>
      <c r="E535" s="0" t="str">
        <f aca="false">CRM_Raw!E535</f>
        <v>Small Kitchen Appliances</v>
      </c>
      <c r="F535" s="0" t="str">
        <f aca="false">CRM_Raw!F535</f>
        <v>Paid Search</v>
      </c>
      <c r="G535" s="0" t="str">
        <f aca="false">IF(TRIM(CRM_Raw!G535)="","Unassigned",CRM_Raw!G535)</f>
        <v>M. Hoffmann</v>
      </c>
      <c r="H535" s="0" t="str">
        <f aca="false">CRM_Raw!H535</f>
        <v>Closed Lost</v>
      </c>
      <c r="I535" s="10" t="n">
        <f aca="false">CRM_Raw!I535</f>
        <v>120.24</v>
      </c>
      <c r="J535" s="11" t="n">
        <f aca="false">CRM_Raw!J535</f>
        <v>0.2</v>
      </c>
      <c r="K535" s="10" t="n">
        <f aca="false">I535*(1-J535)</f>
        <v>96.192</v>
      </c>
      <c r="L535" s="12" t="n">
        <f aca="false">CRM_Raw!K535</f>
        <v>22</v>
      </c>
      <c r="M535" s="12" t="n">
        <f aca="false">IF(H535="Closed Won",1,0)</f>
        <v>0</v>
      </c>
    </row>
    <row r="536" customFormat="false" ht="15" hidden="false" customHeight="false" outlineLevel="0" collapsed="false">
      <c r="A536" s="0" t="str">
        <f aca="false">CRM_Raw!A536</f>
        <v>D-10532</v>
      </c>
      <c r="B536" s="0" t="str">
        <f aca="false">CRM_Raw!B536</f>
        <v>2026-04-01</v>
      </c>
      <c r="C536" s="0" t="str">
        <f aca="false">CRM_Raw!C536</f>
        <v>2026-04-24</v>
      </c>
      <c r="D536" s="0" t="str">
        <f aca="false">IF(CRM_Raw!D536="DACH","DACH",IF(ISNUMBER(SEARCH("uk",CRM_Raw!D536)),"UK &amp; Ireland",PROPER(CRM_Raw!D536)))</f>
        <v>Benelux</v>
      </c>
      <c r="E536" s="0" t="str">
        <f aca="false">CRM_Raw!E536</f>
        <v>Dishwashers</v>
      </c>
      <c r="F536" s="0" t="str">
        <f aca="false">CRM_Raw!F536</f>
        <v>Trade Show</v>
      </c>
      <c r="G536" s="0" t="str">
        <f aca="false">IF(TRIM(CRM_Raw!G536)="","Unassigned",CRM_Raw!G536)</f>
        <v>J. Murphy</v>
      </c>
      <c r="H536" s="0" t="str">
        <f aca="false">CRM_Raw!H536</f>
        <v>Closed Won</v>
      </c>
      <c r="I536" s="10" t="n">
        <f aca="false">CRM_Raw!I536</f>
        <v>2400.14</v>
      </c>
      <c r="J536" s="11" t="n">
        <f aca="false">CRM_Raw!J536</f>
        <v>0</v>
      </c>
      <c r="K536" s="10" t="n">
        <f aca="false">I536*(1-J536)</f>
        <v>2400.14</v>
      </c>
      <c r="L536" s="12" t="n">
        <f aca="false">CRM_Raw!K536</f>
        <v>23</v>
      </c>
      <c r="M536" s="12" t="n">
        <f aca="false">IF(H536="Closed Won",1,0)</f>
        <v>1</v>
      </c>
    </row>
    <row r="537" customFormat="false" ht="15" hidden="false" customHeight="false" outlineLevel="0" collapsed="false">
      <c r="A537" s="0" t="str">
        <f aca="false">CRM_Raw!A537</f>
        <v>D-10533</v>
      </c>
      <c r="B537" s="0" t="str">
        <f aca="false">CRM_Raw!B537</f>
        <v>2025-11-14</v>
      </c>
      <c r="C537" s="0" t="n">
        <f aca="false">CRM_Raw!C537</f>
        <v>0</v>
      </c>
      <c r="D537" s="0" t="str">
        <f aca="false">IF(CRM_Raw!D537="DACH","DACH",IF(ISNUMBER(SEARCH("uk",CRM_Raw!D537)),"UK &amp; Ireland",PROPER(CRM_Raw!D537)))</f>
        <v>Nordics</v>
      </c>
      <c r="E537" s="0" t="str">
        <f aca="false">CRM_Raw!E537</f>
        <v>Washing Machines</v>
      </c>
      <c r="F537" s="0" t="str">
        <f aca="false">CRM_Raw!F537</f>
        <v>Social Media Ads</v>
      </c>
      <c r="G537" s="0" t="str">
        <f aca="false">IF(TRIM(CRM_Raw!G537)="","Unassigned",CRM_Raw!G537)</f>
        <v>K. Nilsson</v>
      </c>
      <c r="H537" s="0" t="str">
        <f aca="false">CRM_Raw!H537</f>
        <v>Qualified</v>
      </c>
      <c r="I537" s="10" t="n">
        <f aca="false">CRM_Raw!I537</f>
        <v>671.59</v>
      </c>
      <c r="J537" s="11" t="n">
        <f aca="false">CRM_Raw!J537</f>
        <v>0.2</v>
      </c>
      <c r="K537" s="10" t="n">
        <f aca="false">I537*(1-J537)</f>
        <v>537.272</v>
      </c>
      <c r="L537" s="12" t="n">
        <f aca="false">CRM_Raw!K537</f>
        <v>0</v>
      </c>
      <c r="M537" s="12" t="n">
        <f aca="false">IF(H537="Closed Won",1,0)</f>
        <v>0</v>
      </c>
    </row>
    <row r="538" customFormat="false" ht="15" hidden="false" customHeight="false" outlineLevel="0" collapsed="false">
      <c r="A538" s="0" t="str">
        <f aca="false">CRM_Raw!A538</f>
        <v>D-10534</v>
      </c>
      <c r="B538" s="0" t="str">
        <f aca="false">CRM_Raw!B538</f>
        <v>2025-09-24</v>
      </c>
      <c r="C538" s="0" t="str">
        <f aca="false">CRM_Raw!C538</f>
        <v>2025-10-25</v>
      </c>
      <c r="D538" s="0" t="str">
        <f aca="false">IF(CRM_Raw!D538="DACH","DACH",IF(ISNUMBER(SEARCH("uk",CRM_Raw!D538)),"UK &amp; Ireland",PROPER(CRM_Raw!D538)))</f>
        <v>DACH</v>
      </c>
      <c r="E538" s="0" t="str">
        <f aca="false">CRM_Raw!E538</f>
        <v>Dishwashers</v>
      </c>
      <c r="F538" s="0" t="str">
        <f aca="false">CRM_Raw!F538</f>
        <v>Paid Search</v>
      </c>
      <c r="G538" s="0" t="str">
        <f aca="false">IF(TRIM(CRM_Raw!G538)="","Unassigned",CRM_Raw!G538)</f>
        <v>K. Nilsson</v>
      </c>
      <c r="H538" s="0" t="str">
        <f aca="false">CRM_Raw!H538</f>
        <v>Closed Won</v>
      </c>
      <c r="I538" s="10" t="n">
        <f aca="false">CRM_Raw!I538</f>
        <v>767.28</v>
      </c>
      <c r="J538" s="11" t="n">
        <f aca="false">CRM_Raw!J538</f>
        <v>0</v>
      </c>
      <c r="K538" s="10" t="n">
        <f aca="false">I538*(1-J538)</f>
        <v>767.28</v>
      </c>
      <c r="L538" s="12" t="n">
        <f aca="false">CRM_Raw!K538</f>
        <v>31</v>
      </c>
      <c r="M538" s="12" t="n">
        <f aca="false">IF(H538="Closed Won",1,0)</f>
        <v>1</v>
      </c>
    </row>
    <row r="539" customFormat="false" ht="15" hidden="false" customHeight="false" outlineLevel="0" collapsed="false">
      <c r="A539" s="0" t="str">
        <f aca="false">CRM_Raw!A539</f>
        <v>D-10535</v>
      </c>
      <c r="B539" s="0" t="str">
        <f aca="false">CRM_Raw!B539</f>
        <v>2026-05-04</v>
      </c>
      <c r="C539" s="0" t="str">
        <f aca="false">CRM_Raw!C539</f>
        <v>2026-05-25</v>
      </c>
      <c r="D539" s="0" t="str">
        <f aca="false">IF(CRM_Raw!D539="DACH","DACH",IF(ISNUMBER(SEARCH("uk",CRM_Raw!D539)),"UK &amp; Ireland",PROPER(CRM_Raw!D539)))</f>
        <v>France</v>
      </c>
      <c r="E539" s="0" t="str">
        <f aca="false">CRM_Raw!E539</f>
        <v>Dishwashers</v>
      </c>
      <c r="F539" s="0" t="str">
        <f aca="false">CRM_Raw!F539</f>
        <v>Social Media Ads</v>
      </c>
      <c r="G539" s="0" t="str">
        <f aca="false">IF(TRIM(CRM_Raw!G539)="","Unassigned",CRM_Raw!G539)</f>
        <v>T. Wagner</v>
      </c>
      <c r="H539" s="0" t="str">
        <f aca="false">CRM_Raw!H539</f>
        <v>Closed Won</v>
      </c>
      <c r="I539" s="10" t="n">
        <f aca="false">CRM_Raw!I539</f>
        <v>768.59</v>
      </c>
      <c r="J539" s="11" t="n">
        <f aca="false">CRM_Raw!J539</f>
        <v>0.1</v>
      </c>
      <c r="K539" s="10" t="n">
        <f aca="false">I539*(1-J539)</f>
        <v>691.731</v>
      </c>
      <c r="L539" s="12" t="n">
        <f aca="false">CRM_Raw!K539</f>
        <v>21</v>
      </c>
      <c r="M539" s="12" t="n">
        <f aca="false">IF(H539="Closed Won",1,0)</f>
        <v>1</v>
      </c>
    </row>
    <row r="540" customFormat="false" ht="15" hidden="false" customHeight="false" outlineLevel="0" collapsed="false">
      <c r="A540" s="0" t="str">
        <f aca="false">CRM_Raw!A540</f>
        <v>D-10536</v>
      </c>
      <c r="B540" s="0" t="str">
        <f aca="false">CRM_Raw!B540</f>
        <v>2026-02-26</v>
      </c>
      <c r="C540" s="0" t="n">
        <f aca="false">CRM_Raw!C540</f>
        <v>0</v>
      </c>
      <c r="D540" s="0" t="str">
        <f aca="false">IF(CRM_Raw!D540="DACH","DACH",IF(ISNUMBER(SEARCH("uk",CRM_Raw!D540)),"UK &amp; Ireland",PROPER(CRM_Raw!D540)))</f>
        <v>UK &amp; Ireland</v>
      </c>
      <c r="E540" s="0" t="str">
        <f aca="false">CRM_Raw!E540</f>
        <v>Smart Ovens</v>
      </c>
      <c r="F540" s="0" t="str">
        <f aca="false">CRM_Raw!F540</f>
        <v>Social Media Ads</v>
      </c>
      <c r="G540" s="0" t="str">
        <f aca="false">IF(TRIM(CRM_Raw!G540)="","Unassigned",CRM_Raw!G540)</f>
        <v>S. Andersson</v>
      </c>
      <c r="H540" s="0" t="str">
        <f aca="false">CRM_Raw!H540</f>
        <v>Qualified</v>
      </c>
      <c r="I540" s="10" t="n">
        <f aca="false">CRM_Raw!I540</f>
        <v>854.53</v>
      </c>
      <c r="J540" s="11" t="n">
        <f aca="false">CRM_Raw!J540</f>
        <v>0</v>
      </c>
      <c r="K540" s="10" t="n">
        <f aca="false">I540*(1-J540)</f>
        <v>854.53</v>
      </c>
      <c r="L540" s="12" t="n">
        <f aca="false">CRM_Raw!K540</f>
        <v>0</v>
      </c>
      <c r="M540" s="12" t="n">
        <f aca="false">IF(H540="Closed Won",1,0)</f>
        <v>0</v>
      </c>
    </row>
    <row r="541" customFormat="false" ht="15" hidden="false" customHeight="false" outlineLevel="0" collapsed="false">
      <c r="A541" s="0" t="str">
        <f aca="false">CRM_Raw!A541</f>
        <v>D-10537</v>
      </c>
      <c r="B541" s="0" t="str">
        <f aca="false">CRM_Raw!B541</f>
        <v>2025-08-14</v>
      </c>
      <c r="C541" s="0" t="str">
        <f aca="false">CRM_Raw!C541</f>
        <v>2025-08-29</v>
      </c>
      <c r="D541" s="0" t="str">
        <f aca="false">IF(CRM_Raw!D541="DACH","DACH",IF(ISNUMBER(SEARCH("uk",CRM_Raw!D541)),"UK &amp; Ireland",PROPER(CRM_Raw!D541)))</f>
        <v>Southern Europe</v>
      </c>
      <c r="E541" s="0" t="str">
        <f aca="false">CRM_Raw!E541</f>
        <v>Small Kitchen Appliances</v>
      </c>
      <c r="F541" s="0" t="str">
        <f aca="false">CRM_Raw!F541</f>
        <v>Affiliate Partner</v>
      </c>
      <c r="G541" s="0" t="str">
        <f aca="false">IF(TRIM(CRM_Raw!G541)="","Unassigned",CRM_Raw!G541)</f>
        <v>K. Nilsson</v>
      </c>
      <c r="H541" s="0" t="str">
        <f aca="false">CRM_Raw!H541</f>
        <v>Closed Won</v>
      </c>
      <c r="I541" s="10" t="n">
        <f aca="false">CRM_Raw!I541</f>
        <v>397</v>
      </c>
      <c r="J541" s="11" t="n">
        <f aca="false">CRM_Raw!J541</f>
        <v>0.2</v>
      </c>
      <c r="K541" s="10" t="n">
        <f aca="false">I541*(1-J541)</f>
        <v>317.6</v>
      </c>
      <c r="L541" s="12" t="n">
        <f aca="false">CRM_Raw!K541</f>
        <v>15</v>
      </c>
      <c r="M541" s="12" t="n">
        <f aca="false">IF(H541="Closed Won",1,0)</f>
        <v>1</v>
      </c>
    </row>
    <row r="542" customFormat="false" ht="15" hidden="false" customHeight="false" outlineLevel="0" collapsed="false">
      <c r="A542" s="0" t="str">
        <f aca="false">CRM_Raw!A542</f>
        <v>D-10538</v>
      </c>
      <c r="B542" s="0" t="str">
        <f aca="false">CRM_Raw!B542</f>
        <v>2026-02-27</v>
      </c>
      <c r="C542" s="0" t="str">
        <f aca="false">CRM_Raw!C542</f>
        <v>2026-03-23</v>
      </c>
      <c r="D542" s="0" t="str">
        <f aca="false">IF(CRM_Raw!D542="DACH","DACH",IF(ISNUMBER(SEARCH("uk",CRM_Raw!D542)),"UK &amp; Ireland",PROPER(CRM_Raw!D542)))</f>
        <v>Southern Europe</v>
      </c>
      <c r="E542" s="0" t="str">
        <f aca="false">CRM_Raw!E542</f>
        <v>Small Kitchen Appliances</v>
      </c>
      <c r="F542" s="0" t="str">
        <f aca="false">CRM_Raw!F542</f>
        <v>Paid Search</v>
      </c>
      <c r="G542" s="0" t="str">
        <f aca="false">IF(TRIM(CRM_Raw!G542)="","Unassigned",CRM_Raw!G542)</f>
        <v>J. Murphy</v>
      </c>
      <c r="H542" s="0" t="str">
        <f aca="false">CRM_Raw!H542</f>
        <v>Closed Won</v>
      </c>
      <c r="I542" s="10" t="n">
        <f aca="false">CRM_Raw!I542</f>
        <v>111.68</v>
      </c>
      <c r="J542" s="11" t="n">
        <f aca="false">CRM_Raw!J542</f>
        <v>0</v>
      </c>
      <c r="K542" s="10" t="n">
        <f aca="false">I542*(1-J542)</f>
        <v>111.68</v>
      </c>
      <c r="L542" s="12" t="n">
        <f aca="false">CRM_Raw!K542</f>
        <v>24</v>
      </c>
      <c r="M542" s="12" t="n">
        <f aca="false">IF(H542="Closed Won",1,0)</f>
        <v>1</v>
      </c>
    </row>
    <row r="543" customFormat="false" ht="15" hidden="false" customHeight="false" outlineLevel="0" collapsed="false">
      <c r="A543" s="0" t="str">
        <f aca="false">CRM_Raw!A543</f>
        <v>D-10539</v>
      </c>
      <c r="B543" s="0" t="str">
        <f aca="false">CRM_Raw!B543</f>
        <v>2025-10-06</v>
      </c>
      <c r="C543" s="0" t="n">
        <f aca="false">CRM_Raw!C543</f>
        <v>0</v>
      </c>
      <c r="D543" s="0" t="str">
        <f aca="false">IF(CRM_Raw!D543="DACH","DACH",IF(ISNUMBER(SEARCH("uk",CRM_Raw!D543)),"UK &amp; Ireland",PROPER(CRM_Raw!D543)))</f>
        <v>DACH</v>
      </c>
      <c r="E543" s="0" t="str">
        <f aca="false">CRM_Raw!E543</f>
        <v>Small Kitchen Appliances</v>
      </c>
      <c r="F543" s="0" t="str">
        <f aca="false">CRM_Raw!F543</f>
        <v>Social Media Ads</v>
      </c>
      <c r="G543" s="0" t="str">
        <f aca="false">IF(TRIM(CRM_Raw!G543)="","Unassigned",CRM_Raw!G543)</f>
        <v>T. Wagner</v>
      </c>
      <c r="H543" s="0" t="str">
        <f aca="false">CRM_Raw!H543</f>
        <v>Negotiation</v>
      </c>
      <c r="I543" s="10" t="n">
        <f aca="false">CRM_Raw!I543</f>
        <v>124.25</v>
      </c>
      <c r="J543" s="11" t="n">
        <f aca="false">CRM_Raw!J543</f>
        <v>0</v>
      </c>
      <c r="K543" s="10" t="n">
        <f aca="false">I543*(1-J543)</f>
        <v>124.25</v>
      </c>
      <c r="L543" s="12" t="n">
        <f aca="false">CRM_Raw!K543</f>
        <v>0</v>
      </c>
      <c r="M543" s="12" t="n">
        <f aca="false">IF(H543="Closed Won",1,0)</f>
        <v>0</v>
      </c>
    </row>
    <row r="544" customFormat="false" ht="15" hidden="false" customHeight="false" outlineLevel="0" collapsed="false">
      <c r="A544" s="0" t="str">
        <f aca="false">CRM_Raw!A544</f>
        <v>D-10540</v>
      </c>
      <c r="B544" s="0" t="str">
        <f aca="false">CRM_Raw!B544</f>
        <v>2025-07-10</v>
      </c>
      <c r="C544" s="0" t="n">
        <f aca="false">CRM_Raw!C544</f>
        <v>0</v>
      </c>
      <c r="D544" s="0" t="str">
        <f aca="false">IF(CRM_Raw!D544="DACH","DACH",IF(ISNUMBER(SEARCH("uk",CRM_Raw!D544)),"UK &amp; Ireland",PROPER(CRM_Raw!D544)))</f>
        <v>UK &amp; Ireland</v>
      </c>
      <c r="E544" s="0" t="str">
        <f aca="false">CRM_Raw!E544</f>
        <v>Smart Ovens</v>
      </c>
      <c r="F544" s="0" t="str">
        <f aca="false">CRM_Raw!F544</f>
        <v>Trade Show</v>
      </c>
      <c r="G544" s="0" t="str">
        <f aca="false">IF(TRIM(CRM_Raw!G544)="","Unassigned",CRM_Raw!G544)</f>
        <v>A. Becker</v>
      </c>
      <c r="H544" s="0" t="str">
        <f aca="false">CRM_Raw!H544</f>
        <v>Qualified</v>
      </c>
      <c r="I544" s="10" t="n">
        <f aca="false">CRM_Raw!I544</f>
        <v>822.48</v>
      </c>
      <c r="J544" s="11" t="n">
        <f aca="false">CRM_Raw!J544</f>
        <v>0.15</v>
      </c>
      <c r="K544" s="10" t="n">
        <f aca="false">I544*(1-J544)</f>
        <v>699.108</v>
      </c>
      <c r="L544" s="12" t="n">
        <f aca="false">CRM_Raw!K544</f>
        <v>0</v>
      </c>
      <c r="M544" s="12" t="n">
        <f aca="false">IF(H544="Closed Won",1,0)</f>
        <v>0</v>
      </c>
    </row>
    <row r="545" customFormat="false" ht="15" hidden="false" customHeight="false" outlineLevel="0" collapsed="false">
      <c r="A545" s="0" t="str">
        <f aca="false">CRM_Raw!A545</f>
        <v>D-10541</v>
      </c>
      <c r="B545" s="0" t="str">
        <f aca="false">CRM_Raw!B545</f>
        <v>2025-06-04</v>
      </c>
      <c r="C545" s="0" t="str">
        <f aca="false">CRM_Raw!C545</f>
        <v>2025-06-26</v>
      </c>
      <c r="D545" s="0" t="str">
        <f aca="false">IF(CRM_Raw!D545="DACH","DACH",IF(ISNUMBER(SEARCH("uk",CRM_Raw!D545)),"UK &amp; Ireland",PROPER(CRM_Raw!D545)))</f>
        <v>Benelux</v>
      </c>
      <c r="E545" s="0" t="str">
        <f aca="false">CRM_Raw!E545</f>
        <v>Small Kitchen Appliances</v>
      </c>
      <c r="F545" s="0" t="str">
        <f aca="false">CRM_Raw!F545</f>
        <v>Web-shop Organic</v>
      </c>
      <c r="G545" s="0" t="str">
        <f aca="false">IF(TRIM(CRM_Raw!G545)="","Unassigned",CRM_Raw!G545)</f>
        <v>L. Dubois</v>
      </c>
      <c r="H545" s="0" t="str">
        <f aca="false">CRM_Raw!H545</f>
        <v>Closed Won</v>
      </c>
      <c r="I545" s="10" t="n">
        <f aca="false">CRM_Raw!I545</f>
        <v>265.92</v>
      </c>
      <c r="J545" s="11" t="n">
        <f aca="false">CRM_Raw!J545</f>
        <v>0</v>
      </c>
      <c r="K545" s="10" t="n">
        <f aca="false">I545*(1-J545)</f>
        <v>265.92</v>
      </c>
      <c r="L545" s="12" t="n">
        <f aca="false">CRM_Raw!K545</f>
        <v>22</v>
      </c>
      <c r="M545" s="12" t="n">
        <f aca="false">IF(H545="Closed Won",1,0)</f>
        <v>1</v>
      </c>
    </row>
    <row r="546" customFormat="false" ht="15" hidden="false" customHeight="false" outlineLevel="0" collapsed="false">
      <c r="A546" s="0" t="str">
        <f aca="false">CRM_Raw!A546</f>
        <v>D-10542</v>
      </c>
      <c r="B546" s="0" t="str">
        <f aca="false">CRM_Raw!B546</f>
        <v>2025-03-24</v>
      </c>
      <c r="C546" s="0" t="n">
        <f aca="false">CRM_Raw!C546</f>
        <v>0</v>
      </c>
      <c r="D546" s="0" t="str">
        <f aca="false">IF(CRM_Raw!D546="DACH","DACH",IF(ISNUMBER(SEARCH("uk",CRM_Raw!D546)),"UK &amp; Ireland",PROPER(CRM_Raw!D546)))</f>
        <v>Benelux</v>
      </c>
      <c r="E546" s="0" t="str">
        <f aca="false">CRM_Raw!E546</f>
        <v>Small Kitchen Appliances</v>
      </c>
      <c r="F546" s="0" t="str">
        <f aca="false">CRM_Raw!F546</f>
        <v>Email Campaign</v>
      </c>
      <c r="G546" s="0" t="str">
        <f aca="false">IF(TRIM(CRM_Raw!G546)="","Unassigned",CRM_Raw!G546)</f>
        <v>P. Rossi</v>
      </c>
      <c r="H546" s="0" t="str">
        <f aca="false">CRM_Raw!H546</f>
        <v>Proposal Sent</v>
      </c>
      <c r="I546" s="10" t="n">
        <f aca="false">CRM_Raw!I546</f>
        <v>137.89</v>
      </c>
      <c r="J546" s="11" t="n">
        <f aca="false">CRM_Raw!J546</f>
        <v>0</v>
      </c>
      <c r="K546" s="10" t="n">
        <f aca="false">I546*(1-J546)</f>
        <v>137.89</v>
      </c>
      <c r="L546" s="12" t="n">
        <f aca="false">CRM_Raw!K546</f>
        <v>0</v>
      </c>
      <c r="M546" s="12" t="n">
        <f aca="false">IF(H546="Closed Won",1,0)</f>
        <v>0</v>
      </c>
    </row>
    <row r="547" customFormat="false" ht="15" hidden="false" customHeight="false" outlineLevel="0" collapsed="false">
      <c r="A547" s="0" t="str">
        <f aca="false">CRM_Raw!A547</f>
        <v>D-10543</v>
      </c>
      <c r="B547" s="0" t="str">
        <f aca="false">CRM_Raw!B547</f>
        <v>2025-07-05</v>
      </c>
      <c r="C547" s="0" t="str">
        <f aca="false">CRM_Raw!C547</f>
        <v>2025-08-04</v>
      </c>
      <c r="D547" s="0" t="str">
        <f aca="false">IF(CRM_Raw!D547="DACH","DACH",IF(ISNUMBER(SEARCH("uk",CRM_Raw!D547)),"UK &amp; Ireland",PROPER(CRM_Raw!D547)))</f>
        <v>North America</v>
      </c>
      <c r="E547" s="0" t="str">
        <f aca="false">CRM_Raw!E547</f>
        <v>Dishwashers</v>
      </c>
      <c r="F547" s="0" t="str">
        <f aca="false">CRM_Raw!F547</f>
        <v>Web-shop Organic</v>
      </c>
      <c r="G547" s="0" t="str">
        <f aca="false">IF(TRIM(CRM_Raw!G547)="","Unassigned",CRM_Raw!G547)</f>
        <v>T. Wagner</v>
      </c>
      <c r="H547" s="0" t="str">
        <f aca="false">CRM_Raw!H547</f>
        <v>Closed Won</v>
      </c>
      <c r="I547" s="10" t="n">
        <f aca="false">CRM_Raw!I547</f>
        <v>1563.24</v>
      </c>
      <c r="J547" s="11" t="n">
        <f aca="false">CRM_Raw!J547</f>
        <v>0.2</v>
      </c>
      <c r="K547" s="10" t="n">
        <f aca="false">I547*(1-J547)</f>
        <v>1250.592</v>
      </c>
      <c r="L547" s="12" t="n">
        <f aca="false">CRM_Raw!K547</f>
        <v>30</v>
      </c>
      <c r="M547" s="12" t="n">
        <f aca="false">IF(H547="Closed Won",1,0)</f>
        <v>1</v>
      </c>
    </row>
    <row r="548" customFormat="false" ht="15" hidden="false" customHeight="false" outlineLevel="0" collapsed="false">
      <c r="A548" s="0" t="str">
        <f aca="false">CRM_Raw!A548</f>
        <v>D-10544</v>
      </c>
      <c r="B548" s="0" t="str">
        <f aca="false">CRM_Raw!B548</f>
        <v>2026-01-30</v>
      </c>
      <c r="C548" s="0" t="n">
        <f aca="false">CRM_Raw!C548</f>
        <v>0</v>
      </c>
      <c r="D548" s="0" t="str">
        <f aca="false">IF(CRM_Raw!D548="DACH","DACH",IF(ISNUMBER(SEARCH("uk",CRM_Raw!D548)),"UK &amp; Ireland",PROPER(CRM_Raw!D548)))</f>
        <v>DACH</v>
      </c>
      <c r="E548" s="0" t="str">
        <f aca="false">CRM_Raw!E548</f>
        <v>Smart Ovens</v>
      </c>
      <c r="F548" s="0" t="str">
        <f aca="false">CRM_Raw!F548</f>
        <v>Trade Show</v>
      </c>
      <c r="G548" s="0" t="str">
        <f aca="false">IF(TRIM(CRM_Raw!G548)="","Unassigned",CRM_Raw!G548)</f>
        <v>S. Andersson</v>
      </c>
      <c r="H548" s="0" t="str">
        <f aca="false">CRM_Raw!H548</f>
        <v>Proposal Sent</v>
      </c>
      <c r="I548" s="10" t="n">
        <f aca="false">CRM_Raw!I548</f>
        <v>855.74</v>
      </c>
      <c r="J548" s="11" t="n">
        <f aca="false">CRM_Raw!J548</f>
        <v>0</v>
      </c>
      <c r="K548" s="10" t="n">
        <f aca="false">I548*(1-J548)</f>
        <v>855.74</v>
      </c>
      <c r="L548" s="12" t="n">
        <f aca="false">CRM_Raw!K548</f>
        <v>0</v>
      </c>
      <c r="M548" s="12" t="n">
        <f aca="false">IF(H548="Closed Won",1,0)</f>
        <v>0</v>
      </c>
    </row>
    <row r="549" customFormat="false" ht="15" hidden="false" customHeight="false" outlineLevel="0" collapsed="false">
      <c r="A549" s="0" t="str">
        <f aca="false">CRM_Raw!A549</f>
        <v>D-10545</v>
      </c>
      <c r="B549" s="0" t="str">
        <f aca="false">CRM_Raw!B549</f>
        <v>2026-04-30</v>
      </c>
      <c r="C549" s="0" t="str">
        <f aca="false">CRM_Raw!C549</f>
        <v>2026-06-01</v>
      </c>
      <c r="D549" s="0" t="str">
        <f aca="false">IF(CRM_Raw!D549="DACH","DACH",IF(ISNUMBER(SEARCH("uk",CRM_Raw!D549)),"UK &amp; Ireland",PROPER(CRM_Raw!D549)))</f>
        <v>Benelux</v>
      </c>
      <c r="E549" s="0" t="str">
        <f aca="false">CRM_Raw!E549</f>
        <v>Small Kitchen Appliances</v>
      </c>
      <c r="F549" s="0" t="str">
        <f aca="false">CRM_Raw!F549</f>
        <v>Email Campaign</v>
      </c>
      <c r="G549" s="0" t="str">
        <f aca="false">IF(TRIM(CRM_Raw!G549)="","Unassigned",CRM_Raw!G549)</f>
        <v>S. Andersson</v>
      </c>
      <c r="H549" s="0" t="str">
        <f aca="false">CRM_Raw!H549</f>
        <v>Closed Lost</v>
      </c>
      <c r="I549" s="10" t="n">
        <f aca="false">CRM_Raw!I549</f>
        <v>114.36</v>
      </c>
      <c r="J549" s="11" t="n">
        <f aca="false">CRM_Raw!J549</f>
        <v>0.15</v>
      </c>
      <c r="K549" s="10" t="n">
        <f aca="false">I549*(1-J549)</f>
        <v>97.206</v>
      </c>
      <c r="L549" s="12" t="n">
        <f aca="false">CRM_Raw!K549</f>
        <v>41</v>
      </c>
      <c r="M549" s="12" t="n">
        <f aca="false">IF(H549="Closed Won",1,0)</f>
        <v>0</v>
      </c>
    </row>
    <row r="550" customFormat="false" ht="15" hidden="false" customHeight="false" outlineLevel="0" collapsed="false">
      <c r="A550" s="0" t="str">
        <f aca="false">CRM_Raw!A550</f>
        <v>D-10546</v>
      </c>
      <c r="B550" s="0" t="str">
        <f aca="false">CRM_Raw!B550</f>
        <v>2025-11-02</v>
      </c>
      <c r="C550" s="0" t="str">
        <f aca="false">CRM_Raw!C550</f>
        <v>2025-11-17</v>
      </c>
      <c r="D550" s="0" t="str">
        <f aca="false">IF(CRM_Raw!D550="DACH","DACH",IF(ISNUMBER(SEARCH("uk",CRM_Raw!D550)),"UK &amp; Ireland",PROPER(CRM_Raw!D550)))</f>
        <v>Nordics</v>
      </c>
      <c r="E550" s="0" t="str">
        <f aca="false">CRM_Raw!E550</f>
        <v>Washing Machines</v>
      </c>
      <c r="F550" s="0" t="str">
        <f aca="false">CRM_Raw!F550</f>
        <v>Web-shop Organic</v>
      </c>
      <c r="G550" s="0" t="str">
        <f aca="false">IF(TRIM(CRM_Raw!G550)="","Unassigned",CRM_Raw!G550)</f>
        <v>T. Wagner</v>
      </c>
      <c r="H550" s="0" t="str">
        <f aca="false">CRM_Raw!H550</f>
        <v>Closed Won</v>
      </c>
      <c r="I550" s="10" t="n">
        <f aca="false">CRM_Raw!I550</f>
        <v>736.84</v>
      </c>
      <c r="J550" s="11" t="n">
        <f aca="false">CRM_Raw!J550</f>
        <v>0</v>
      </c>
      <c r="K550" s="10" t="n">
        <f aca="false">I550*(1-J550)</f>
        <v>736.84</v>
      </c>
      <c r="L550" s="12" t="n">
        <f aca="false">CRM_Raw!K550</f>
        <v>15</v>
      </c>
      <c r="M550" s="12" t="n">
        <f aca="false">IF(H550="Closed Won",1,0)</f>
        <v>1</v>
      </c>
    </row>
    <row r="551" customFormat="false" ht="15" hidden="false" customHeight="false" outlineLevel="0" collapsed="false">
      <c r="A551" s="0" t="str">
        <f aca="false">CRM_Raw!A551</f>
        <v>D-10547</v>
      </c>
      <c r="B551" s="0" t="str">
        <f aca="false">CRM_Raw!B551</f>
        <v>2025-06-21</v>
      </c>
      <c r="C551" s="0" t="n">
        <f aca="false">CRM_Raw!C551</f>
        <v>0</v>
      </c>
      <c r="D551" s="0" t="str">
        <f aca="false">IF(CRM_Raw!D551="DACH","DACH",IF(ISNUMBER(SEARCH("uk",CRM_Raw!D551)),"UK &amp; Ireland",PROPER(CRM_Raw!D551)))</f>
        <v>UK &amp; Ireland</v>
      </c>
      <c r="E551" s="0" t="str">
        <f aca="false">CRM_Raw!E551</f>
        <v>Small Kitchen Appliances</v>
      </c>
      <c r="F551" s="0" t="str">
        <f aca="false">CRM_Raw!F551</f>
        <v>Paid Search</v>
      </c>
      <c r="G551" s="0" t="str">
        <f aca="false">IF(TRIM(CRM_Raw!G551)="","Unassigned",CRM_Raw!G551)</f>
        <v>A. Becker</v>
      </c>
      <c r="H551" s="0" t="str">
        <f aca="false">CRM_Raw!H551</f>
        <v>Proposal Sent</v>
      </c>
      <c r="I551" s="10" t="n">
        <f aca="false">CRM_Raw!I551</f>
        <v>254</v>
      </c>
      <c r="J551" s="11" t="n">
        <f aca="false">CRM_Raw!J551</f>
        <v>0.2</v>
      </c>
      <c r="K551" s="10" t="n">
        <f aca="false">I551*(1-J551)</f>
        <v>203.2</v>
      </c>
      <c r="L551" s="12" t="n">
        <f aca="false">CRM_Raw!K551</f>
        <v>0</v>
      </c>
      <c r="M551" s="12" t="n">
        <f aca="false">IF(H551="Closed Won",1,0)</f>
        <v>0</v>
      </c>
    </row>
    <row r="552" customFormat="false" ht="15" hidden="false" customHeight="false" outlineLevel="0" collapsed="false">
      <c r="A552" s="0" t="str">
        <f aca="false">CRM_Raw!A552</f>
        <v>D-10548</v>
      </c>
      <c r="B552" s="0" t="str">
        <f aca="false">CRM_Raw!B552</f>
        <v>2025-06-08</v>
      </c>
      <c r="C552" s="0" t="str">
        <f aca="false">CRM_Raw!C552</f>
        <v>2025-07-03</v>
      </c>
      <c r="D552" s="0" t="str">
        <f aca="false">IF(CRM_Raw!D552="DACH","DACH",IF(ISNUMBER(SEARCH("uk",CRM_Raw!D552)),"UK &amp; Ireland",PROPER(CRM_Raw!D552)))</f>
        <v>UK &amp; Ireland</v>
      </c>
      <c r="E552" s="0" t="str">
        <f aca="false">CRM_Raw!E552</f>
        <v>Smart Ovens</v>
      </c>
      <c r="F552" s="0" t="str">
        <f aca="false">CRM_Raw!F552</f>
        <v>Trade Show</v>
      </c>
      <c r="G552" s="0" t="str">
        <f aca="false">IF(TRIM(CRM_Raw!G552)="","Unassigned",CRM_Raw!G552)</f>
        <v>Unassigned</v>
      </c>
      <c r="H552" s="0" t="str">
        <f aca="false">CRM_Raw!H552</f>
        <v>Closed Won</v>
      </c>
      <c r="I552" s="10" t="n">
        <f aca="false">CRM_Raw!I552</f>
        <v>2349.15</v>
      </c>
      <c r="J552" s="11" t="n">
        <f aca="false">CRM_Raw!J552</f>
        <v>0</v>
      </c>
      <c r="K552" s="10" t="n">
        <f aca="false">I552*(1-J552)</f>
        <v>2349.15</v>
      </c>
      <c r="L552" s="12" t="n">
        <f aca="false">CRM_Raw!K552</f>
        <v>25</v>
      </c>
      <c r="M552" s="12" t="n">
        <f aca="false">IF(H552="Closed Won",1,0)</f>
        <v>1</v>
      </c>
    </row>
    <row r="553" customFormat="false" ht="15" hidden="false" customHeight="false" outlineLevel="0" collapsed="false">
      <c r="A553" s="0" t="str">
        <f aca="false">CRM_Raw!A553</f>
        <v>D-10549</v>
      </c>
      <c r="B553" s="0" t="str">
        <f aca="false">CRM_Raw!B553</f>
        <v>2025-06-07</v>
      </c>
      <c r="C553" s="0" t="n">
        <f aca="false">CRM_Raw!C553</f>
        <v>0</v>
      </c>
      <c r="D553" s="0" t="str">
        <f aca="false">IF(CRM_Raw!D553="DACH","DACH",IF(ISNUMBER(SEARCH("uk",CRM_Raw!D553)),"UK &amp; Ireland",PROPER(CRM_Raw!D553)))</f>
        <v>North America</v>
      </c>
      <c r="E553" s="0" t="str">
        <f aca="false">CRM_Raw!E553</f>
        <v>Small Kitchen Appliances</v>
      </c>
      <c r="F553" s="0" t="str">
        <f aca="false">CRM_Raw!F553</f>
        <v>Web-shop Organic</v>
      </c>
      <c r="G553" s="0" t="str">
        <f aca="false">IF(TRIM(CRM_Raw!G553)="","Unassigned",CRM_Raw!G553)</f>
        <v>P. Rossi</v>
      </c>
      <c r="H553" s="0" t="str">
        <f aca="false">CRM_Raw!H553</f>
        <v>Negotiation</v>
      </c>
      <c r="I553" s="10" t="n">
        <f aca="false">CRM_Raw!I553</f>
        <v>133.13</v>
      </c>
      <c r="J553" s="11" t="n">
        <f aca="false">CRM_Raw!J553</f>
        <v>0.05</v>
      </c>
      <c r="K553" s="10" t="n">
        <f aca="false">I553*(1-J553)</f>
        <v>126.4735</v>
      </c>
      <c r="L553" s="12" t="n">
        <f aca="false">CRM_Raw!K553</f>
        <v>0</v>
      </c>
      <c r="M553" s="12" t="n">
        <f aca="false">IF(H553="Closed Won",1,0)</f>
        <v>0</v>
      </c>
    </row>
    <row r="554" customFormat="false" ht="15" hidden="false" customHeight="false" outlineLevel="0" collapsed="false">
      <c r="A554" s="0" t="str">
        <f aca="false">CRM_Raw!A554</f>
        <v>D-10550</v>
      </c>
      <c r="B554" s="0" t="str">
        <f aca="false">CRM_Raw!B554</f>
        <v>2026-03-26</v>
      </c>
      <c r="C554" s="0" t="n">
        <f aca="false">CRM_Raw!C554</f>
        <v>0</v>
      </c>
      <c r="D554" s="0" t="str">
        <f aca="false">IF(CRM_Raw!D554="DACH","DACH",IF(ISNUMBER(SEARCH("uk",CRM_Raw!D554)),"UK &amp; Ireland",PROPER(CRM_Raw!D554)))</f>
        <v>UK &amp; Ireland</v>
      </c>
      <c r="E554" s="0" t="str">
        <f aca="false">CRM_Raw!E554</f>
        <v>Cordless Vacuums</v>
      </c>
      <c r="F554" s="0" t="str">
        <f aca="false">CRM_Raw!F554</f>
        <v>Trade Show</v>
      </c>
      <c r="G554" s="0" t="str">
        <f aca="false">IF(TRIM(CRM_Raw!G554)="","Unassigned",CRM_Raw!G554)</f>
        <v>P. Rossi</v>
      </c>
      <c r="H554" s="0" t="str">
        <f aca="false">CRM_Raw!H554</f>
        <v>Negotiation</v>
      </c>
      <c r="I554" s="10" t="n">
        <f aca="false">CRM_Raw!I554</f>
        <v>648.02</v>
      </c>
      <c r="J554" s="11" t="n">
        <f aca="false">CRM_Raw!J554</f>
        <v>0</v>
      </c>
      <c r="K554" s="10" t="n">
        <f aca="false">I554*(1-J554)</f>
        <v>648.02</v>
      </c>
      <c r="L554" s="12" t="n">
        <f aca="false">CRM_Raw!K554</f>
        <v>0</v>
      </c>
      <c r="M554" s="12" t="n">
        <f aca="false">IF(H554="Closed Won",1,0)</f>
        <v>0</v>
      </c>
    </row>
    <row r="555" customFormat="false" ht="15" hidden="false" customHeight="false" outlineLevel="0" collapsed="false">
      <c r="A555" s="0" t="str">
        <f aca="false">CRM_Raw!A555</f>
        <v>D-10551</v>
      </c>
      <c r="B555" s="0" t="str">
        <f aca="false">CRM_Raw!B555</f>
        <v>2026-05-12</v>
      </c>
      <c r="C555" s="0" t="n">
        <f aca="false">CRM_Raw!C555</f>
        <v>0</v>
      </c>
      <c r="D555" s="0" t="str">
        <f aca="false">IF(CRM_Raw!D555="DACH","DACH",IF(ISNUMBER(SEARCH("uk",CRM_Raw!D555)),"UK &amp; Ireland",PROPER(CRM_Raw!D555)))</f>
        <v>Southern Europe</v>
      </c>
      <c r="E555" s="0" t="str">
        <f aca="false">CRM_Raw!E555</f>
        <v>Coffee Systems</v>
      </c>
      <c r="F555" s="0" t="str">
        <f aca="false">CRM_Raw!F555</f>
        <v>Paid Search</v>
      </c>
      <c r="G555" s="0" t="str">
        <f aca="false">IF(TRIM(CRM_Raw!G555)="","Unassigned",CRM_Raw!G555)</f>
        <v>Unassigned</v>
      </c>
      <c r="H555" s="0" t="str">
        <f aca="false">CRM_Raw!H555</f>
        <v>Negotiation</v>
      </c>
      <c r="I555" s="10" t="n">
        <f aca="false">CRM_Raw!I555</f>
        <v>1611.71</v>
      </c>
      <c r="J555" s="11" t="n">
        <f aca="false">CRM_Raw!J555</f>
        <v>0.15</v>
      </c>
      <c r="K555" s="10" t="n">
        <f aca="false">I555*(1-J555)</f>
        <v>1369.9535</v>
      </c>
      <c r="L555" s="12" t="n">
        <f aca="false">CRM_Raw!K555</f>
        <v>0</v>
      </c>
      <c r="M555" s="12" t="n">
        <f aca="false">IF(H555="Closed Won",1,0)</f>
        <v>0</v>
      </c>
    </row>
    <row r="556" customFormat="false" ht="15" hidden="false" customHeight="false" outlineLevel="0" collapsed="false">
      <c r="A556" s="0" t="str">
        <f aca="false">CRM_Raw!A556</f>
        <v>D-10552</v>
      </c>
      <c r="B556" s="0" t="str">
        <f aca="false">CRM_Raw!B556</f>
        <v>2025-11-28</v>
      </c>
      <c r="C556" s="0" t="n">
        <f aca="false">CRM_Raw!C556</f>
        <v>0</v>
      </c>
      <c r="D556" s="0" t="str">
        <f aca="false">IF(CRM_Raw!D556="DACH","DACH",IF(ISNUMBER(SEARCH("uk",CRM_Raw!D556)),"UK &amp; Ireland",PROPER(CRM_Raw!D556)))</f>
        <v>Benelux</v>
      </c>
      <c r="E556" s="0" t="str">
        <f aca="false">CRM_Raw!E556</f>
        <v>Coffee Systems</v>
      </c>
      <c r="F556" s="0" t="str">
        <f aca="false">CRM_Raw!F556</f>
        <v>Social Media Ads</v>
      </c>
      <c r="G556" s="0" t="str">
        <f aca="false">IF(TRIM(CRM_Raw!G556)="","Unassigned",CRM_Raw!G556)</f>
        <v>P. Rossi</v>
      </c>
      <c r="H556" s="0" t="str">
        <f aca="false">CRM_Raw!H556</f>
        <v>Negotiation</v>
      </c>
      <c r="I556" s="10" t="n">
        <f aca="false">CRM_Raw!I556</f>
        <v>1504.25</v>
      </c>
      <c r="J556" s="11" t="n">
        <f aca="false">CRM_Raw!J556</f>
        <v>0.2</v>
      </c>
      <c r="K556" s="10" t="n">
        <f aca="false">I556*(1-J556)</f>
        <v>1203.4</v>
      </c>
      <c r="L556" s="12" t="n">
        <f aca="false">CRM_Raw!K556</f>
        <v>0</v>
      </c>
      <c r="M556" s="12" t="n">
        <f aca="false">IF(H556="Closed Won",1,0)</f>
        <v>0</v>
      </c>
    </row>
    <row r="557" customFormat="false" ht="15" hidden="false" customHeight="false" outlineLevel="0" collapsed="false">
      <c r="A557" s="0" t="str">
        <f aca="false">CRM_Raw!A557</f>
        <v>D-10553</v>
      </c>
      <c r="B557" s="0" t="str">
        <f aca="false">CRM_Raw!B557</f>
        <v>2026-04-06</v>
      </c>
      <c r="C557" s="0" t="str">
        <f aca="false">CRM_Raw!C557</f>
        <v>2026-04-29</v>
      </c>
      <c r="D557" s="0" t="str">
        <f aca="false">IF(CRM_Raw!D557="DACH","DACH",IF(ISNUMBER(SEARCH("uk",CRM_Raw!D557)),"UK &amp; Ireland",PROPER(CRM_Raw!D557)))</f>
        <v>Nordics</v>
      </c>
      <c r="E557" s="0" t="str">
        <f aca="false">CRM_Raw!E557</f>
        <v>Coffee Systems</v>
      </c>
      <c r="F557" s="0" t="str">
        <f aca="false">CRM_Raw!F557</f>
        <v>Web-shop Organic</v>
      </c>
      <c r="G557" s="0" t="str">
        <f aca="false">IF(TRIM(CRM_Raw!G557)="","Unassigned",CRM_Raw!G557)</f>
        <v>M. Hoffmann</v>
      </c>
      <c r="H557" s="0" t="str">
        <f aca="false">CRM_Raw!H557</f>
        <v>Closed Won</v>
      </c>
      <c r="I557" s="10" t="n">
        <f aca="false">CRM_Raw!I557</f>
        <v>499.9</v>
      </c>
      <c r="J557" s="11" t="n">
        <f aca="false">CRM_Raw!J557</f>
        <v>0.05</v>
      </c>
      <c r="K557" s="10" t="n">
        <f aca="false">I557*(1-J557)</f>
        <v>474.905</v>
      </c>
      <c r="L557" s="12" t="n">
        <f aca="false">CRM_Raw!K557</f>
        <v>23</v>
      </c>
      <c r="M557" s="12" t="n">
        <f aca="false">IF(H557="Closed Won",1,0)</f>
        <v>1</v>
      </c>
    </row>
    <row r="558" customFormat="false" ht="15" hidden="false" customHeight="false" outlineLevel="0" collapsed="false">
      <c r="A558" s="0" t="str">
        <f aca="false">CRM_Raw!A558</f>
        <v>D-10554</v>
      </c>
      <c r="B558" s="0" t="str">
        <f aca="false">CRM_Raw!B558</f>
        <v>2025-01-20</v>
      </c>
      <c r="C558" s="0" t="str">
        <f aca="false">CRM_Raw!C558</f>
        <v>2025-02-01</v>
      </c>
      <c r="D558" s="0" t="str">
        <f aca="false">IF(CRM_Raw!D558="DACH","DACH",IF(ISNUMBER(SEARCH("uk",CRM_Raw!D558)),"UK &amp; Ireland",PROPER(CRM_Raw!D558)))</f>
        <v>DACH</v>
      </c>
      <c r="E558" s="0" t="str">
        <f aca="false">CRM_Raw!E558</f>
        <v>Small Kitchen Appliances</v>
      </c>
      <c r="F558" s="0" t="str">
        <f aca="false">CRM_Raw!F558</f>
        <v>Social Media Ads</v>
      </c>
      <c r="G558" s="0" t="str">
        <f aca="false">IF(TRIM(CRM_Raw!G558)="","Unassigned",CRM_Raw!G558)</f>
        <v>M. Hoffmann</v>
      </c>
      <c r="H558" s="0" t="str">
        <f aca="false">CRM_Raw!H558</f>
        <v>Closed Lost</v>
      </c>
      <c r="I558" s="10" t="n">
        <f aca="false">CRM_Raw!I558</f>
        <v>119.16</v>
      </c>
      <c r="J558" s="11" t="n">
        <f aca="false">CRM_Raw!J558</f>
        <v>0.15</v>
      </c>
      <c r="K558" s="10" t="n">
        <f aca="false">I558*(1-J558)</f>
        <v>101.286</v>
      </c>
      <c r="L558" s="12" t="n">
        <f aca="false">CRM_Raw!K558</f>
        <v>12</v>
      </c>
      <c r="M558" s="12" t="n">
        <f aca="false">IF(H558="Closed Won",1,0)</f>
        <v>0</v>
      </c>
    </row>
    <row r="559" customFormat="false" ht="15" hidden="false" customHeight="false" outlineLevel="0" collapsed="false">
      <c r="A559" s="0" t="str">
        <f aca="false">CRM_Raw!A559</f>
        <v>D-10555</v>
      </c>
      <c r="B559" s="0" t="str">
        <f aca="false">CRM_Raw!B559</f>
        <v>2025-06-07</v>
      </c>
      <c r="C559" s="0" t="str">
        <f aca="false">CRM_Raw!C559</f>
        <v>2025-07-07</v>
      </c>
      <c r="D559" s="0" t="str">
        <f aca="false">IF(CRM_Raw!D559="DACH","DACH",IF(ISNUMBER(SEARCH("uk",CRM_Raw!D559)),"UK &amp; Ireland",PROPER(CRM_Raw!D559)))</f>
        <v>Nordics</v>
      </c>
      <c r="E559" s="0" t="str">
        <f aca="false">CRM_Raw!E559</f>
        <v>Dishwashers</v>
      </c>
      <c r="F559" s="0" t="str">
        <f aca="false">CRM_Raw!F559</f>
        <v>Web-shop Organic</v>
      </c>
      <c r="G559" s="0" t="str">
        <f aca="false">IF(TRIM(CRM_Raw!G559)="","Unassigned",CRM_Raw!G559)</f>
        <v>T. Wagner</v>
      </c>
      <c r="H559" s="0" t="str">
        <f aca="false">CRM_Raw!H559</f>
        <v>Closed Lost</v>
      </c>
      <c r="I559" s="10" t="n">
        <f aca="false">CRM_Raw!I559</f>
        <v>692.22</v>
      </c>
      <c r="J559" s="11" t="n">
        <f aca="false">CRM_Raw!J559</f>
        <v>0</v>
      </c>
      <c r="K559" s="10" t="n">
        <f aca="false">I559*(1-J559)</f>
        <v>692.22</v>
      </c>
      <c r="L559" s="12" t="n">
        <f aca="false">CRM_Raw!K559</f>
        <v>30</v>
      </c>
      <c r="M559" s="12" t="n">
        <f aca="false">IF(H559="Closed Won",1,0)</f>
        <v>0</v>
      </c>
    </row>
    <row r="560" customFormat="false" ht="15" hidden="false" customHeight="false" outlineLevel="0" collapsed="false">
      <c r="A560" s="0" t="str">
        <f aca="false">CRM_Raw!A560</f>
        <v>D-10556</v>
      </c>
      <c r="B560" s="0" t="str">
        <f aca="false">CRM_Raw!B560</f>
        <v>2025-05-13</v>
      </c>
      <c r="C560" s="0" t="str">
        <f aca="false">CRM_Raw!C560</f>
        <v>2025-06-07</v>
      </c>
      <c r="D560" s="0" t="str">
        <f aca="false">IF(CRM_Raw!D560="DACH","DACH",IF(ISNUMBER(SEARCH("uk",CRM_Raw!D560)),"UK &amp; Ireland",PROPER(CRM_Raw!D560)))</f>
        <v>DACH</v>
      </c>
      <c r="E560" s="0" t="str">
        <f aca="false">CRM_Raw!E560</f>
        <v>Washing Machines</v>
      </c>
      <c r="F560" s="0" t="str">
        <f aca="false">CRM_Raw!F560</f>
        <v>Affiliate Partner</v>
      </c>
      <c r="G560" s="0" t="str">
        <f aca="false">IF(TRIM(CRM_Raw!G560)="","Unassigned",CRM_Raw!G560)</f>
        <v>A. Becker</v>
      </c>
      <c r="H560" s="0" t="str">
        <f aca="false">CRM_Raw!H560</f>
        <v>Closed Won</v>
      </c>
      <c r="I560" s="10" t="n">
        <f aca="false">CRM_Raw!I560</f>
        <v>624.96</v>
      </c>
      <c r="J560" s="11" t="n">
        <f aca="false">CRM_Raw!J560</f>
        <v>0.1</v>
      </c>
      <c r="K560" s="10" t="n">
        <f aca="false">I560*(1-J560)</f>
        <v>562.464</v>
      </c>
      <c r="L560" s="12" t="n">
        <f aca="false">CRM_Raw!K560</f>
        <v>25</v>
      </c>
      <c r="M560" s="12" t="n">
        <f aca="false">IF(H560="Closed Won",1,0)</f>
        <v>1</v>
      </c>
    </row>
    <row r="561" customFormat="false" ht="15" hidden="false" customHeight="false" outlineLevel="0" collapsed="false">
      <c r="A561" s="0" t="str">
        <f aca="false">CRM_Raw!A561</f>
        <v>D-10557</v>
      </c>
      <c r="B561" s="0" t="str">
        <f aca="false">CRM_Raw!B561</f>
        <v>2025-02-20</v>
      </c>
      <c r="C561" s="0" t="str">
        <f aca="false">CRM_Raw!C561</f>
        <v>2025-03-13</v>
      </c>
      <c r="D561" s="0" t="str">
        <f aca="false">IF(CRM_Raw!D561="DACH","DACH",IF(ISNUMBER(SEARCH("uk",CRM_Raw!D561)),"UK &amp; Ireland",PROPER(CRM_Raw!D561)))</f>
        <v>Southern Europe</v>
      </c>
      <c r="E561" s="0" t="str">
        <f aca="false">CRM_Raw!E561</f>
        <v>Dishwashers</v>
      </c>
      <c r="F561" s="0" t="str">
        <f aca="false">CRM_Raw!F561</f>
        <v>Affiliate Partner</v>
      </c>
      <c r="G561" s="0" t="str">
        <f aca="false">IF(TRIM(CRM_Raw!G561)="","Unassigned",CRM_Raw!G561)</f>
        <v>J. Murphy</v>
      </c>
      <c r="H561" s="0" t="str">
        <f aca="false">CRM_Raw!H561</f>
        <v>Closed Won</v>
      </c>
      <c r="I561" s="10" t="n">
        <f aca="false">CRM_Raw!I561</f>
        <v>741.04</v>
      </c>
      <c r="J561" s="11" t="n">
        <f aca="false">CRM_Raw!J561</f>
        <v>0</v>
      </c>
      <c r="K561" s="10" t="n">
        <f aca="false">I561*(1-J561)</f>
        <v>741.04</v>
      </c>
      <c r="L561" s="12" t="n">
        <f aca="false">CRM_Raw!K561</f>
        <v>21</v>
      </c>
      <c r="M561" s="12" t="n">
        <f aca="false">IF(H561="Closed Won",1,0)</f>
        <v>1</v>
      </c>
    </row>
    <row r="562" customFormat="false" ht="15" hidden="false" customHeight="false" outlineLevel="0" collapsed="false">
      <c r="A562" s="0" t="str">
        <f aca="false">CRM_Raw!A562</f>
        <v>D-10558</v>
      </c>
      <c r="B562" s="0" t="str">
        <f aca="false">CRM_Raw!B562</f>
        <v>2026-04-25</v>
      </c>
      <c r="C562" s="0" t="n">
        <f aca="false">CRM_Raw!C562</f>
        <v>0</v>
      </c>
      <c r="D562" s="0" t="str">
        <f aca="false">IF(CRM_Raw!D562="DACH","DACH",IF(ISNUMBER(SEARCH("uk",CRM_Raw!D562)),"UK &amp; Ireland",PROPER(CRM_Raw!D562)))</f>
        <v>UK &amp; Ireland</v>
      </c>
      <c r="E562" s="0" t="str">
        <f aca="false">CRM_Raw!E562</f>
        <v>Small Kitchen Appliances</v>
      </c>
      <c r="F562" s="0" t="str">
        <f aca="false">CRM_Raw!F562</f>
        <v>Social Media Ads</v>
      </c>
      <c r="G562" s="0" t="str">
        <f aca="false">IF(TRIM(CRM_Raw!G562)="","Unassigned",CRM_Raw!G562)</f>
        <v>L. Dubois</v>
      </c>
      <c r="H562" s="0" t="str">
        <f aca="false">CRM_Raw!H562</f>
        <v>Proposal Sent</v>
      </c>
      <c r="I562" s="10" t="n">
        <f aca="false">CRM_Raw!I562</f>
        <v>334.35</v>
      </c>
      <c r="J562" s="11" t="n">
        <f aca="false">CRM_Raw!J562</f>
        <v>0.15</v>
      </c>
      <c r="K562" s="10" t="n">
        <f aca="false">I562*(1-J562)</f>
        <v>284.1975</v>
      </c>
      <c r="L562" s="12" t="n">
        <f aca="false">CRM_Raw!K562</f>
        <v>0</v>
      </c>
      <c r="M562" s="12" t="n">
        <f aca="false">IF(H562="Closed Won",1,0)</f>
        <v>0</v>
      </c>
    </row>
    <row r="563" customFormat="false" ht="15" hidden="false" customHeight="false" outlineLevel="0" collapsed="false">
      <c r="A563" s="0" t="str">
        <f aca="false">CRM_Raw!A563</f>
        <v>D-10559</v>
      </c>
      <c r="B563" s="0" t="str">
        <f aca="false">CRM_Raw!B563</f>
        <v>2025-09-30</v>
      </c>
      <c r="C563" s="0" t="str">
        <f aca="false">CRM_Raw!C563</f>
        <v>2025-10-19</v>
      </c>
      <c r="D563" s="0" t="str">
        <f aca="false">IF(CRM_Raw!D563="DACH","DACH",IF(ISNUMBER(SEARCH("uk",CRM_Raw!D563)),"UK &amp; Ireland",PROPER(CRM_Raw!D563)))</f>
        <v>Benelux</v>
      </c>
      <c r="E563" s="0" t="str">
        <f aca="false">CRM_Raw!E563</f>
        <v>Cordless Vacuums</v>
      </c>
      <c r="F563" s="0" t="str">
        <f aca="false">CRM_Raw!F563</f>
        <v>Email Campaign</v>
      </c>
      <c r="G563" s="0" t="str">
        <f aca="false">IF(TRIM(CRM_Raw!G563)="","Unassigned",CRM_Raw!G563)</f>
        <v>A. Becker</v>
      </c>
      <c r="H563" s="0" t="str">
        <f aca="false">CRM_Raw!H563</f>
        <v>Closed Lost</v>
      </c>
      <c r="I563" s="10" t="n">
        <f aca="false">CRM_Raw!I563</f>
        <v>328.94</v>
      </c>
      <c r="J563" s="11" t="n">
        <f aca="false">CRM_Raw!J563</f>
        <v>0.1</v>
      </c>
      <c r="K563" s="10" t="n">
        <f aca="false">I563*(1-J563)</f>
        <v>296.046</v>
      </c>
      <c r="L563" s="12" t="n">
        <f aca="false">CRM_Raw!K563</f>
        <v>19</v>
      </c>
      <c r="M563" s="12" t="n">
        <f aca="false">IF(H563="Closed Won",1,0)</f>
        <v>0</v>
      </c>
    </row>
    <row r="564" customFormat="false" ht="15" hidden="false" customHeight="false" outlineLevel="0" collapsed="false">
      <c r="A564" s="0" t="str">
        <f aca="false">CRM_Raw!A564</f>
        <v>D-10560</v>
      </c>
      <c r="B564" s="0" t="str">
        <f aca="false">CRM_Raw!B564</f>
        <v>2025-07-14</v>
      </c>
      <c r="C564" s="0" t="str">
        <f aca="false">CRM_Raw!C564</f>
        <v>2025-07-18</v>
      </c>
      <c r="D564" s="0" t="str">
        <f aca="false">IF(CRM_Raw!D564="DACH","DACH",IF(ISNUMBER(SEARCH("uk",CRM_Raw!D564)),"UK &amp; Ireland",PROPER(CRM_Raw!D564)))</f>
        <v>DACH</v>
      </c>
      <c r="E564" s="0" t="str">
        <f aca="false">CRM_Raw!E564</f>
        <v>Smart Ovens</v>
      </c>
      <c r="F564" s="0" t="str">
        <f aca="false">CRM_Raw!F564</f>
        <v>Affiliate Partner</v>
      </c>
      <c r="G564" s="0" t="str">
        <f aca="false">IF(TRIM(CRM_Raw!G564)="","Unassigned",CRM_Raw!G564)</f>
        <v>K. Nilsson</v>
      </c>
      <c r="H564" s="0" t="str">
        <f aca="false">CRM_Raw!H564</f>
        <v>Closed Won</v>
      </c>
      <c r="I564" s="10" t="n">
        <f aca="false">CRM_Raw!I564</f>
        <v>2699.92</v>
      </c>
      <c r="J564" s="11" t="n">
        <f aca="false">CRM_Raw!J564</f>
        <v>0.15</v>
      </c>
      <c r="K564" s="10" t="n">
        <f aca="false">I564*(1-J564)</f>
        <v>2294.932</v>
      </c>
      <c r="L564" s="12" t="n">
        <f aca="false">CRM_Raw!K564</f>
        <v>4</v>
      </c>
      <c r="M564" s="12" t="n">
        <f aca="false">IF(H564="Closed Won",1,0)</f>
        <v>1</v>
      </c>
    </row>
    <row r="565" customFormat="false" ht="15" hidden="false" customHeight="false" outlineLevel="0" collapsed="false">
      <c r="A565" s="0" t="str">
        <f aca="false">CRM_Raw!A565</f>
        <v>D-10561</v>
      </c>
      <c r="B565" s="0" t="str">
        <f aca="false">CRM_Raw!B565</f>
        <v>2025-04-19</v>
      </c>
      <c r="C565" s="0" t="n">
        <f aca="false">CRM_Raw!C565</f>
        <v>0</v>
      </c>
      <c r="D565" s="0" t="str">
        <f aca="false">IF(CRM_Raw!D565="DACH","DACH",IF(ISNUMBER(SEARCH("uk",CRM_Raw!D565)),"UK &amp; Ireland",PROPER(CRM_Raw!D565)))</f>
        <v>UK &amp; Ireland</v>
      </c>
      <c r="E565" s="0" t="str">
        <f aca="false">CRM_Raw!E565</f>
        <v>Washing Machines</v>
      </c>
      <c r="F565" s="0" t="str">
        <f aca="false">CRM_Raw!F565</f>
        <v>Affiliate Partner</v>
      </c>
      <c r="G565" s="0" t="str">
        <f aca="false">IF(TRIM(CRM_Raw!G565)="","Unassigned",CRM_Raw!G565)</f>
        <v>K. Nilsson</v>
      </c>
      <c r="H565" s="0" t="str">
        <f aca="false">CRM_Raw!H565</f>
        <v>Proposal Sent</v>
      </c>
      <c r="I565" s="10" t="n">
        <f aca="false">CRM_Raw!I565</f>
        <v>1373.69</v>
      </c>
      <c r="J565" s="11" t="n">
        <f aca="false">CRM_Raw!J565</f>
        <v>0.15</v>
      </c>
      <c r="K565" s="10" t="n">
        <f aca="false">I565*(1-J565)</f>
        <v>1167.6365</v>
      </c>
      <c r="L565" s="12" t="n">
        <f aca="false">CRM_Raw!K565</f>
        <v>0</v>
      </c>
      <c r="M565" s="12" t="n">
        <f aca="false">IF(H565="Closed Won",1,0)</f>
        <v>0</v>
      </c>
    </row>
    <row r="566" customFormat="false" ht="15" hidden="false" customHeight="false" outlineLevel="0" collapsed="false">
      <c r="A566" s="0" t="str">
        <f aca="false">CRM_Raw!A566</f>
        <v>D-10562</v>
      </c>
      <c r="B566" s="0" t="str">
        <f aca="false">CRM_Raw!B566</f>
        <v>2025-07-04</v>
      </c>
      <c r="C566" s="0" t="str">
        <f aca="false">CRM_Raw!C566</f>
        <v>2025-07-11</v>
      </c>
      <c r="D566" s="0" t="str">
        <f aca="false">IF(CRM_Raw!D566="DACH","DACH",IF(ISNUMBER(SEARCH("uk",CRM_Raw!D566)),"UK &amp; Ireland",PROPER(CRM_Raw!D566)))</f>
        <v>Southern Europe</v>
      </c>
      <c r="E566" s="0" t="str">
        <f aca="false">CRM_Raw!E566</f>
        <v>Dishwashers</v>
      </c>
      <c r="F566" s="0" t="str">
        <f aca="false">CRM_Raw!F566</f>
        <v>Retail Referral</v>
      </c>
      <c r="G566" s="0" t="str">
        <f aca="false">IF(TRIM(CRM_Raw!G566)="","Unassigned",CRM_Raw!G566)</f>
        <v>M. Hoffmann</v>
      </c>
      <c r="H566" s="0" t="str">
        <f aca="false">CRM_Raw!H566</f>
        <v>Closed Lost</v>
      </c>
      <c r="I566" s="10" t="n">
        <f aca="false">CRM_Raw!I566</f>
        <v>2185.88</v>
      </c>
      <c r="J566" s="11" t="n">
        <f aca="false">CRM_Raw!J566</f>
        <v>0.05</v>
      </c>
      <c r="K566" s="10" t="n">
        <f aca="false">I566*(1-J566)</f>
        <v>2076.586</v>
      </c>
      <c r="L566" s="12" t="n">
        <f aca="false">CRM_Raw!K566</f>
        <v>7</v>
      </c>
      <c r="M566" s="12" t="n">
        <f aca="false">IF(H566="Closed Won",1,0)</f>
        <v>0</v>
      </c>
    </row>
    <row r="567" customFormat="false" ht="15" hidden="false" customHeight="false" outlineLevel="0" collapsed="false">
      <c r="A567" s="0" t="str">
        <f aca="false">CRM_Raw!A567</f>
        <v>D-10563</v>
      </c>
      <c r="B567" s="0" t="str">
        <f aca="false">CRM_Raw!B567</f>
        <v>2026-01-16</v>
      </c>
      <c r="C567" s="0" t="str">
        <f aca="false">CRM_Raw!C567</f>
        <v>2026-02-05</v>
      </c>
      <c r="D567" s="0" t="str">
        <f aca="false">IF(CRM_Raw!D567="DACH","DACH",IF(ISNUMBER(SEARCH("uk",CRM_Raw!D567)),"UK &amp; Ireland",PROPER(CRM_Raw!D567)))</f>
        <v>France</v>
      </c>
      <c r="E567" s="0" t="str">
        <f aca="false">CRM_Raw!E567</f>
        <v>Cordless Vacuums</v>
      </c>
      <c r="F567" s="0" t="str">
        <f aca="false">CRM_Raw!F567</f>
        <v>Social Media Ads</v>
      </c>
      <c r="G567" s="0" t="str">
        <f aca="false">IF(TRIM(CRM_Raw!G567)="","Unassigned",CRM_Raw!G567)</f>
        <v>P. Rossi</v>
      </c>
      <c r="H567" s="0" t="str">
        <f aca="false">CRM_Raw!H567</f>
        <v>Closed Lost</v>
      </c>
      <c r="I567" s="10" t="n">
        <f aca="false">CRM_Raw!I567</f>
        <v>377.35</v>
      </c>
      <c r="J567" s="11" t="n">
        <f aca="false">CRM_Raw!J567</f>
        <v>0.1</v>
      </c>
      <c r="K567" s="10" t="n">
        <f aca="false">I567*(1-J567)</f>
        <v>339.615</v>
      </c>
      <c r="L567" s="12" t="n">
        <f aca="false">CRM_Raw!K567</f>
        <v>20</v>
      </c>
      <c r="M567" s="12" t="n">
        <f aca="false">IF(H567="Closed Won",1,0)</f>
        <v>0</v>
      </c>
    </row>
    <row r="568" customFormat="false" ht="15" hidden="false" customHeight="false" outlineLevel="0" collapsed="false">
      <c r="A568" s="0" t="str">
        <f aca="false">CRM_Raw!A568</f>
        <v>D-10564</v>
      </c>
      <c r="B568" s="0" t="str">
        <f aca="false">CRM_Raw!B568</f>
        <v>2025-09-18</v>
      </c>
      <c r="C568" s="0" t="str">
        <f aca="false">CRM_Raw!C568</f>
        <v>2025-09-21</v>
      </c>
      <c r="D568" s="0" t="str">
        <f aca="false">IF(CRM_Raw!D568="DACH","DACH",IF(ISNUMBER(SEARCH("uk",CRM_Raw!D568)),"UK &amp; Ireland",PROPER(CRM_Raw!D568)))</f>
        <v>UK &amp; Ireland</v>
      </c>
      <c r="E568" s="0" t="str">
        <f aca="false">CRM_Raw!E568</f>
        <v>Washing Machines</v>
      </c>
      <c r="F568" s="0" t="str">
        <f aca="false">CRM_Raw!F568</f>
        <v>Social Media Ads</v>
      </c>
      <c r="G568" s="0" t="str">
        <f aca="false">IF(TRIM(CRM_Raw!G568)="","Unassigned",CRM_Raw!G568)</f>
        <v>K. Nilsson</v>
      </c>
      <c r="H568" s="0" t="str">
        <f aca="false">CRM_Raw!H568</f>
        <v>Closed Won</v>
      </c>
      <c r="I568" s="10" t="n">
        <f aca="false">CRM_Raw!I568</f>
        <v>594.18</v>
      </c>
      <c r="J568" s="11" t="n">
        <f aca="false">CRM_Raw!J568</f>
        <v>0</v>
      </c>
      <c r="K568" s="10" t="n">
        <f aca="false">I568*(1-J568)</f>
        <v>594.18</v>
      </c>
      <c r="L568" s="12" t="n">
        <f aca="false">CRM_Raw!K568</f>
        <v>3</v>
      </c>
      <c r="M568" s="12" t="n">
        <f aca="false">IF(H568="Closed Won",1,0)</f>
        <v>1</v>
      </c>
    </row>
    <row r="569" customFormat="false" ht="15" hidden="false" customHeight="false" outlineLevel="0" collapsed="false">
      <c r="A569" s="0" t="str">
        <f aca="false">CRM_Raw!A569</f>
        <v>D-10565</v>
      </c>
      <c r="B569" s="0" t="str">
        <f aca="false">CRM_Raw!B569</f>
        <v>2025-01-07</v>
      </c>
      <c r="C569" s="0" t="str">
        <f aca="false">CRM_Raw!C569</f>
        <v>2025-02-03</v>
      </c>
      <c r="D569" s="0" t="str">
        <f aca="false">IF(CRM_Raw!D569="DACH","DACH",IF(ISNUMBER(SEARCH("uk",CRM_Raw!D569)),"UK &amp; Ireland",PROPER(CRM_Raw!D569)))</f>
        <v>Nordics</v>
      </c>
      <c r="E569" s="0" t="str">
        <f aca="false">CRM_Raw!E569</f>
        <v>Smart Ovens</v>
      </c>
      <c r="F569" s="0" t="str">
        <f aca="false">CRM_Raw!F569</f>
        <v>Social Media Ads</v>
      </c>
      <c r="G569" s="0" t="str">
        <f aca="false">IF(TRIM(CRM_Raw!G569)="","Unassigned",CRM_Raw!G569)</f>
        <v>J. Murphy</v>
      </c>
      <c r="H569" s="0" t="str">
        <f aca="false">CRM_Raw!H569</f>
        <v>Closed Won</v>
      </c>
      <c r="I569" s="10" t="n">
        <f aca="false">CRM_Raw!I569</f>
        <v>810.03</v>
      </c>
      <c r="J569" s="11" t="n">
        <f aca="false">CRM_Raw!J569</f>
        <v>0</v>
      </c>
      <c r="K569" s="10" t="n">
        <f aca="false">I569*(1-J569)</f>
        <v>810.03</v>
      </c>
      <c r="L569" s="12" t="n">
        <f aca="false">CRM_Raw!K569</f>
        <v>27</v>
      </c>
      <c r="M569" s="12" t="n">
        <f aca="false">IF(H569="Closed Won",1,0)</f>
        <v>1</v>
      </c>
    </row>
    <row r="570" customFormat="false" ht="15" hidden="false" customHeight="false" outlineLevel="0" collapsed="false">
      <c r="A570" s="0" t="str">
        <f aca="false">CRM_Raw!A570</f>
        <v>D-10566</v>
      </c>
      <c r="B570" s="0" t="str">
        <f aca="false">CRM_Raw!B570</f>
        <v>2025-04-07</v>
      </c>
      <c r="C570" s="0" t="str">
        <f aca="false">CRM_Raw!C570</f>
        <v>2025-04-24</v>
      </c>
      <c r="D570" s="0" t="str">
        <f aca="false">IF(CRM_Raw!D570="DACH","DACH",IF(ISNUMBER(SEARCH("uk",CRM_Raw!D570)),"UK &amp; Ireland",PROPER(CRM_Raw!D570)))</f>
        <v>North America</v>
      </c>
      <c r="E570" s="0" t="str">
        <f aca="false">CRM_Raw!E570</f>
        <v>Small Kitchen Appliances</v>
      </c>
      <c r="F570" s="0" t="str">
        <f aca="false">CRM_Raw!F570</f>
        <v>Email Campaign</v>
      </c>
      <c r="G570" s="0" t="str">
        <f aca="false">IF(TRIM(CRM_Raw!G570)="","Unassigned",CRM_Raw!G570)</f>
        <v>M. Hoffmann</v>
      </c>
      <c r="H570" s="0" t="str">
        <f aca="false">CRM_Raw!H570</f>
        <v>Closed Won</v>
      </c>
      <c r="I570" s="10" t="n">
        <f aca="false">CRM_Raw!I570</f>
        <v>361.62</v>
      </c>
      <c r="J570" s="11" t="n">
        <f aca="false">CRM_Raw!J570</f>
        <v>0</v>
      </c>
      <c r="K570" s="10" t="n">
        <f aca="false">I570*(1-J570)</f>
        <v>361.62</v>
      </c>
      <c r="L570" s="12" t="n">
        <f aca="false">CRM_Raw!K570</f>
        <v>17</v>
      </c>
      <c r="M570" s="12" t="n">
        <f aca="false">IF(H570="Closed Won",1,0)</f>
        <v>1</v>
      </c>
    </row>
    <row r="571" customFormat="false" ht="15" hidden="false" customHeight="false" outlineLevel="0" collapsed="false">
      <c r="A571" s="0" t="str">
        <f aca="false">CRM_Raw!A571</f>
        <v>D-10567</v>
      </c>
      <c r="B571" s="0" t="str">
        <f aca="false">CRM_Raw!B571</f>
        <v>2026-02-14</v>
      </c>
      <c r="C571" s="0" t="str">
        <f aca="false">CRM_Raw!C571</f>
        <v>2026-03-10</v>
      </c>
      <c r="D571" s="0" t="str">
        <f aca="false">IF(CRM_Raw!D571="DACH","DACH",IF(ISNUMBER(SEARCH("uk",CRM_Raw!D571)),"UK &amp; Ireland",PROPER(CRM_Raw!D571)))</f>
        <v>UK &amp; Ireland</v>
      </c>
      <c r="E571" s="0" t="str">
        <f aca="false">CRM_Raw!E571</f>
        <v>Cordless Vacuums</v>
      </c>
      <c r="F571" s="0" t="str">
        <f aca="false">CRM_Raw!F571</f>
        <v>Email Campaign</v>
      </c>
      <c r="G571" s="0" t="str">
        <f aca="false">IF(TRIM(CRM_Raw!G571)="","Unassigned",CRM_Raw!G571)</f>
        <v>L. Dubois</v>
      </c>
      <c r="H571" s="0" t="str">
        <f aca="false">CRM_Raw!H571</f>
        <v>Closed Lost</v>
      </c>
      <c r="I571" s="10" t="n">
        <f aca="false">CRM_Raw!I571</f>
        <v>341.1</v>
      </c>
      <c r="J571" s="11" t="n">
        <f aca="false">CRM_Raw!J571</f>
        <v>0.15</v>
      </c>
      <c r="K571" s="10" t="n">
        <f aca="false">I571*(1-J571)</f>
        <v>289.935</v>
      </c>
      <c r="L571" s="12" t="n">
        <f aca="false">CRM_Raw!K571</f>
        <v>24</v>
      </c>
      <c r="M571" s="12" t="n">
        <f aca="false">IF(H571="Closed Won",1,0)</f>
        <v>0</v>
      </c>
    </row>
    <row r="572" customFormat="false" ht="15" hidden="false" customHeight="false" outlineLevel="0" collapsed="false">
      <c r="A572" s="0" t="str">
        <f aca="false">CRM_Raw!A572</f>
        <v>D-10568</v>
      </c>
      <c r="B572" s="0" t="str">
        <f aca="false">CRM_Raw!B572</f>
        <v>2025-11-04</v>
      </c>
      <c r="C572" s="0" t="str">
        <f aca="false">CRM_Raw!C572</f>
        <v>2025-11-28</v>
      </c>
      <c r="D572" s="0" t="str">
        <f aca="false">IF(CRM_Raw!D572="DACH","DACH",IF(ISNUMBER(SEARCH("uk",CRM_Raw!D572)),"UK &amp; Ireland",PROPER(CRM_Raw!D572)))</f>
        <v>France</v>
      </c>
      <c r="E572" s="0" t="str">
        <f aca="false">CRM_Raw!E572</f>
        <v>Dishwashers</v>
      </c>
      <c r="F572" s="0" t="str">
        <f aca="false">CRM_Raw!F572</f>
        <v>Web-shop Organic</v>
      </c>
      <c r="G572" s="0" t="str">
        <f aca="false">IF(TRIM(CRM_Raw!G572)="","Unassigned",CRM_Raw!G572)</f>
        <v>L. Dubois</v>
      </c>
      <c r="H572" s="0" t="str">
        <f aca="false">CRM_Raw!H572</f>
        <v>Closed Won</v>
      </c>
      <c r="I572" s="10" t="n">
        <f aca="false">CRM_Raw!I572</f>
        <v>771.04</v>
      </c>
      <c r="J572" s="11" t="n">
        <f aca="false">CRM_Raw!J572</f>
        <v>0</v>
      </c>
      <c r="K572" s="10" t="n">
        <f aca="false">I572*(1-J572)</f>
        <v>771.04</v>
      </c>
      <c r="L572" s="12" t="n">
        <f aca="false">CRM_Raw!K572</f>
        <v>24</v>
      </c>
      <c r="M572" s="12" t="n">
        <f aca="false">IF(H572="Closed Won",1,0)</f>
        <v>1</v>
      </c>
    </row>
    <row r="573" customFormat="false" ht="15" hidden="false" customHeight="false" outlineLevel="0" collapsed="false">
      <c r="A573" s="0" t="str">
        <f aca="false">CRM_Raw!A573</f>
        <v>D-10569</v>
      </c>
      <c r="B573" s="0" t="str">
        <f aca="false">CRM_Raw!B573</f>
        <v>2025-08-21</v>
      </c>
      <c r="C573" s="0" t="n">
        <f aca="false">CRM_Raw!C573</f>
        <v>0</v>
      </c>
      <c r="D573" s="0" t="str">
        <f aca="false">IF(CRM_Raw!D573="DACH","DACH",IF(ISNUMBER(SEARCH("uk",CRM_Raw!D573)),"UK &amp; Ireland",PROPER(CRM_Raw!D573)))</f>
        <v>North America</v>
      </c>
      <c r="E573" s="0" t="str">
        <f aca="false">CRM_Raw!E573</f>
        <v>Dishwashers</v>
      </c>
      <c r="F573" s="0" t="str">
        <f aca="false">CRM_Raw!F573</f>
        <v>Paid Search</v>
      </c>
      <c r="G573" s="0" t="str">
        <f aca="false">IF(TRIM(CRM_Raw!G573)="","Unassigned",CRM_Raw!G573)</f>
        <v>L. Dubois</v>
      </c>
      <c r="H573" s="0" t="str">
        <f aca="false">CRM_Raw!H573</f>
        <v>Negotiation</v>
      </c>
      <c r="I573" s="10" t="n">
        <f aca="false">CRM_Raw!I573</f>
        <v>782.99</v>
      </c>
      <c r="J573" s="11" t="n">
        <f aca="false">CRM_Raw!J573</f>
        <v>0.15</v>
      </c>
      <c r="K573" s="10" t="n">
        <f aca="false">I573*(1-J573)</f>
        <v>665.5415</v>
      </c>
      <c r="L573" s="12" t="n">
        <f aca="false">CRM_Raw!K573</f>
        <v>0</v>
      </c>
      <c r="M573" s="12" t="n">
        <f aca="false">IF(H573="Closed Won",1,0)</f>
        <v>0</v>
      </c>
    </row>
    <row r="574" customFormat="false" ht="15" hidden="false" customHeight="false" outlineLevel="0" collapsed="false">
      <c r="A574" s="0" t="str">
        <f aca="false">CRM_Raw!A574</f>
        <v>D-10570</v>
      </c>
      <c r="B574" s="0" t="str">
        <f aca="false">CRM_Raw!B574</f>
        <v>2025-02-12</v>
      </c>
      <c r="C574" s="0" t="str">
        <f aca="false">CRM_Raw!C574</f>
        <v>2025-02-24</v>
      </c>
      <c r="D574" s="0" t="str">
        <f aca="false">IF(CRM_Raw!D574="DACH","DACH",IF(ISNUMBER(SEARCH("uk",CRM_Raw!D574)),"UK &amp; Ireland",PROPER(CRM_Raw!D574)))</f>
        <v>North America</v>
      </c>
      <c r="E574" s="0" t="str">
        <f aca="false">CRM_Raw!E574</f>
        <v>Small Kitchen Appliances</v>
      </c>
      <c r="F574" s="0" t="str">
        <f aca="false">CRM_Raw!F574</f>
        <v>Paid Search</v>
      </c>
      <c r="G574" s="0" t="str">
        <f aca="false">IF(TRIM(CRM_Raw!G574)="","Unassigned",CRM_Raw!G574)</f>
        <v>J. Murphy</v>
      </c>
      <c r="H574" s="0" t="str">
        <f aca="false">CRM_Raw!H574</f>
        <v>Closed Won</v>
      </c>
      <c r="I574" s="10" t="n">
        <f aca="false">CRM_Raw!I574</f>
        <v>126.41</v>
      </c>
      <c r="J574" s="11" t="n">
        <f aca="false">CRM_Raw!J574</f>
        <v>0.1</v>
      </c>
      <c r="K574" s="10" t="n">
        <f aca="false">I574*(1-J574)</f>
        <v>113.769</v>
      </c>
      <c r="L574" s="12" t="n">
        <f aca="false">CRM_Raw!K574</f>
        <v>12</v>
      </c>
      <c r="M574" s="12" t="n">
        <f aca="false">IF(H574="Closed Won",1,0)</f>
        <v>1</v>
      </c>
    </row>
    <row r="575" customFormat="false" ht="15" hidden="false" customHeight="false" outlineLevel="0" collapsed="false">
      <c r="A575" s="0" t="str">
        <f aca="false">CRM_Raw!A575</f>
        <v>D-10571</v>
      </c>
      <c r="B575" s="0" t="str">
        <f aca="false">CRM_Raw!B575</f>
        <v>2026-04-02</v>
      </c>
      <c r="C575" s="0" t="n">
        <f aca="false">CRM_Raw!C575</f>
        <v>0</v>
      </c>
      <c r="D575" s="0" t="str">
        <f aca="false">IF(CRM_Raw!D575="DACH","DACH",IF(ISNUMBER(SEARCH("uk",CRM_Raw!D575)),"UK &amp; Ireland",PROPER(CRM_Raw!D575)))</f>
        <v>Southern Europe</v>
      </c>
      <c r="E575" s="0" t="str">
        <f aca="false">CRM_Raw!E575</f>
        <v>Coffee Systems</v>
      </c>
      <c r="F575" s="0" t="str">
        <f aca="false">CRM_Raw!F575</f>
        <v>Web-shop Organic</v>
      </c>
      <c r="G575" s="0" t="str">
        <f aca="false">IF(TRIM(CRM_Raw!G575)="","Unassigned",CRM_Raw!G575)</f>
        <v>K. Nilsson</v>
      </c>
      <c r="H575" s="0" t="str">
        <f aca="false">CRM_Raw!H575</f>
        <v>Proposal Sent</v>
      </c>
      <c r="I575" s="10" t="n">
        <f aca="false">CRM_Raw!I575</f>
        <v>539.29</v>
      </c>
      <c r="J575" s="11" t="n">
        <f aca="false">CRM_Raw!J575</f>
        <v>0</v>
      </c>
      <c r="K575" s="10" t="n">
        <f aca="false">I575*(1-J575)</f>
        <v>539.29</v>
      </c>
      <c r="L575" s="12" t="n">
        <f aca="false">CRM_Raw!K575</f>
        <v>0</v>
      </c>
      <c r="M575" s="12" t="n">
        <f aca="false">IF(H575="Closed Won",1,0)</f>
        <v>0</v>
      </c>
    </row>
    <row r="576" customFormat="false" ht="15" hidden="false" customHeight="false" outlineLevel="0" collapsed="false">
      <c r="A576" s="0" t="str">
        <f aca="false">CRM_Raw!A576</f>
        <v>D-10572</v>
      </c>
      <c r="B576" s="0" t="str">
        <f aca="false">CRM_Raw!B576</f>
        <v>2025-05-16</v>
      </c>
      <c r="C576" s="0" t="str">
        <f aca="false">CRM_Raw!C576</f>
        <v>2025-05-22</v>
      </c>
      <c r="D576" s="0" t="str">
        <f aca="false">IF(CRM_Raw!D576="DACH","DACH",IF(ISNUMBER(SEARCH("uk",CRM_Raw!D576)),"UK &amp; Ireland",PROPER(CRM_Raw!D576)))</f>
        <v>Benelux</v>
      </c>
      <c r="E576" s="0" t="str">
        <f aca="false">CRM_Raw!E576</f>
        <v>Cordless Vacuums</v>
      </c>
      <c r="F576" s="0" t="str">
        <f aca="false">CRM_Raw!F576</f>
        <v>Email Campaign</v>
      </c>
      <c r="G576" s="0" t="str">
        <f aca="false">IF(TRIM(CRM_Raw!G576)="","Unassigned",CRM_Raw!G576)</f>
        <v>M. Hoffmann</v>
      </c>
      <c r="H576" s="0" t="str">
        <f aca="false">CRM_Raw!H576</f>
        <v>Closed Won</v>
      </c>
      <c r="I576" s="10" t="n">
        <f aca="false">CRM_Raw!I576</f>
        <v>369.93</v>
      </c>
      <c r="J576" s="11" t="n">
        <f aca="false">CRM_Raw!J576</f>
        <v>0</v>
      </c>
      <c r="K576" s="10" t="n">
        <f aca="false">I576*(1-J576)</f>
        <v>369.93</v>
      </c>
      <c r="L576" s="12" t="n">
        <f aca="false">CRM_Raw!K576</f>
        <v>6</v>
      </c>
      <c r="M576" s="12" t="n">
        <f aca="false">IF(H576="Closed Won",1,0)</f>
        <v>1</v>
      </c>
    </row>
    <row r="577" customFormat="false" ht="15" hidden="false" customHeight="false" outlineLevel="0" collapsed="false">
      <c r="A577" s="0" t="str">
        <f aca="false">CRM_Raw!A577</f>
        <v>D-10573</v>
      </c>
      <c r="B577" s="0" t="str">
        <f aca="false">CRM_Raw!B577</f>
        <v>2025-05-19</v>
      </c>
      <c r="C577" s="0" t="str">
        <f aca="false">CRM_Raw!C577</f>
        <v>2025-06-11</v>
      </c>
      <c r="D577" s="0" t="str">
        <f aca="false">IF(CRM_Raw!D577="DACH","DACH",IF(ISNUMBER(SEARCH("uk",CRM_Raw!D577)),"UK &amp; Ireland",PROPER(CRM_Raw!D577)))</f>
        <v>Benelux</v>
      </c>
      <c r="E577" s="0" t="str">
        <f aca="false">CRM_Raw!E577</f>
        <v>Washing Machines</v>
      </c>
      <c r="F577" s="0" t="str">
        <f aca="false">CRM_Raw!F577</f>
        <v>Paid Search</v>
      </c>
      <c r="G577" s="0" t="str">
        <f aca="false">IF(TRIM(CRM_Raw!G577)="","Unassigned",CRM_Raw!G577)</f>
        <v>M. Hoffmann</v>
      </c>
      <c r="H577" s="0" t="str">
        <f aca="false">CRM_Raw!H577</f>
        <v>Closed Lost</v>
      </c>
      <c r="I577" s="10" t="n">
        <f aca="false">CRM_Raw!I577</f>
        <v>1252</v>
      </c>
      <c r="J577" s="11" t="n">
        <f aca="false">CRM_Raw!J577</f>
        <v>0.15</v>
      </c>
      <c r="K577" s="10" t="n">
        <f aca="false">I577*(1-J577)</f>
        <v>1064.2</v>
      </c>
      <c r="L577" s="12" t="n">
        <f aca="false">CRM_Raw!K577</f>
        <v>23</v>
      </c>
      <c r="M577" s="12" t="n">
        <f aca="false">IF(H577="Closed Won",1,0)</f>
        <v>0</v>
      </c>
    </row>
    <row r="578" customFormat="false" ht="15" hidden="false" customHeight="false" outlineLevel="0" collapsed="false">
      <c r="A578" s="0" t="str">
        <f aca="false">CRM_Raw!A578</f>
        <v>D-10574</v>
      </c>
      <c r="B578" s="0" t="str">
        <f aca="false">CRM_Raw!B578</f>
        <v>2025-09-06</v>
      </c>
      <c r="C578" s="0" t="str">
        <f aca="false">CRM_Raw!C578</f>
        <v>2025-09-28</v>
      </c>
      <c r="D578" s="0" t="str">
        <f aca="false">IF(CRM_Raw!D578="DACH","DACH",IF(ISNUMBER(SEARCH("uk",CRM_Raw!D578)),"UK &amp; Ireland",PROPER(CRM_Raw!D578)))</f>
        <v>Nordics</v>
      </c>
      <c r="E578" s="0" t="str">
        <f aca="false">CRM_Raw!E578</f>
        <v>Coffee Systems</v>
      </c>
      <c r="F578" s="0" t="str">
        <f aca="false">CRM_Raw!F578</f>
        <v>Social Media Ads</v>
      </c>
      <c r="G578" s="0" t="str">
        <f aca="false">IF(TRIM(CRM_Raw!G578)="","Unassigned",CRM_Raw!G578)</f>
        <v>S. Andersson</v>
      </c>
      <c r="H578" s="0" t="str">
        <f aca="false">CRM_Raw!H578</f>
        <v>Closed Won</v>
      </c>
      <c r="I578" s="10" t="n">
        <f aca="false">CRM_Raw!I578</f>
        <v>583.34</v>
      </c>
      <c r="J578" s="11" t="n">
        <f aca="false">CRM_Raw!J578</f>
        <v>0</v>
      </c>
      <c r="K578" s="10" t="n">
        <f aca="false">I578*(1-J578)</f>
        <v>583.34</v>
      </c>
      <c r="L578" s="12" t="n">
        <f aca="false">CRM_Raw!K578</f>
        <v>22</v>
      </c>
      <c r="M578" s="12" t="n">
        <f aca="false">IF(H578="Closed Won",1,0)</f>
        <v>1</v>
      </c>
    </row>
    <row r="579" customFormat="false" ht="15" hidden="false" customHeight="false" outlineLevel="0" collapsed="false">
      <c r="A579" s="0" t="str">
        <f aca="false">CRM_Raw!A579</f>
        <v>D-10575</v>
      </c>
      <c r="B579" s="0" t="str">
        <f aca="false">CRM_Raw!B579</f>
        <v>2025-07-15</v>
      </c>
      <c r="C579" s="0" t="str">
        <f aca="false">CRM_Raw!C579</f>
        <v>2025-07-28</v>
      </c>
      <c r="D579" s="0" t="str">
        <f aca="false">IF(CRM_Raw!D579="DACH","DACH",IF(ISNUMBER(SEARCH("uk",CRM_Raw!D579)),"UK &amp; Ireland",PROPER(CRM_Raw!D579)))</f>
        <v>Southern Europe</v>
      </c>
      <c r="E579" s="0" t="str">
        <f aca="false">CRM_Raw!E579</f>
        <v>Dishwashers</v>
      </c>
      <c r="F579" s="0" t="str">
        <f aca="false">CRM_Raw!F579</f>
        <v>Paid Search</v>
      </c>
      <c r="G579" s="0" t="str">
        <f aca="false">IF(TRIM(CRM_Raw!G579)="","Unassigned",CRM_Raw!G579)</f>
        <v>P. Rossi</v>
      </c>
      <c r="H579" s="0" t="str">
        <f aca="false">CRM_Raw!H579</f>
        <v>Closed Won</v>
      </c>
      <c r="I579" s="10" t="n">
        <f aca="false">CRM_Raw!I579</f>
        <v>738.96</v>
      </c>
      <c r="J579" s="11" t="n">
        <f aca="false">CRM_Raw!J579</f>
        <v>0.2</v>
      </c>
      <c r="K579" s="10" t="n">
        <f aca="false">I579*(1-J579)</f>
        <v>591.168</v>
      </c>
      <c r="L579" s="12" t="n">
        <f aca="false">CRM_Raw!K579</f>
        <v>13</v>
      </c>
      <c r="M579" s="12" t="n">
        <f aca="false">IF(H579="Closed Won",1,0)</f>
        <v>1</v>
      </c>
    </row>
    <row r="580" customFormat="false" ht="15" hidden="false" customHeight="false" outlineLevel="0" collapsed="false">
      <c r="A580" s="0" t="str">
        <f aca="false">CRM_Raw!A580</f>
        <v>D-10576</v>
      </c>
      <c r="B580" s="0" t="str">
        <f aca="false">CRM_Raw!B580</f>
        <v>2025-05-30</v>
      </c>
      <c r="C580" s="0" t="str">
        <f aca="false">CRM_Raw!C580</f>
        <v>2025-06-25</v>
      </c>
      <c r="D580" s="0" t="str">
        <f aca="false">IF(CRM_Raw!D580="DACH","DACH",IF(ISNUMBER(SEARCH("uk",CRM_Raw!D580)),"UK &amp; Ireland",PROPER(CRM_Raw!D580)))</f>
        <v>France</v>
      </c>
      <c r="E580" s="0" t="str">
        <f aca="false">CRM_Raw!E580</f>
        <v>Coffee Systems</v>
      </c>
      <c r="F580" s="0" t="str">
        <f aca="false">CRM_Raw!F580</f>
        <v>Trade Show</v>
      </c>
      <c r="G580" s="0" t="str">
        <f aca="false">IF(TRIM(CRM_Raw!G580)="","Unassigned",CRM_Raw!G580)</f>
        <v>T. Wagner</v>
      </c>
      <c r="H580" s="0" t="str">
        <f aca="false">CRM_Raw!H580</f>
        <v>Closed Lost</v>
      </c>
      <c r="I580" s="10" t="n">
        <f aca="false">CRM_Raw!I580</f>
        <v>553.19</v>
      </c>
      <c r="J580" s="11" t="n">
        <f aca="false">CRM_Raw!J580</f>
        <v>0.2</v>
      </c>
      <c r="K580" s="10" t="n">
        <f aca="false">I580*(1-J580)</f>
        <v>442.552</v>
      </c>
      <c r="L580" s="12" t="n">
        <f aca="false">CRM_Raw!K580</f>
        <v>26</v>
      </c>
      <c r="M580" s="12" t="n">
        <f aca="false">IF(H580="Closed Won",1,0)</f>
        <v>0</v>
      </c>
    </row>
    <row r="581" customFormat="false" ht="15" hidden="false" customHeight="false" outlineLevel="0" collapsed="false">
      <c r="A581" s="0" t="str">
        <f aca="false">CRM_Raw!A581</f>
        <v>D-10577</v>
      </c>
      <c r="B581" s="0" t="str">
        <f aca="false">CRM_Raw!B581</f>
        <v>2025-09-06</v>
      </c>
      <c r="C581" s="0" t="n">
        <f aca="false">CRM_Raw!C581</f>
        <v>0</v>
      </c>
      <c r="D581" s="0" t="str">
        <f aca="false">IF(CRM_Raw!D581="DACH","DACH",IF(ISNUMBER(SEARCH("uk",CRM_Raw!D581)),"UK &amp; Ireland",PROPER(CRM_Raw!D581)))</f>
        <v>Southern Europe</v>
      </c>
      <c r="E581" s="0" t="str">
        <f aca="false">CRM_Raw!E581</f>
        <v>Smart Ovens</v>
      </c>
      <c r="F581" s="0" t="str">
        <f aca="false">CRM_Raw!F581</f>
        <v>Web-shop Organic</v>
      </c>
      <c r="G581" s="0" t="str">
        <f aca="false">IF(TRIM(CRM_Raw!G581)="","Unassigned",CRM_Raw!G581)</f>
        <v>A. Becker</v>
      </c>
      <c r="H581" s="0" t="str">
        <f aca="false">CRM_Raw!H581</f>
        <v>Qualified</v>
      </c>
      <c r="I581" s="10" t="n">
        <f aca="false">CRM_Raw!I581</f>
        <v>955.77</v>
      </c>
      <c r="J581" s="11" t="n">
        <f aca="false">CRM_Raw!J581</f>
        <v>0</v>
      </c>
      <c r="K581" s="10" t="n">
        <f aca="false">I581*(1-J581)</f>
        <v>955.77</v>
      </c>
      <c r="L581" s="12" t="n">
        <f aca="false">CRM_Raw!K581</f>
        <v>0</v>
      </c>
      <c r="M581" s="12" t="n">
        <f aca="false">IF(H581="Closed Won",1,0)</f>
        <v>0</v>
      </c>
    </row>
    <row r="582" customFormat="false" ht="15" hidden="false" customHeight="false" outlineLevel="0" collapsed="false">
      <c r="A582" s="0" t="str">
        <f aca="false">CRM_Raw!A582</f>
        <v>D-10578</v>
      </c>
      <c r="B582" s="0" t="str">
        <f aca="false">CRM_Raw!B582</f>
        <v>2026-04-06</v>
      </c>
      <c r="C582" s="0" t="str">
        <f aca="false">CRM_Raw!C582</f>
        <v>2026-04-23</v>
      </c>
      <c r="D582" s="0" t="str">
        <f aca="false">IF(CRM_Raw!D582="DACH","DACH",IF(ISNUMBER(SEARCH("uk",CRM_Raw!D582)),"UK &amp; Ireland",PROPER(CRM_Raw!D582)))</f>
        <v>France</v>
      </c>
      <c r="E582" s="0" t="str">
        <f aca="false">CRM_Raw!E582</f>
        <v>Small Kitchen Appliances</v>
      </c>
      <c r="F582" s="0" t="str">
        <f aca="false">CRM_Raw!F582</f>
        <v>Email Campaign</v>
      </c>
      <c r="G582" s="0" t="str">
        <f aca="false">IF(TRIM(CRM_Raw!G582)="","Unassigned",CRM_Raw!G582)</f>
        <v>J. Murphy</v>
      </c>
      <c r="H582" s="0" t="str">
        <f aca="false">CRM_Raw!H582</f>
        <v>Closed Lost</v>
      </c>
      <c r="I582" s="10" t="n">
        <f aca="false">CRM_Raw!I582</f>
        <v>358.49</v>
      </c>
      <c r="J582" s="11" t="n">
        <f aca="false">CRM_Raw!J582</f>
        <v>0</v>
      </c>
      <c r="K582" s="10" t="n">
        <f aca="false">I582*(1-J582)</f>
        <v>358.49</v>
      </c>
      <c r="L582" s="12" t="n">
        <f aca="false">CRM_Raw!K582</f>
        <v>17</v>
      </c>
      <c r="M582" s="12" t="n">
        <f aca="false">IF(H582="Closed Won",1,0)</f>
        <v>0</v>
      </c>
    </row>
    <row r="583" customFormat="false" ht="15" hidden="false" customHeight="false" outlineLevel="0" collapsed="false">
      <c r="A583" s="0" t="str">
        <f aca="false">CRM_Raw!A583</f>
        <v>D-10579</v>
      </c>
      <c r="B583" s="0" t="str">
        <f aca="false">CRM_Raw!B583</f>
        <v>2026-05-10</v>
      </c>
      <c r="C583" s="0" t="str">
        <f aca="false">CRM_Raw!C583</f>
        <v>2026-06-01</v>
      </c>
      <c r="D583" s="0" t="str">
        <f aca="false">IF(CRM_Raw!D583="DACH","DACH",IF(ISNUMBER(SEARCH("uk",CRM_Raw!D583)),"UK &amp; Ireland",PROPER(CRM_Raw!D583)))</f>
        <v>UK &amp; Ireland</v>
      </c>
      <c r="E583" s="0" t="str">
        <f aca="false">CRM_Raw!E583</f>
        <v>Washing Machines</v>
      </c>
      <c r="F583" s="0" t="str">
        <f aca="false">CRM_Raw!F583</f>
        <v>Social Media Ads</v>
      </c>
      <c r="G583" s="0" t="str">
        <f aca="false">IF(TRIM(CRM_Raw!G583)="","Unassigned",CRM_Raw!G583)</f>
        <v>J. Murphy</v>
      </c>
      <c r="H583" s="0" t="str">
        <f aca="false">CRM_Raw!H583</f>
        <v>Closed Lost</v>
      </c>
      <c r="I583" s="10" t="n">
        <f aca="false">CRM_Raw!I583</f>
        <v>1403.17</v>
      </c>
      <c r="J583" s="11" t="n">
        <f aca="false">CRM_Raw!J583</f>
        <v>0.1</v>
      </c>
      <c r="K583" s="10" t="n">
        <f aca="false">I583*(1-J583)</f>
        <v>1262.853</v>
      </c>
      <c r="L583" s="12" t="n">
        <f aca="false">CRM_Raw!K583</f>
        <v>34</v>
      </c>
      <c r="M583" s="12" t="n">
        <f aca="false">IF(H583="Closed Won",1,0)</f>
        <v>0</v>
      </c>
    </row>
    <row r="584" customFormat="false" ht="15" hidden="false" customHeight="false" outlineLevel="0" collapsed="false">
      <c r="A584" s="0" t="str">
        <f aca="false">CRM_Raw!A584</f>
        <v>D-10580</v>
      </c>
      <c r="B584" s="0" t="str">
        <f aca="false">CRM_Raw!B584</f>
        <v>2025-03-03</v>
      </c>
      <c r="C584" s="0" t="str">
        <f aca="false">CRM_Raw!C584</f>
        <v>2025-03-23</v>
      </c>
      <c r="D584" s="0" t="str">
        <f aca="false">IF(CRM_Raw!D584="DACH","DACH",IF(ISNUMBER(SEARCH("uk",CRM_Raw!D584)),"UK &amp; Ireland",PROPER(CRM_Raw!D584)))</f>
        <v>Southern Europe</v>
      </c>
      <c r="E584" s="0" t="str">
        <f aca="false">CRM_Raw!E584</f>
        <v>Washing Machines</v>
      </c>
      <c r="F584" s="0" t="str">
        <f aca="false">CRM_Raw!F584</f>
        <v>Web-shop Organic</v>
      </c>
      <c r="G584" s="0" t="str">
        <f aca="false">IF(TRIM(CRM_Raw!G584)="","Unassigned",CRM_Raw!G584)</f>
        <v>M. Hoffmann</v>
      </c>
      <c r="H584" s="0" t="str">
        <f aca="false">CRM_Raw!H584</f>
        <v>Closed Won</v>
      </c>
      <c r="I584" s="10" t="n">
        <f aca="false">CRM_Raw!I584</f>
        <v>2163.08</v>
      </c>
      <c r="J584" s="11" t="n">
        <f aca="false">CRM_Raw!J584</f>
        <v>0</v>
      </c>
      <c r="K584" s="10" t="n">
        <f aca="false">I584*(1-J584)</f>
        <v>2163.08</v>
      </c>
      <c r="L584" s="12" t="n">
        <f aca="false">CRM_Raw!K584</f>
        <v>20</v>
      </c>
      <c r="M584" s="12" t="n">
        <f aca="false">IF(H584="Closed Won",1,0)</f>
        <v>1</v>
      </c>
    </row>
    <row r="585" customFormat="false" ht="15" hidden="false" customHeight="false" outlineLevel="0" collapsed="false">
      <c r="A585" s="0" t="str">
        <f aca="false">CRM_Raw!A585</f>
        <v>D-10581</v>
      </c>
      <c r="B585" s="0" t="str">
        <f aca="false">CRM_Raw!B585</f>
        <v>2025-03-10</v>
      </c>
      <c r="C585" s="0" t="str">
        <f aca="false">CRM_Raw!C585</f>
        <v>2025-03-28</v>
      </c>
      <c r="D585" s="0" t="str">
        <f aca="false">IF(CRM_Raw!D585="DACH","DACH",IF(ISNUMBER(SEARCH("uk",CRM_Raw!D585)),"UK &amp; Ireland",PROPER(CRM_Raw!D585)))</f>
        <v>DACH</v>
      </c>
      <c r="E585" s="0" t="str">
        <f aca="false">CRM_Raw!E585</f>
        <v>Dishwashers</v>
      </c>
      <c r="F585" s="0" t="str">
        <f aca="false">CRM_Raw!F585</f>
        <v>Affiliate Partner</v>
      </c>
      <c r="G585" s="0" t="str">
        <f aca="false">IF(TRIM(CRM_Raw!G585)="","Unassigned",CRM_Raw!G585)</f>
        <v>A. Becker</v>
      </c>
      <c r="H585" s="0" t="str">
        <f aca="false">CRM_Raw!H585</f>
        <v>Closed Lost</v>
      </c>
      <c r="I585" s="10" t="n">
        <f aca="false">CRM_Raw!I585</f>
        <v>750.37</v>
      </c>
      <c r="J585" s="11" t="n">
        <f aca="false">CRM_Raw!J585</f>
        <v>0</v>
      </c>
      <c r="K585" s="10" t="n">
        <f aca="false">I585*(1-J585)</f>
        <v>750.37</v>
      </c>
      <c r="L585" s="12" t="n">
        <f aca="false">CRM_Raw!K585</f>
        <v>18</v>
      </c>
      <c r="M585" s="12" t="n">
        <f aca="false">IF(H585="Closed Won",1,0)</f>
        <v>0</v>
      </c>
    </row>
    <row r="586" customFormat="false" ht="15" hidden="false" customHeight="false" outlineLevel="0" collapsed="false">
      <c r="A586" s="0" t="str">
        <f aca="false">CRM_Raw!A586</f>
        <v>D-10582</v>
      </c>
      <c r="B586" s="0" t="str">
        <f aca="false">CRM_Raw!B586</f>
        <v>2025-04-12</v>
      </c>
      <c r="C586" s="0" t="n">
        <f aca="false">CRM_Raw!C586</f>
        <v>0</v>
      </c>
      <c r="D586" s="0" t="str">
        <f aca="false">IF(CRM_Raw!D586="DACH","DACH",IF(ISNUMBER(SEARCH("uk",CRM_Raw!D586)),"UK &amp; Ireland",PROPER(CRM_Raw!D586)))</f>
        <v>France</v>
      </c>
      <c r="E586" s="0" t="str">
        <f aca="false">CRM_Raw!E586</f>
        <v>Small Kitchen Appliances</v>
      </c>
      <c r="F586" s="0" t="str">
        <f aca="false">CRM_Raw!F586</f>
        <v>Paid Search</v>
      </c>
      <c r="G586" s="0" t="str">
        <f aca="false">IF(TRIM(CRM_Raw!G586)="","Unassigned",CRM_Raw!G586)</f>
        <v>K. Nilsson</v>
      </c>
      <c r="H586" s="0" t="str">
        <f aca="false">CRM_Raw!H586</f>
        <v>Qualified</v>
      </c>
      <c r="I586" s="10" t="n">
        <f aca="false">CRM_Raw!I586</f>
        <v>372.09</v>
      </c>
      <c r="J586" s="11" t="n">
        <f aca="false">CRM_Raw!J586</f>
        <v>0.1</v>
      </c>
      <c r="K586" s="10" t="n">
        <f aca="false">I586*(1-J586)</f>
        <v>334.881</v>
      </c>
      <c r="L586" s="12" t="n">
        <f aca="false">CRM_Raw!K586</f>
        <v>0</v>
      </c>
      <c r="M586" s="12" t="n">
        <f aca="false">IF(H586="Closed Won",1,0)</f>
        <v>0</v>
      </c>
    </row>
    <row r="587" customFormat="false" ht="15" hidden="false" customHeight="false" outlineLevel="0" collapsed="false">
      <c r="A587" s="0" t="str">
        <f aca="false">CRM_Raw!A587</f>
        <v>D-10583</v>
      </c>
      <c r="B587" s="0" t="str">
        <f aca="false">CRM_Raw!B587</f>
        <v>2025-01-23</v>
      </c>
      <c r="C587" s="0" t="str">
        <f aca="false">CRM_Raw!C587</f>
        <v>2025-03-02</v>
      </c>
      <c r="D587" s="0" t="str">
        <f aca="false">IF(CRM_Raw!D587="DACH","DACH",IF(ISNUMBER(SEARCH("uk",CRM_Raw!D587)),"UK &amp; Ireland",PROPER(CRM_Raw!D587)))</f>
        <v>DACH</v>
      </c>
      <c r="E587" s="0" t="str">
        <f aca="false">CRM_Raw!E587</f>
        <v>Coffee Systems</v>
      </c>
      <c r="F587" s="0" t="str">
        <f aca="false">CRM_Raw!F587</f>
        <v>Web-shop Organic</v>
      </c>
      <c r="G587" s="0" t="str">
        <f aca="false">IF(TRIM(CRM_Raw!G587)="","Unassigned",CRM_Raw!G587)</f>
        <v>T. Wagner</v>
      </c>
      <c r="H587" s="0" t="str">
        <f aca="false">CRM_Raw!H587</f>
        <v>Closed Won</v>
      </c>
      <c r="I587" s="10" t="n">
        <f aca="false">CRM_Raw!I587</f>
        <v>583.11</v>
      </c>
      <c r="J587" s="11" t="n">
        <f aca="false">CRM_Raw!J587</f>
        <v>0</v>
      </c>
      <c r="K587" s="10" t="n">
        <f aca="false">I587*(1-J587)</f>
        <v>583.11</v>
      </c>
      <c r="L587" s="12" t="n">
        <f aca="false">CRM_Raw!K587</f>
        <v>38</v>
      </c>
      <c r="M587" s="12" t="n">
        <f aca="false">IF(H587="Closed Won",1,0)</f>
        <v>1</v>
      </c>
    </row>
    <row r="588" customFormat="false" ht="15" hidden="false" customHeight="false" outlineLevel="0" collapsed="false">
      <c r="A588" s="0" t="str">
        <f aca="false">CRM_Raw!A588</f>
        <v>D-10584</v>
      </c>
      <c r="B588" s="0" t="str">
        <f aca="false">CRM_Raw!B588</f>
        <v>2025-12-22</v>
      </c>
      <c r="C588" s="0" t="n">
        <f aca="false">CRM_Raw!C588</f>
        <v>0</v>
      </c>
      <c r="D588" s="0" t="str">
        <f aca="false">IF(CRM_Raw!D588="DACH","DACH",IF(ISNUMBER(SEARCH("uk",CRM_Raw!D588)),"UK &amp; Ireland",PROPER(CRM_Raw!D588)))</f>
        <v>Benelux</v>
      </c>
      <c r="E588" s="0" t="str">
        <f aca="false">CRM_Raw!E588</f>
        <v>Dishwashers</v>
      </c>
      <c r="F588" s="0" t="str">
        <f aca="false">CRM_Raw!F588</f>
        <v>Affiliate Partner</v>
      </c>
      <c r="G588" s="0" t="str">
        <f aca="false">IF(TRIM(CRM_Raw!G588)="","Unassigned",CRM_Raw!G588)</f>
        <v>A. Becker</v>
      </c>
      <c r="H588" s="0" t="str">
        <f aca="false">CRM_Raw!H588</f>
        <v>Negotiation</v>
      </c>
      <c r="I588" s="10" t="n">
        <f aca="false">CRM_Raw!I588</f>
        <v>697.87</v>
      </c>
      <c r="J588" s="11" t="n">
        <f aca="false">CRM_Raw!J588</f>
        <v>0</v>
      </c>
      <c r="K588" s="10" t="n">
        <f aca="false">I588*(1-J588)</f>
        <v>697.87</v>
      </c>
      <c r="L588" s="12" t="n">
        <f aca="false">CRM_Raw!K588</f>
        <v>0</v>
      </c>
      <c r="M588" s="12" t="n">
        <f aca="false">IF(H588="Closed Won",1,0)</f>
        <v>0</v>
      </c>
    </row>
    <row r="589" customFormat="false" ht="15" hidden="false" customHeight="false" outlineLevel="0" collapsed="false">
      <c r="A589" s="0" t="str">
        <f aca="false">CRM_Raw!A589</f>
        <v>D-10585</v>
      </c>
      <c r="B589" s="0" t="str">
        <f aca="false">CRM_Raw!B589</f>
        <v>2026-02-01</v>
      </c>
      <c r="C589" s="0" t="n">
        <f aca="false">CRM_Raw!C589</f>
        <v>0</v>
      </c>
      <c r="D589" s="0" t="str">
        <f aca="false">IF(CRM_Raw!D589="DACH","DACH",IF(ISNUMBER(SEARCH("uk",CRM_Raw!D589)),"UK &amp; Ireland",PROPER(CRM_Raw!D589)))</f>
        <v>Nordics</v>
      </c>
      <c r="E589" s="0" t="str">
        <f aca="false">CRM_Raw!E589</f>
        <v>Cordless Vacuums</v>
      </c>
      <c r="F589" s="0" t="str">
        <f aca="false">CRM_Raw!F589</f>
        <v>Email Campaign</v>
      </c>
      <c r="G589" s="0" t="str">
        <f aca="false">IF(TRIM(CRM_Raw!G589)="","Unassigned",CRM_Raw!G589)</f>
        <v>J. Murphy</v>
      </c>
      <c r="H589" s="0" t="str">
        <f aca="false">CRM_Raw!H589</f>
        <v>Qualified</v>
      </c>
      <c r="I589" s="10" t="n">
        <f aca="false">CRM_Raw!I589</f>
        <v>393.18</v>
      </c>
      <c r="J589" s="11" t="n">
        <f aca="false">CRM_Raw!J589</f>
        <v>0.1</v>
      </c>
      <c r="K589" s="10" t="n">
        <f aca="false">I589*(1-J589)</f>
        <v>353.862</v>
      </c>
      <c r="L589" s="12" t="n">
        <f aca="false">CRM_Raw!K589</f>
        <v>0</v>
      </c>
      <c r="M589" s="12" t="n">
        <f aca="false">IF(H589="Closed Won",1,0)</f>
        <v>0</v>
      </c>
    </row>
    <row r="590" customFormat="false" ht="15" hidden="false" customHeight="false" outlineLevel="0" collapsed="false">
      <c r="A590" s="0" t="str">
        <f aca="false">CRM_Raw!A590</f>
        <v>D-10586</v>
      </c>
      <c r="B590" s="0" t="str">
        <f aca="false">CRM_Raw!B590</f>
        <v>2025-05-21</v>
      </c>
      <c r="C590" s="0" t="str">
        <f aca="false">CRM_Raw!C590</f>
        <v>2025-05-25</v>
      </c>
      <c r="D590" s="0" t="str">
        <f aca="false">IF(CRM_Raw!D590="DACH","DACH",IF(ISNUMBER(SEARCH("uk",CRM_Raw!D590)),"UK &amp; Ireland",PROPER(CRM_Raw!D590)))</f>
        <v>France</v>
      </c>
      <c r="E590" s="0" t="str">
        <f aca="false">CRM_Raw!E590</f>
        <v>Coffee Systems</v>
      </c>
      <c r="F590" s="0" t="str">
        <f aca="false">CRM_Raw!F590</f>
        <v>Web-shop Organic</v>
      </c>
      <c r="G590" s="0" t="str">
        <f aca="false">IF(TRIM(CRM_Raw!G590)="","Unassigned",CRM_Raw!G590)</f>
        <v>K. Nilsson</v>
      </c>
      <c r="H590" s="0" t="str">
        <f aca="false">CRM_Raw!H590</f>
        <v>Closed Won</v>
      </c>
      <c r="I590" s="10" t="n">
        <f aca="false">CRM_Raw!I590</f>
        <v>543.98</v>
      </c>
      <c r="J590" s="11" t="n">
        <f aca="false">CRM_Raw!J590</f>
        <v>0.05</v>
      </c>
      <c r="K590" s="10" t="n">
        <f aca="false">I590*(1-J590)</f>
        <v>516.781</v>
      </c>
      <c r="L590" s="12" t="n">
        <f aca="false">CRM_Raw!K590</f>
        <v>4</v>
      </c>
      <c r="M590" s="12" t="n">
        <f aca="false">IF(H590="Closed Won",1,0)</f>
        <v>1</v>
      </c>
    </row>
    <row r="591" customFormat="false" ht="15" hidden="false" customHeight="false" outlineLevel="0" collapsed="false">
      <c r="A591" s="0" t="str">
        <f aca="false">CRM_Raw!A591</f>
        <v>D-10587</v>
      </c>
      <c r="B591" s="0" t="str">
        <f aca="false">CRM_Raw!B591</f>
        <v>2025-12-04</v>
      </c>
      <c r="C591" s="0" t="str">
        <f aca="false">CRM_Raw!C591</f>
        <v>2026-01-09</v>
      </c>
      <c r="D591" s="0" t="str">
        <f aca="false">IF(CRM_Raw!D591="DACH","DACH",IF(ISNUMBER(SEARCH("uk",CRM_Raw!D591)),"UK &amp; Ireland",PROPER(CRM_Raw!D591)))</f>
        <v>UK &amp; Ireland</v>
      </c>
      <c r="E591" s="0" t="str">
        <f aca="false">CRM_Raw!E591</f>
        <v>Washing Machines</v>
      </c>
      <c r="F591" s="0" t="str">
        <f aca="false">CRM_Raw!F591</f>
        <v>Web-shop Organic</v>
      </c>
      <c r="G591" s="0" t="str">
        <f aca="false">IF(TRIM(CRM_Raw!G591)="","Unassigned",CRM_Raw!G591)</f>
        <v>J. Murphy</v>
      </c>
      <c r="H591" s="0" t="str">
        <f aca="false">CRM_Raw!H591</f>
        <v>Closed Lost</v>
      </c>
      <c r="I591" s="10" t="n">
        <f aca="false">CRM_Raw!I591</f>
        <v>615.34</v>
      </c>
      <c r="J591" s="11" t="n">
        <f aca="false">CRM_Raw!J591</f>
        <v>0.1</v>
      </c>
      <c r="K591" s="10" t="n">
        <f aca="false">I591*(1-J591)</f>
        <v>553.806</v>
      </c>
      <c r="L591" s="12" t="n">
        <f aca="false">CRM_Raw!K591</f>
        <v>36</v>
      </c>
      <c r="M591" s="12" t="n">
        <f aca="false">IF(H591="Closed Won",1,0)</f>
        <v>0</v>
      </c>
    </row>
    <row r="592" customFormat="false" ht="15" hidden="false" customHeight="false" outlineLevel="0" collapsed="false">
      <c r="A592" s="0" t="str">
        <f aca="false">CRM_Raw!A592</f>
        <v>D-10588</v>
      </c>
      <c r="B592" s="0" t="str">
        <f aca="false">CRM_Raw!B592</f>
        <v>2025-11-13</v>
      </c>
      <c r="C592" s="0" t="n">
        <f aca="false">CRM_Raw!C592</f>
        <v>0</v>
      </c>
      <c r="D592" s="0" t="str">
        <f aca="false">IF(CRM_Raw!D592="DACH","DACH",IF(ISNUMBER(SEARCH("uk",CRM_Raw!D592)),"UK &amp; Ireland",PROPER(CRM_Raw!D592)))</f>
        <v>Nordics</v>
      </c>
      <c r="E592" s="0" t="str">
        <f aca="false">CRM_Raw!E592</f>
        <v>Small Kitchen Appliances</v>
      </c>
      <c r="F592" s="0" t="str">
        <f aca="false">CRM_Raw!F592</f>
        <v>Email Campaign</v>
      </c>
      <c r="G592" s="0" t="str">
        <f aca="false">IF(TRIM(CRM_Raw!G592)="","Unassigned",CRM_Raw!G592)</f>
        <v>M. Hoffmann</v>
      </c>
      <c r="H592" s="0" t="str">
        <f aca="false">CRM_Raw!H592</f>
        <v>Negotiation</v>
      </c>
      <c r="I592" s="10" t="n">
        <f aca="false">CRM_Raw!I592</f>
        <v>136.31</v>
      </c>
      <c r="J592" s="11" t="n">
        <f aca="false">CRM_Raw!J592</f>
        <v>0.05</v>
      </c>
      <c r="K592" s="10" t="n">
        <f aca="false">I592*(1-J592)</f>
        <v>129.4945</v>
      </c>
      <c r="L592" s="12" t="n">
        <f aca="false">CRM_Raw!K592</f>
        <v>0</v>
      </c>
      <c r="M592" s="12" t="n">
        <f aca="false">IF(H592="Closed Won",1,0)</f>
        <v>0</v>
      </c>
    </row>
    <row r="593" customFormat="false" ht="15" hidden="false" customHeight="false" outlineLevel="0" collapsed="false">
      <c r="A593" s="0" t="str">
        <f aca="false">CRM_Raw!A593</f>
        <v>D-10589</v>
      </c>
      <c r="B593" s="0" t="str">
        <f aca="false">CRM_Raw!B593</f>
        <v>2025-11-22</v>
      </c>
      <c r="C593" s="0" t="str">
        <f aca="false">CRM_Raw!C593</f>
        <v>2025-11-28</v>
      </c>
      <c r="D593" s="0" t="str">
        <f aca="false">IF(CRM_Raw!D593="DACH","DACH",IF(ISNUMBER(SEARCH("uk",CRM_Raw!D593)),"UK &amp; Ireland",PROPER(CRM_Raw!D593)))</f>
        <v>North America</v>
      </c>
      <c r="E593" s="0" t="str">
        <f aca="false">CRM_Raw!E593</f>
        <v>Coffee Systems</v>
      </c>
      <c r="F593" s="0" t="str">
        <f aca="false">CRM_Raw!F593</f>
        <v>Affiliate Partner</v>
      </c>
      <c r="G593" s="0" t="str">
        <f aca="false">IF(TRIM(CRM_Raw!G593)="","Unassigned",CRM_Raw!G593)</f>
        <v>M. Hoffmann</v>
      </c>
      <c r="H593" s="0" t="str">
        <f aca="false">CRM_Raw!H593</f>
        <v>Closed Won</v>
      </c>
      <c r="I593" s="10" t="n">
        <f aca="false">CRM_Raw!I593</f>
        <v>489.9</v>
      </c>
      <c r="J593" s="11" t="n">
        <f aca="false">CRM_Raw!J593</f>
        <v>0.15</v>
      </c>
      <c r="K593" s="10" t="n">
        <f aca="false">I593*(1-J593)</f>
        <v>416.415</v>
      </c>
      <c r="L593" s="12" t="n">
        <f aca="false">CRM_Raw!K593</f>
        <v>6</v>
      </c>
      <c r="M593" s="12" t="n">
        <f aca="false">IF(H593="Closed Won",1,0)</f>
        <v>1</v>
      </c>
    </row>
    <row r="594" customFormat="false" ht="15" hidden="false" customHeight="false" outlineLevel="0" collapsed="false">
      <c r="A594" s="0" t="str">
        <f aca="false">CRM_Raw!A594</f>
        <v>D-10590</v>
      </c>
      <c r="B594" s="0" t="str">
        <f aca="false">CRM_Raw!B594</f>
        <v>2026-02-26</v>
      </c>
      <c r="C594" s="0" t="str">
        <f aca="false">CRM_Raw!C594</f>
        <v>2026-03-16</v>
      </c>
      <c r="D594" s="0" t="str">
        <f aca="false">IF(CRM_Raw!D594="DACH","DACH",IF(ISNUMBER(SEARCH("uk",CRM_Raw!D594)),"UK &amp; Ireland",PROPER(CRM_Raw!D594)))</f>
        <v>DACH</v>
      </c>
      <c r="E594" s="0" t="str">
        <f aca="false">CRM_Raw!E594</f>
        <v>Cordless Vacuums</v>
      </c>
      <c r="F594" s="0" t="str">
        <f aca="false">CRM_Raw!F594</f>
        <v>Retail Referral</v>
      </c>
      <c r="G594" s="0" t="str">
        <f aca="false">IF(TRIM(CRM_Raw!G594)="","Unassigned",CRM_Raw!G594)</f>
        <v>K. Nilsson</v>
      </c>
      <c r="H594" s="0" t="str">
        <f aca="false">CRM_Raw!H594</f>
        <v>Closed Won</v>
      </c>
      <c r="I594" s="10" t="n">
        <f aca="false">CRM_Raw!I594</f>
        <v>387.14</v>
      </c>
      <c r="J594" s="11" t="n">
        <f aca="false">CRM_Raw!J594</f>
        <v>0</v>
      </c>
      <c r="K594" s="10" t="n">
        <f aca="false">I594*(1-J594)</f>
        <v>387.14</v>
      </c>
      <c r="L594" s="12" t="n">
        <f aca="false">CRM_Raw!K594</f>
        <v>18</v>
      </c>
      <c r="M594" s="12" t="n">
        <f aca="false">IF(H594="Closed Won",1,0)</f>
        <v>1</v>
      </c>
    </row>
    <row r="595" customFormat="false" ht="15" hidden="false" customHeight="false" outlineLevel="0" collapsed="false">
      <c r="A595" s="0" t="str">
        <f aca="false">CRM_Raw!A595</f>
        <v>D-10591</v>
      </c>
      <c r="B595" s="0" t="str">
        <f aca="false">CRM_Raw!B595</f>
        <v>2025-01-27</v>
      </c>
      <c r="C595" s="0" t="n">
        <f aca="false">CRM_Raw!C595</f>
        <v>0</v>
      </c>
      <c r="D595" s="0" t="str">
        <f aca="false">IF(CRM_Raw!D595="DACH","DACH",IF(ISNUMBER(SEARCH("uk",CRM_Raw!D595)),"UK &amp; Ireland",PROPER(CRM_Raw!D595)))</f>
        <v>North America</v>
      </c>
      <c r="E595" s="0" t="str">
        <f aca="false">CRM_Raw!E595</f>
        <v>Coffee Systems</v>
      </c>
      <c r="F595" s="0" t="str">
        <f aca="false">CRM_Raw!F595</f>
        <v>Web-shop Organic</v>
      </c>
      <c r="G595" s="0" t="str">
        <f aca="false">IF(TRIM(CRM_Raw!G595)="","Unassigned",CRM_Raw!G595)</f>
        <v>M. Hoffmann</v>
      </c>
      <c r="H595" s="0" t="str">
        <f aca="false">CRM_Raw!H595</f>
        <v>Proposal Sent</v>
      </c>
      <c r="I595" s="10" t="n">
        <f aca="false">CRM_Raw!I595</f>
        <v>543.92</v>
      </c>
      <c r="J595" s="11" t="n">
        <f aca="false">CRM_Raw!J595</f>
        <v>0.1</v>
      </c>
      <c r="K595" s="10" t="n">
        <f aca="false">I595*(1-J595)</f>
        <v>489.528</v>
      </c>
      <c r="L595" s="12" t="n">
        <f aca="false">CRM_Raw!K595</f>
        <v>0</v>
      </c>
      <c r="M595" s="12" t="n">
        <f aca="false">IF(H595="Closed Won",1,0)</f>
        <v>0</v>
      </c>
    </row>
    <row r="596" customFormat="false" ht="15" hidden="false" customHeight="false" outlineLevel="0" collapsed="false">
      <c r="A596" s="0" t="str">
        <f aca="false">CRM_Raw!A596</f>
        <v>D-10592</v>
      </c>
      <c r="B596" s="0" t="str">
        <f aca="false">CRM_Raw!B596</f>
        <v>2025-08-25</v>
      </c>
      <c r="C596" s="0" t="n">
        <f aca="false">CRM_Raw!C596</f>
        <v>0</v>
      </c>
      <c r="D596" s="0" t="str">
        <f aca="false">IF(CRM_Raw!D596="DACH","DACH",IF(ISNUMBER(SEARCH("uk",CRM_Raw!D596)),"UK &amp; Ireland",PROPER(CRM_Raw!D596)))</f>
        <v>Nordics</v>
      </c>
      <c r="E596" s="0" t="str">
        <f aca="false">CRM_Raw!E596</f>
        <v>Washing Machines</v>
      </c>
      <c r="F596" s="0" t="str">
        <f aca="false">CRM_Raw!F596</f>
        <v>Web-shop Organic</v>
      </c>
      <c r="G596" s="0" t="str">
        <f aca="false">IF(TRIM(CRM_Raw!G596)="","Unassigned",CRM_Raw!G596)</f>
        <v>S. Andersson</v>
      </c>
      <c r="H596" s="0" t="str">
        <f aca="false">CRM_Raw!H596</f>
        <v>Negotiation</v>
      </c>
      <c r="I596" s="10" t="n">
        <f aca="false">CRM_Raw!I596</f>
        <v>1303.82</v>
      </c>
      <c r="J596" s="11" t="n">
        <f aca="false">CRM_Raw!J596</f>
        <v>0</v>
      </c>
      <c r="K596" s="10" t="n">
        <f aca="false">I596*(1-J596)</f>
        <v>1303.82</v>
      </c>
      <c r="L596" s="12" t="n">
        <f aca="false">CRM_Raw!K596</f>
        <v>0</v>
      </c>
      <c r="M596" s="12" t="n">
        <f aca="false">IF(H596="Closed Won",1,0)</f>
        <v>0</v>
      </c>
    </row>
    <row r="597" customFormat="false" ht="15" hidden="false" customHeight="false" outlineLevel="0" collapsed="false">
      <c r="A597" s="0" t="str">
        <f aca="false">CRM_Raw!A597</f>
        <v>D-10593</v>
      </c>
      <c r="B597" s="0" t="str">
        <f aca="false">CRM_Raw!B597</f>
        <v>2025-07-08</v>
      </c>
      <c r="C597" s="0" t="n">
        <f aca="false">CRM_Raw!C597</f>
        <v>0</v>
      </c>
      <c r="D597" s="0" t="str">
        <f aca="false">IF(CRM_Raw!D597="DACH","DACH",IF(ISNUMBER(SEARCH("uk",CRM_Raw!D597)),"UK &amp; Ireland",PROPER(CRM_Raw!D597)))</f>
        <v>Nordics</v>
      </c>
      <c r="E597" s="0" t="str">
        <f aca="false">CRM_Raw!E597</f>
        <v>Washing Machines</v>
      </c>
      <c r="F597" s="0" t="str">
        <f aca="false">CRM_Raw!F597</f>
        <v>Social Media Ads</v>
      </c>
      <c r="G597" s="0" t="str">
        <f aca="false">IF(TRIM(CRM_Raw!G597)="","Unassigned",CRM_Raw!G597)</f>
        <v>P. Rossi</v>
      </c>
      <c r="H597" s="0" t="str">
        <f aca="false">CRM_Raw!H597</f>
        <v>Proposal Sent</v>
      </c>
      <c r="I597" s="10" t="n">
        <f aca="false">CRM_Raw!I597</f>
        <v>673.16</v>
      </c>
      <c r="J597" s="11" t="n">
        <f aca="false">CRM_Raw!J597</f>
        <v>0</v>
      </c>
      <c r="K597" s="10" t="n">
        <f aca="false">I597*(1-J597)</f>
        <v>673.16</v>
      </c>
      <c r="L597" s="12" t="n">
        <f aca="false">CRM_Raw!K597</f>
        <v>0</v>
      </c>
      <c r="M597" s="12" t="n">
        <f aca="false">IF(H597="Closed Won",1,0)</f>
        <v>0</v>
      </c>
    </row>
    <row r="598" customFormat="false" ht="15" hidden="false" customHeight="false" outlineLevel="0" collapsed="false">
      <c r="A598" s="0" t="str">
        <f aca="false">CRM_Raw!A598</f>
        <v>D-10594</v>
      </c>
      <c r="B598" s="0" t="str">
        <f aca="false">CRM_Raw!B598</f>
        <v>2025-10-04</v>
      </c>
      <c r="C598" s="0" t="n">
        <f aca="false">CRM_Raw!C598</f>
        <v>0</v>
      </c>
      <c r="D598" s="0" t="str">
        <f aca="false">IF(CRM_Raw!D598="DACH","DACH",IF(ISNUMBER(SEARCH("uk",CRM_Raw!D598)),"UK &amp; Ireland",PROPER(CRM_Raw!D598)))</f>
        <v>UK &amp; Ireland</v>
      </c>
      <c r="E598" s="0" t="str">
        <f aca="false">CRM_Raw!E598</f>
        <v>Coffee Systems</v>
      </c>
      <c r="F598" s="0" t="str">
        <f aca="false">CRM_Raw!F598</f>
        <v>Web-shop Organic</v>
      </c>
      <c r="G598" s="0" t="str">
        <f aca="false">IF(TRIM(CRM_Raw!G598)="","Unassigned",CRM_Raw!G598)</f>
        <v>A. Becker</v>
      </c>
      <c r="H598" s="0" t="str">
        <f aca="false">CRM_Raw!H598</f>
        <v>Qualified</v>
      </c>
      <c r="I598" s="10" t="n">
        <f aca="false">CRM_Raw!I598</f>
        <v>494.75</v>
      </c>
      <c r="J598" s="11" t="n">
        <f aca="false">CRM_Raw!J598</f>
        <v>0.2</v>
      </c>
      <c r="K598" s="10" t="n">
        <f aca="false">I598*(1-J598)</f>
        <v>395.8</v>
      </c>
      <c r="L598" s="12" t="n">
        <f aca="false">CRM_Raw!K598</f>
        <v>0</v>
      </c>
      <c r="M598" s="12" t="n">
        <f aca="false">IF(H598="Closed Won",1,0)</f>
        <v>0</v>
      </c>
    </row>
    <row r="599" customFormat="false" ht="15" hidden="false" customHeight="false" outlineLevel="0" collapsed="false">
      <c r="A599" s="0" t="str">
        <f aca="false">CRM_Raw!A599</f>
        <v>D-10595</v>
      </c>
      <c r="B599" s="0" t="str">
        <f aca="false">CRM_Raw!B599</f>
        <v>2026-05-17</v>
      </c>
      <c r="C599" s="0" t="n">
        <f aca="false">CRM_Raw!C599</f>
        <v>0</v>
      </c>
      <c r="D599" s="0" t="str">
        <f aca="false">IF(CRM_Raw!D599="DACH","DACH",IF(ISNUMBER(SEARCH("uk",CRM_Raw!D599)),"UK &amp; Ireland",PROPER(CRM_Raw!D599)))</f>
        <v>UK &amp; Ireland</v>
      </c>
      <c r="E599" s="0" t="str">
        <f aca="false">CRM_Raw!E599</f>
        <v>Smart Ovens</v>
      </c>
      <c r="F599" s="0" t="str">
        <f aca="false">CRM_Raw!F599</f>
        <v>Web-shop Organic</v>
      </c>
      <c r="G599" s="0" t="str">
        <f aca="false">IF(TRIM(CRM_Raw!G599)="","Unassigned",CRM_Raw!G599)</f>
        <v>T. Wagner</v>
      </c>
      <c r="H599" s="0" t="str">
        <f aca="false">CRM_Raw!H599</f>
        <v>Negotiation</v>
      </c>
      <c r="I599" s="10" t="n">
        <f aca="false">CRM_Raw!I599</f>
        <v>943.37</v>
      </c>
      <c r="J599" s="11" t="n">
        <f aca="false">CRM_Raw!J599</f>
        <v>0.05</v>
      </c>
      <c r="K599" s="10" t="n">
        <f aca="false">I599*(1-J599)</f>
        <v>896.2015</v>
      </c>
      <c r="L599" s="12" t="n">
        <f aca="false">CRM_Raw!K599</f>
        <v>0</v>
      </c>
      <c r="M599" s="12" t="n">
        <f aca="false">IF(H599="Closed Won",1,0)</f>
        <v>0</v>
      </c>
    </row>
    <row r="600" customFormat="false" ht="15" hidden="false" customHeight="false" outlineLevel="0" collapsed="false">
      <c r="A600" s="0" t="str">
        <f aca="false">CRM_Raw!A600</f>
        <v>D-10596</v>
      </c>
      <c r="B600" s="0" t="str">
        <f aca="false">CRM_Raw!B600</f>
        <v>2025-11-17</v>
      </c>
      <c r="C600" s="0" t="str">
        <f aca="false">CRM_Raw!C600</f>
        <v>2025-12-18</v>
      </c>
      <c r="D600" s="0" t="str">
        <f aca="false">IF(CRM_Raw!D600="DACH","DACH",IF(ISNUMBER(SEARCH("uk",CRM_Raw!D600)),"UK &amp; Ireland",PROPER(CRM_Raw!D600)))</f>
        <v>Benelux</v>
      </c>
      <c r="E600" s="0" t="str">
        <f aca="false">CRM_Raw!E600</f>
        <v>Smart Ovens</v>
      </c>
      <c r="F600" s="0" t="str">
        <f aca="false">CRM_Raw!F600</f>
        <v>Social Media Ads</v>
      </c>
      <c r="G600" s="0" t="str">
        <f aca="false">IF(TRIM(CRM_Raw!G600)="","Unassigned",CRM_Raw!G600)</f>
        <v>K. Nilsson</v>
      </c>
      <c r="H600" s="0" t="str">
        <f aca="false">CRM_Raw!H600</f>
        <v>Closed Lost</v>
      </c>
      <c r="I600" s="10" t="n">
        <f aca="false">CRM_Raw!I600</f>
        <v>875.01</v>
      </c>
      <c r="J600" s="11" t="n">
        <f aca="false">CRM_Raw!J600</f>
        <v>0.1</v>
      </c>
      <c r="K600" s="10" t="n">
        <f aca="false">I600*(1-J600)</f>
        <v>787.509</v>
      </c>
      <c r="L600" s="12" t="n">
        <f aca="false">CRM_Raw!K600</f>
        <v>31</v>
      </c>
      <c r="M600" s="12" t="n">
        <f aca="false">IF(H600="Closed Won",1,0)</f>
        <v>0</v>
      </c>
    </row>
    <row r="601" customFormat="false" ht="15" hidden="false" customHeight="false" outlineLevel="0" collapsed="false">
      <c r="A601" s="0" t="str">
        <f aca="false">CRM_Raw!A601</f>
        <v>D-10597</v>
      </c>
      <c r="B601" s="0" t="str">
        <f aca="false">CRM_Raw!B601</f>
        <v>2025-09-09</v>
      </c>
      <c r="C601" s="0" t="str">
        <f aca="false">CRM_Raw!C601</f>
        <v>2025-09-25</v>
      </c>
      <c r="D601" s="0" t="str">
        <f aca="false">IF(CRM_Raw!D601="DACH","DACH",IF(ISNUMBER(SEARCH("uk",CRM_Raw!D601)),"UK &amp; Ireland",PROPER(CRM_Raw!D601)))</f>
        <v>DACH</v>
      </c>
      <c r="E601" s="0" t="str">
        <f aca="false">CRM_Raw!E601</f>
        <v>Dishwashers</v>
      </c>
      <c r="F601" s="0" t="str">
        <f aca="false">CRM_Raw!F601</f>
        <v>Social Media Ads</v>
      </c>
      <c r="G601" s="0" t="str">
        <f aca="false">IF(TRIM(CRM_Raw!G601)="","Unassigned",CRM_Raw!G601)</f>
        <v>A. Becker</v>
      </c>
      <c r="H601" s="0" t="str">
        <f aca="false">CRM_Raw!H601</f>
        <v>Closed Lost</v>
      </c>
      <c r="I601" s="10" t="n">
        <f aca="false">CRM_Raw!I601</f>
        <v>704.8</v>
      </c>
      <c r="J601" s="11" t="n">
        <f aca="false">CRM_Raw!J601</f>
        <v>0.1</v>
      </c>
      <c r="K601" s="10" t="n">
        <f aca="false">I601*(1-J601)</f>
        <v>634.32</v>
      </c>
      <c r="L601" s="12" t="n">
        <f aca="false">CRM_Raw!K601</f>
        <v>16</v>
      </c>
      <c r="M601" s="12" t="n">
        <f aca="false">IF(H601="Closed Won",1,0)</f>
        <v>0</v>
      </c>
    </row>
    <row r="602" customFormat="false" ht="15" hidden="false" customHeight="false" outlineLevel="0" collapsed="false">
      <c r="A602" s="0" t="str">
        <f aca="false">CRM_Raw!A602</f>
        <v>D-10598</v>
      </c>
      <c r="B602" s="0" t="str">
        <f aca="false">CRM_Raw!B602</f>
        <v>2025-07-14</v>
      </c>
      <c r="C602" s="0" t="str">
        <f aca="false">CRM_Raw!C602</f>
        <v>2025-07-28</v>
      </c>
      <c r="D602" s="0" t="str">
        <f aca="false">IF(CRM_Raw!D602="DACH","DACH",IF(ISNUMBER(SEARCH("uk",CRM_Raw!D602)),"UK &amp; Ireland",PROPER(CRM_Raw!D602)))</f>
        <v>Benelux</v>
      </c>
      <c r="E602" s="0" t="str">
        <f aca="false">CRM_Raw!E602</f>
        <v>Washing Machines</v>
      </c>
      <c r="F602" s="0" t="str">
        <f aca="false">CRM_Raw!F602</f>
        <v>Email Campaign</v>
      </c>
      <c r="G602" s="0" t="str">
        <f aca="false">IF(TRIM(CRM_Raw!G602)="","Unassigned",CRM_Raw!G602)</f>
        <v>A. Becker</v>
      </c>
      <c r="H602" s="0" t="str">
        <f aca="false">CRM_Raw!H602</f>
        <v>Closed Won</v>
      </c>
      <c r="I602" s="10" t="n">
        <f aca="false">CRM_Raw!I602</f>
        <v>1454.41</v>
      </c>
      <c r="J602" s="11" t="n">
        <f aca="false">CRM_Raw!J602</f>
        <v>0</v>
      </c>
      <c r="K602" s="10" t="n">
        <f aca="false">I602*(1-J602)</f>
        <v>1454.41</v>
      </c>
      <c r="L602" s="12" t="n">
        <f aca="false">CRM_Raw!K602</f>
        <v>14</v>
      </c>
      <c r="M602" s="12" t="n">
        <f aca="false">IF(H602="Closed Won",1,0)</f>
        <v>1</v>
      </c>
    </row>
    <row r="603" customFormat="false" ht="15" hidden="false" customHeight="false" outlineLevel="0" collapsed="false">
      <c r="A603" s="0" t="str">
        <f aca="false">CRM_Raw!A603</f>
        <v>D-10599</v>
      </c>
      <c r="B603" s="0" t="str">
        <f aca="false">CRM_Raw!B603</f>
        <v>2025-05-26</v>
      </c>
      <c r="C603" s="0" t="str">
        <f aca="false">CRM_Raw!C603</f>
        <v>2025-06-20</v>
      </c>
      <c r="D603" s="0" t="str">
        <f aca="false">IF(CRM_Raw!D603="DACH","DACH",IF(ISNUMBER(SEARCH("uk",CRM_Raw!D603)),"UK &amp; Ireland",PROPER(CRM_Raw!D603)))</f>
        <v>Benelux</v>
      </c>
      <c r="E603" s="0" t="str">
        <f aca="false">CRM_Raw!E603</f>
        <v>Cordless Vacuums</v>
      </c>
      <c r="F603" s="0" t="str">
        <f aca="false">CRM_Raw!F603</f>
        <v>Social Media Ads</v>
      </c>
      <c r="G603" s="0" t="str">
        <f aca="false">IF(TRIM(CRM_Raw!G603)="","Unassigned",CRM_Raw!G603)</f>
        <v>A. Becker</v>
      </c>
      <c r="H603" s="0" t="str">
        <f aca="false">CRM_Raw!H603</f>
        <v>Closed Lost</v>
      </c>
      <c r="I603" s="10" t="n">
        <f aca="false">CRM_Raw!I603</f>
        <v>378.47</v>
      </c>
      <c r="J603" s="11" t="n">
        <f aca="false">CRM_Raw!J603</f>
        <v>0.15</v>
      </c>
      <c r="K603" s="10" t="n">
        <f aca="false">I603*(1-J603)</f>
        <v>321.6995</v>
      </c>
      <c r="L603" s="12" t="n">
        <f aca="false">CRM_Raw!K603</f>
        <v>25</v>
      </c>
      <c r="M603" s="12" t="n">
        <f aca="false">IF(H603="Closed Won",1,0)</f>
        <v>0</v>
      </c>
    </row>
    <row r="604" customFormat="false" ht="15" hidden="false" customHeight="false" outlineLevel="0" collapsed="false">
      <c r="A604" s="0" t="str">
        <f aca="false">CRM_Raw!A604</f>
        <v>D-10600</v>
      </c>
      <c r="B604" s="0" t="str">
        <f aca="false">CRM_Raw!B604</f>
        <v>2026-02-07</v>
      </c>
      <c r="C604" s="0" t="str">
        <f aca="false">CRM_Raw!C604</f>
        <v>2026-02-22</v>
      </c>
      <c r="D604" s="0" t="str">
        <f aca="false">IF(CRM_Raw!D604="DACH","DACH",IF(ISNUMBER(SEARCH("uk",CRM_Raw!D604)),"UK &amp; Ireland",PROPER(CRM_Raw!D604)))</f>
        <v>Nordics</v>
      </c>
      <c r="E604" s="0" t="str">
        <f aca="false">CRM_Raw!E604</f>
        <v>Smart Ovens</v>
      </c>
      <c r="F604" s="0" t="str">
        <f aca="false">CRM_Raw!F604</f>
        <v>Web-shop Organic</v>
      </c>
      <c r="G604" s="0" t="str">
        <f aca="false">IF(TRIM(CRM_Raw!G604)="","Unassigned",CRM_Raw!G604)</f>
        <v>M. Hoffmann</v>
      </c>
      <c r="H604" s="0" t="str">
        <f aca="false">CRM_Raw!H604</f>
        <v>Closed Lost</v>
      </c>
      <c r="I604" s="10" t="n">
        <f aca="false">CRM_Raw!I604</f>
        <v>886.21</v>
      </c>
      <c r="J604" s="11" t="n">
        <f aca="false">CRM_Raw!J604</f>
        <v>0.05</v>
      </c>
      <c r="K604" s="10" t="n">
        <f aca="false">I604*(1-J604)</f>
        <v>841.8995</v>
      </c>
      <c r="L604" s="12" t="n">
        <f aca="false">CRM_Raw!K604</f>
        <v>15</v>
      </c>
      <c r="M604" s="12" t="n">
        <f aca="false">IF(H604="Closed Won",1,0)</f>
        <v>0</v>
      </c>
    </row>
    <row r="605" customFormat="false" ht="15" hidden="false" customHeight="false" outlineLevel="0" collapsed="false">
      <c r="A605" s="0" t="str">
        <f aca="false">CRM_Raw!A605</f>
        <v>D-10601</v>
      </c>
      <c r="B605" s="0" t="str">
        <f aca="false">CRM_Raw!B605</f>
        <v>2025-05-07</v>
      </c>
      <c r="C605" s="0" t="str">
        <f aca="false">CRM_Raw!C605</f>
        <v>2025-05-29</v>
      </c>
      <c r="D605" s="0" t="str">
        <f aca="false">IF(CRM_Raw!D605="DACH","DACH",IF(ISNUMBER(SEARCH("uk",CRM_Raw!D605)),"UK &amp; Ireland",PROPER(CRM_Raw!D605)))</f>
        <v>DACH</v>
      </c>
      <c r="E605" s="0" t="str">
        <f aca="false">CRM_Raw!E605</f>
        <v>Cordless Vacuums</v>
      </c>
      <c r="F605" s="0" t="str">
        <f aca="false">CRM_Raw!F605</f>
        <v>Paid Search</v>
      </c>
      <c r="G605" s="0" t="str">
        <f aca="false">IF(TRIM(CRM_Raw!G605)="","Unassigned",CRM_Raw!G605)</f>
        <v>M. Hoffmann</v>
      </c>
      <c r="H605" s="0" t="str">
        <f aca="false">CRM_Raw!H605</f>
        <v>Closed Won</v>
      </c>
      <c r="I605" s="10" t="n">
        <f aca="false">CRM_Raw!I605</f>
        <v>383.71</v>
      </c>
      <c r="J605" s="11" t="n">
        <f aca="false">CRM_Raw!J605</f>
        <v>0</v>
      </c>
      <c r="K605" s="10" t="n">
        <f aca="false">I605*(1-J605)</f>
        <v>383.71</v>
      </c>
      <c r="L605" s="12" t="n">
        <f aca="false">CRM_Raw!K605</f>
        <v>22</v>
      </c>
      <c r="M605" s="12" t="n">
        <f aca="false">IF(H605="Closed Won",1,0)</f>
        <v>1</v>
      </c>
    </row>
    <row r="606" customFormat="false" ht="15" hidden="false" customHeight="false" outlineLevel="0" collapsed="false">
      <c r="A606" s="0" t="str">
        <f aca="false">CRM_Raw!A606</f>
        <v>D-10602</v>
      </c>
      <c r="B606" s="0" t="str">
        <f aca="false">CRM_Raw!B606</f>
        <v>2026-01-23</v>
      </c>
      <c r="C606" s="0" t="str">
        <f aca="false">CRM_Raw!C606</f>
        <v>2026-02-18</v>
      </c>
      <c r="D606" s="0" t="str">
        <f aca="false">IF(CRM_Raw!D606="DACH","DACH",IF(ISNUMBER(SEARCH("uk",CRM_Raw!D606)),"UK &amp; Ireland",PROPER(CRM_Raw!D606)))</f>
        <v>Nordics</v>
      </c>
      <c r="E606" s="0" t="str">
        <f aca="false">CRM_Raw!E606</f>
        <v>Small Kitchen Appliances</v>
      </c>
      <c r="F606" s="0" t="str">
        <f aca="false">CRM_Raw!F606</f>
        <v>Paid Search</v>
      </c>
      <c r="G606" s="0" t="str">
        <f aca="false">IF(TRIM(CRM_Raw!G606)="","Unassigned",CRM_Raw!G606)</f>
        <v>M. Hoffmann</v>
      </c>
      <c r="H606" s="0" t="str">
        <f aca="false">CRM_Raw!H606</f>
        <v>Closed Lost</v>
      </c>
      <c r="I606" s="10" t="n">
        <f aca="false">CRM_Raw!I606</f>
        <v>119.6</v>
      </c>
      <c r="J606" s="11" t="n">
        <f aca="false">CRM_Raw!J606</f>
        <v>0</v>
      </c>
      <c r="K606" s="10" t="n">
        <f aca="false">I606*(1-J606)</f>
        <v>119.6</v>
      </c>
      <c r="L606" s="12" t="n">
        <f aca="false">CRM_Raw!K606</f>
        <v>26</v>
      </c>
      <c r="M606" s="12" t="n">
        <f aca="false">IF(H606="Closed Won",1,0)</f>
        <v>0</v>
      </c>
    </row>
    <row r="607" customFormat="false" ht="15" hidden="false" customHeight="false" outlineLevel="0" collapsed="false">
      <c r="A607" s="0" t="str">
        <f aca="false">CRM_Raw!A607</f>
        <v>D-10603</v>
      </c>
      <c r="B607" s="0" t="str">
        <f aca="false">CRM_Raw!B607</f>
        <v>2026-03-06</v>
      </c>
      <c r="C607" s="0" t="str">
        <f aca="false">CRM_Raw!C607</f>
        <v>2026-03-28</v>
      </c>
      <c r="D607" s="0" t="str">
        <f aca="false">IF(CRM_Raw!D607="DACH","DACH",IF(ISNUMBER(SEARCH("uk",CRM_Raw!D607)),"UK &amp; Ireland",PROPER(CRM_Raw!D607)))</f>
        <v>North America</v>
      </c>
      <c r="E607" s="0" t="str">
        <f aca="false">CRM_Raw!E607</f>
        <v>Coffee Systems</v>
      </c>
      <c r="F607" s="0" t="str">
        <f aca="false">CRM_Raw!F607</f>
        <v>Web-shop Organic</v>
      </c>
      <c r="G607" s="0" t="str">
        <f aca="false">IF(TRIM(CRM_Raw!G607)="","Unassigned",CRM_Raw!G607)</f>
        <v>A. Becker</v>
      </c>
      <c r="H607" s="0" t="str">
        <f aca="false">CRM_Raw!H607</f>
        <v>Closed Won</v>
      </c>
      <c r="I607" s="10" t="n">
        <f aca="false">CRM_Raw!I607</f>
        <v>1117.7</v>
      </c>
      <c r="J607" s="11" t="n">
        <f aca="false">CRM_Raw!J607</f>
        <v>0</v>
      </c>
      <c r="K607" s="10" t="n">
        <f aca="false">I607*(1-J607)</f>
        <v>1117.7</v>
      </c>
      <c r="L607" s="12" t="n">
        <f aca="false">CRM_Raw!K607</f>
        <v>22</v>
      </c>
      <c r="M607" s="12" t="n">
        <f aca="false">IF(H607="Closed Won",1,0)</f>
        <v>1</v>
      </c>
    </row>
    <row r="608" customFormat="false" ht="15" hidden="false" customHeight="false" outlineLevel="0" collapsed="false">
      <c r="A608" s="0" t="str">
        <f aca="false">CRM_Raw!A608</f>
        <v>D-10604</v>
      </c>
      <c r="B608" s="0" t="str">
        <f aca="false">CRM_Raw!B608</f>
        <v>2025-07-27</v>
      </c>
      <c r="C608" s="0" t="str">
        <f aca="false">CRM_Raw!C608</f>
        <v>2025-08-17</v>
      </c>
      <c r="D608" s="0" t="str">
        <f aca="false">IF(CRM_Raw!D608="DACH","DACH",IF(ISNUMBER(SEARCH("uk",CRM_Raw!D608)),"UK &amp; Ireland",PROPER(CRM_Raw!D608)))</f>
        <v>Southern Europe</v>
      </c>
      <c r="E608" s="0" t="str">
        <f aca="false">CRM_Raw!E608</f>
        <v>Coffee Systems</v>
      </c>
      <c r="F608" s="0" t="str">
        <f aca="false">CRM_Raw!F608</f>
        <v>Web-shop Organic</v>
      </c>
      <c r="G608" s="0" t="str">
        <f aca="false">IF(TRIM(CRM_Raw!G608)="","Unassigned",CRM_Raw!G608)</f>
        <v>M. Hoffmann</v>
      </c>
      <c r="H608" s="0" t="str">
        <f aca="false">CRM_Raw!H608</f>
        <v>Closed Won</v>
      </c>
      <c r="I608" s="10" t="n">
        <f aca="false">CRM_Raw!I608</f>
        <v>1058.97</v>
      </c>
      <c r="J608" s="11" t="n">
        <f aca="false">CRM_Raw!J608</f>
        <v>0.1</v>
      </c>
      <c r="K608" s="10" t="n">
        <f aca="false">I608*(1-J608)</f>
        <v>953.073</v>
      </c>
      <c r="L608" s="12" t="n">
        <f aca="false">CRM_Raw!K608</f>
        <v>21</v>
      </c>
      <c r="M608" s="12" t="n">
        <f aca="false">IF(H608="Closed Won",1,0)</f>
        <v>1</v>
      </c>
    </row>
    <row r="609" customFormat="false" ht="15" hidden="false" customHeight="false" outlineLevel="0" collapsed="false">
      <c r="A609" s="0" t="str">
        <f aca="false">CRM_Raw!A609</f>
        <v>D-10605</v>
      </c>
      <c r="B609" s="0" t="str">
        <f aca="false">CRM_Raw!B609</f>
        <v>2025-09-01</v>
      </c>
      <c r="C609" s="0" t="str">
        <f aca="false">CRM_Raw!C609</f>
        <v>2025-09-20</v>
      </c>
      <c r="D609" s="0" t="str">
        <f aca="false">IF(CRM_Raw!D609="DACH","DACH",IF(ISNUMBER(SEARCH("uk",CRM_Raw!D609)),"UK &amp; Ireland",PROPER(CRM_Raw!D609)))</f>
        <v>North America</v>
      </c>
      <c r="E609" s="0" t="str">
        <f aca="false">CRM_Raw!E609</f>
        <v>Smart Ovens</v>
      </c>
      <c r="F609" s="0" t="str">
        <f aca="false">CRM_Raw!F609</f>
        <v>Social Media Ads</v>
      </c>
      <c r="G609" s="0" t="str">
        <f aca="false">IF(TRIM(CRM_Raw!G609)="","Unassigned",CRM_Raw!G609)</f>
        <v>T. Wagner</v>
      </c>
      <c r="H609" s="0" t="str">
        <f aca="false">CRM_Raw!H609</f>
        <v>Closed Won</v>
      </c>
      <c r="I609" s="10" t="n">
        <f aca="false">CRM_Raw!I609</f>
        <v>1801.02</v>
      </c>
      <c r="J609" s="11" t="n">
        <f aca="false">CRM_Raw!J609</f>
        <v>0.05</v>
      </c>
      <c r="K609" s="10" t="n">
        <f aca="false">I609*(1-J609)</f>
        <v>1710.969</v>
      </c>
      <c r="L609" s="12" t="n">
        <f aca="false">CRM_Raw!K609</f>
        <v>19</v>
      </c>
      <c r="M609" s="12" t="n">
        <f aca="false">IF(H609="Closed Won",1,0)</f>
        <v>1</v>
      </c>
    </row>
    <row r="610" customFormat="false" ht="15" hidden="false" customHeight="false" outlineLevel="0" collapsed="false">
      <c r="A610" s="0" t="str">
        <f aca="false">CRM_Raw!A610</f>
        <v>D-10606</v>
      </c>
      <c r="B610" s="0" t="str">
        <f aca="false">CRM_Raw!B610</f>
        <v>2025-09-08</v>
      </c>
      <c r="C610" s="0" t="n">
        <f aca="false">CRM_Raw!C610</f>
        <v>0</v>
      </c>
      <c r="D610" s="0" t="str">
        <f aca="false">IF(CRM_Raw!D610="DACH","DACH",IF(ISNUMBER(SEARCH("uk",CRM_Raw!D610)),"UK &amp; Ireland",PROPER(CRM_Raw!D610)))</f>
        <v>Benelux</v>
      </c>
      <c r="E610" s="0" t="str">
        <f aca="false">CRM_Raw!E610</f>
        <v>Smart Ovens</v>
      </c>
      <c r="F610" s="0" t="str">
        <f aca="false">CRM_Raw!F610</f>
        <v>Social Media Ads</v>
      </c>
      <c r="G610" s="0" t="str">
        <f aca="false">IF(TRIM(CRM_Raw!G610)="","Unassigned",CRM_Raw!G610)</f>
        <v>A. Becker</v>
      </c>
      <c r="H610" s="0" t="str">
        <f aca="false">CRM_Raw!H610</f>
        <v>Qualified</v>
      </c>
      <c r="I610" s="10" t="n">
        <f aca="false">CRM_Raw!I610</f>
        <v>2464.97</v>
      </c>
      <c r="J610" s="11" t="n">
        <f aca="false">CRM_Raw!J610</f>
        <v>0.2</v>
      </c>
      <c r="K610" s="10" t="n">
        <f aca="false">I610*(1-J610)</f>
        <v>1971.976</v>
      </c>
      <c r="L610" s="12" t="n">
        <f aca="false">CRM_Raw!K610</f>
        <v>0</v>
      </c>
      <c r="M610" s="12" t="n">
        <f aca="false">IF(H610="Closed Won",1,0)</f>
        <v>0</v>
      </c>
    </row>
    <row r="611" customFormat="false" ht="15" hidden="false" customHeight="false" outlineLevel="0" collapsed="false">
      <c r="A611" s="0" t="str">
        <f aca="false">CRM_Raw!A611</f>
        <v>D-10607</v>
      </c>
      <c r="B611" s="0" t="str">
        <f aca="false">CRM_Raw!B611</f>
        <v>2025-02-26</v>
      </c>
      <c r="C611" s="0" t="n">
        <f aca="false">CRM_Raw!C611</f>
        <v>0</v>
      </c>
      <c r="D611" s="0" t="str">
        <f aca="false">IF(CRM_Raw!D611="DACH","DACH",IF(ISNUMBER(SEARCH("uk",CRM_Raw!D611)),"UK &amp; Ireland",PROPER(CRM_Raw!D611)))</f>
        <v>North America</v>
      </c>
      <c r="E611" s="0" t="str">
        <f aca="false">CRM_Raw!E611</f>
        <v>Coffee Systems</v>
      </c>
      <c r="F611" s="0" t="str">
        <f aca="false">CRM_Raw!F611</f>
        <v>Web-shop Organic</v>
      </c>
      <c r="G611" s="0" t="str">
        <f aca="false">IF(TRIM(CRM_Raw!G611)="","Unassigned",CRM_Raw!G611)</f>
        <v>M. Hoffmann</v>
      </c>
      <c r="H611" s="0" t="str">
        <f aca="false">CRM_Raw!H611</f>
        <v>Negotiation</v>
      </c>
      <c r="I611" s="10" t="n">
        <f aca="false">CRM_Raw!I611</f>
        <v>471.29</v>
      </c>
      <c r="J611" s="11" t="n">
        <f aca="false">CRM_Raw!J611</f>
        <v>0.15</v>
      </c>
      <c r="K611" s="10" t="n">
        <f aca="false">I611*(1-J611)</f>
        <v>400.5965</v>
      </c>
      <c r="L611" s="12" t="n">
        <f aca="false">CRM_Raw!K611</f>
        <v>0</v>
      </c>
      <c r="M611" s="12" t="n">
        <f aca="false">IF(H611="Closed Won",1,0)</f>
        <v>0</v>
      </c>
    </row>
    <row r="612" customFormat="false" ht="15" hidden="false" customHeight="false" outlineLevel="0" collapsed="false">
      <c r="A612" s="0" t="str">
        <f aca="false">CRM_Raw!A612</f>
        <v>D-10608</v>
      </c>
      <c r="B612" s="0" t="str">
        <f aca="false">CRM_Raw!B612</f>
        <v>2025-02-20</v>
      </c>
      <c r="C612" s="0" t="str">
        <f aca="false">CRM_Raw!C612</f>
        <v>2025-03-18</v>
      </c>
      <c r="D612" s="0" t="str">
        <f aca="false">IF(CRM_Raw!D612="DACH","DACH",IF(ISNUMBER(SEARCH("uk",CRM_Raw!D612)),"UK &amp; Ireland",PROPER(CRM_Raw!D612)))</f>
        <v>Nordics</v>
      </c>
      <c r="E612" s="0" t="str">
        <f aca="false">CRM_Raw!E612</f>
        <v>Washing Machines</v>
      </c>
      <c r="F612" s="0" t="str">
        <f aca="false">CRM_Raw!F612</f>
        <v>Paid Search</v>
      </c>
      <c r="G612" s="0" t="str">
        <f aca="false">IF(TRIM(CRM_Raw!G612)="","Unassigned",CRM_Raw!G612)</f>
        <v>L. Dubois</v>
      </c>
      <c r="H612" s="0" t="str">
        <f aca="false">CRM_Raw!H612</f>
        <v>Closed Won</v>
      </c>
      <c r="I612" s="10" t="n">
        <f aca="false">CRM_Raw!I612</f>
        <v>1919.61</v>
      </c>
      <c r="J612" s="11" t="n">
        <f aca="false">CRM_Raw!J612</f>
        <v>0.1</v>
      </c>
      <c r="K612" s="10" t="n">
        <f aca="false">I612*(1-J612)</f>
        <v>1727.649</v>
      </c>
      <c r="L612" s="12" t="n">
        <f aca="false">CRM_Raw!K612</f>
        <v>26</v>
      </c>
      <c r="M612" s="12" t="n">
        <f aca="false">IF(H612="Closed Won",1,0)</f>
        <v>1</v>
      </c>
    </row>
    <row r="613" customFormat="false" ht="15" hidden="false" customHeight="false" outlineLevel="0" collapsed="false">
      <c r="A613" s="0" t="str">
        <f aca="false">CRM_Raw!A613</f>
        <v>D-10609</v>
      </c>
      <c r="B613" s="0" t="str">
        <f aca="false">CRM_Raw!B613</f>
        <v>2026-01-04</v>
      </c>
      <c r="C613" s="0" t="n">
        <f aca="false">CRM_Raw!C613</f>
        <v>0</v>
      </c>
      <c r="D613" s="0" t="str">
        <f aca="false">IF(CRM_Raw!D613="DACH","DACH",IF(ISNUMBER(SEARCH("uk",CRM_Raw!D613)),"UK &amp; Ireland",PROPER(CRM_Raw!D613)))</f>
        <v>North America</v>
      </c>
      <c r="E613" s="0" t="str">
        <f aca="false">CRM_Raw!E613</f>
        <v>Washing Machines</v>
      </c>
      <c r="F613" s="0" t="str">
        <f aca="false">CRM_Raw!F613</f>
        <v>Web-shop Organic</v>
      </c>
      <c r="G613" s="0" t="str">
        <f aca="false">IF(TRIM(CRM_Raw!G613)="","Unassigned",CRM_Raw!G613)</f>
        <v>T. Wagner</v>
      </c>
      <c r="H613" s="0" t="str">
        <f aca="false">CRM_Raw!H613</f>
        <v>Qualified</v>
      </c>
      <c r="I613" s="10" t="n">
        <f aca="false">CRM_Raw!I613</f>
        <v>609.12</v>
      </c>
      <c r="J613" s="11" t="n">
        <f aca="false">CRM_Raw!J613</f>
        <v>0</v>
      </c>
      <c r="K613" s="10" t="n">
        <f aca="false">I613*(1-J613)</f>
        <v>609.12</v>
      </c>
      <c r="L613" s="12" t="n">
        <f aca="false">CRM_Raw!K613</f>
        <v>0</v>
      </c>
      <c r="M613" s="12" t="n">
        <f aca="false">IF(H613="Closed Won",1,0)</f>
        <v>0</v>
      </c>
    </row>
    <row r="614" customFormat="false" ht="15" hidden="false" customHeight="false" outlineLevel="0" collapsed="false">
      <c r="A614" s="0" t="str">
        <f aca="false">CRM_Raw!A614</f>
        <v>D-10610</v>
      </c>
      <c r="B614" s="0" t="str">
        <f aca="false">CRM_Raw!B614</f>
        <v>2025-03-08</v>
      </c>
      <c r="C614" s="0" t="str">
        <f aca="false">CRM_Raw!C614</f>
        <v>2025-03-28</v>
      </c>
      <c r="D614" s="0" t="str">
        <f aca="false">IF(CRM_Raw!D614="DACH","DACH",IF(ISNUMBER(SEARCH("uk",CRM_Raw!D614)),"UK &amp; Ireland",PROPER(CRM_Raw!D614)))</f>
        <v>France</v>
      </c>
      <c r="E614" s="0" t="str">
        <f aca="false">CRM_Raw!E614</f>
        <v>Dishwashers</v>
      </c>
      <c r="F614" s="0" t="str">
        <f aca="false">CRM_Raw!F614</f>
        <v>Email Campaign</v>
      </c>
      <c r="G614" s="0" t="str">
        <f aca="false">IF(TRIM(CRM_Raw!G614)="","Unassigned",CRM_Raw!G614)</f>
        <v>K. Nilsson</v>
      </c>
      <c r="H614" s="0" t="str">
        <f aca="false">CRM_Raw!H614</f>
        <v>Closed Won</v>
      </c>
      <c r="I614" s="10" t="n">
        <f aca="false">CRM_Raw!I614</f>
        <v>659.83</v>
      </c>
      <c r="J614" s="11" t="n">
        <f aca="false">CRM_Raw!J614</f>
        <v>0</v>
      </c>
      <c r="K614" s="10" t="n">
        <f aca="false">I614*(1-J614)</f>
        <v>659.83</v>
      </c>
      <c r="L614" s="12" t="n">
        <f aca="false">CRM_Raw!K614</f>
        <v>20</v>
      </c>
      <c r="M614" s="12" t="n">
        <f aca="false">IF(H614="Closed Won",1,0)</f>
        <v>1</v>
      </c>
    </row>
    <row r="615" customFormat="false" ht="15" hidden="false" customHeight="false" outlineLevel="0" collapsed="false">
      <c r="A615" s="0" t="str">
        <f aca="false">CRM_Raw!A615</f>
        <v>D-10611</v>
      </c>
      <c r="B615" s="0" t="str">
        <f aca="false">CRM_Raw!B615</f>
        <v>2025-03-01</v>
      </c>
      <c r="C615" s="0" t="str">
        <f aca="false">CRM_Raw!C615</f>
        <v>2025-03-20</v>
      </c>
      <c r="D615" s="0" t="str">
        <f aca="false">IF(CRM_Raw!D615="DACH","DACH",IF(ISNUMBER(SEARCH("uk",CRM_Raw!D615)),"UK &amp; Ireland",PROPER(CRM_Raw!D615)))</f>
        <v>Nordics</v>
      </c>
      <c r="E615" s="0" t="str">
        <f aca="false">CRM_Raw!E615</f>
        <v>Dishwashers</v>
      </c>
      <c r="F615" s="0" t="str">
        <f aca="false">CRM_Raw!F615</f>
        <v>Social Media Ads</v>
      </c>
      <c r="G615" s="0" t="str">
        <f aca="false">IF(TRIM(CRM_Raw!G615)="","Unassigned",CRM_Raw!G615)</f>
        <v>S. Andersson</v>
      </c>
      <c r="H615" s="0" t="str">
        <f aca="false">CRM_Raw!H615</f>
        <v>Closed Won</v>
      </c>
      <c r="I615" s="10" t="n">
        <f aca="false">CRM_Raw!I615</f>
        <v>1613.43</v>
      </c>
      <c r="J615" s="11" t="n">
        <f aca="false">CRM_Raw!J615</f>
        <v>0.15</v>
      </c>
      <c r="K615" s="10" t="n">
        <f aca="false">I615*(1-J615)</f>
        <v>1371.4155</v>
      </c>
      <c r="L615" s="12" t="n">
        <f aca="false">CRM_Raw!K615</f>
        <v>19</v>
      </c>
      <c r="M615" s="12" t="n">
        <f aca="false">IF(H615="Closed Won",1,0)</f>
        <v>1</v>
      </c>
    </row>
    <row r="616" customFormat="false" ht="15" hidden="false" customHeight="false" outlineLevel="0" collapsed="false">
      <c r="A616" s="0" t="str">
        <f aca="false">CRM_Raw!A616</f>
        <v>D-10612</v>
      </c>
      <c r="B616" s="0" t="str">
        <f aca="false">CRM_Raw!B616</f>
        <v>2026-03-14</v>
      </c>
      <c r="C616" s="0" t="str">
        <f aca="false">CRM_Raw!C616</f>
        <v>2026-03-22</v>
      </c>
      <c r="D616" s="0" t="str">
        <f aca="false">IF(CRM_Raw!D616="DACH","DACH",IF(ISNUMBER(SEARCH("uk",CRM_Raw!D616)),"UK &amp; Ireland",PROPER(CRM_Raw!D616)))</f>
        <v>Southern Europe</v>
      </c>
      <c r="E616" s="0" t="str">
        <f aca="false">CRM_Raw!E616</f>
        <v>Washing Machines</v>
      </c>
      <c r="F616" s="0" t="str">
        <f aca="false">CRM_Raw!F616</f>
        <v>Retail Referral</v>
      </c>
      <c r="G616" s="0" t="str">
        <f aca="false">IF(TRIM(CRM_Raw!G616)="","Unassigned",CRM_Raw!G616)</f>
        <v>J. Murphy</v>
      </c>
      <c r="H616" s="0" t="str">
        <f aca="false">CRM_Raw!H616</f>
        <v>Closed Lost</v>
      </c>
      <c r="I616" s="10" t="n">
        <f aca="false">CRM_Raw!I616</f>
        <v>1935.1</v>
      </c>
      <c r="J616" s="11" t="n">
        <f aca="false">CRM_Raw!J616</f>
        <v>0.1</v>
      </c>
      <c r="K616" s="10" t="n">
        <f aca="false">I616*(1-J616)</f>
        <v>1741.59</v>
      </c>
      <c r="L616" s="12" t="n">
        <f aca="false">CRM_Raw!K616</f>
        <v>8</v>
      </c>
      <c r="M616" s="12" t="n">
        <f aca="false">IF(H616="Closed Won",1,0)</f>
        <v>0</v>
      </c>
    </row>
    <row r="617" customFormat="false" ht="15" hidden="false" customHeight="false" outlineLevel="0" collapsed="false">
      <c r="A617" s="0" t="str">
        <f aca="false">CRM_Raw!A617</f>
        <v>D-10613</v>
      </c>
      <c r="B617" s="0" t="str">
        <f aca="false">CRM_Raw!B617</f>
        <v>2026-05-25</v>
      </c>
      <c r="C617" s="0" t="str">
        <f aca="false">CRM_Raw!C617</f>
        <v>2026-06-01</v>
      </c>
      <c r="D617" s="0" t="str">
        <f aca="false">IF(CRM_Raw!D617="DACH","DACH",IF(ISNUMBER(SEARCH("uk",CRM_Raw!D617)),"UK &amp; Ireland",PROPER(CRM_Raw!D617)))</f>
        <v>Nordics</v>
      </c>
      <c r="E617" s="0" t="str">
        <f aca="false">CRM_Raw!E617</f>
        <v>Cordless Vacuums</v>
      </c>
      <c r="F617" s="0" t="str">
        <f aca="false">CRM_Raw!F617</f>
        <v>Retail Referral</v>
      </c>
      <c r="G617" s="0" t="str">
        <f aca="false">IF(TRIM(CRM_Raw!G617)="","Unassigned",CRM_Raw!G617)</f>
        <v>T. Wagner</v>
      </c>
      <c r="H617" s="0" t="str">
        <f aca="false">CRM_Raw!H617</f>
        <v>Closed Lost</v>
      </c>
      <c r="I617" s="10" t="n">
        <f aca="false">CRM_Raw!I617</f>
        <v>383.92</v>
      </c>
      <c r="J617" s="11" t="n">
        <f aca="false">CRM_Raw!J617</f>
        <v>0</v>
      </c>
      <c r="K617" s="10" t="n">
        <f aca="false">I617*(1-J617)</f>
        <v>383.92</v>
      </c>
      <c r="L617" s="12" t="n">
        <f aca="false">CRM_Raw!K617</f>
        <v>26</v>
      </c>
      <c r="M617" s="12" t="n">
        <f aca="false">IF(H617="Closed Won",1,0)</f>
        <v>0</v>
      </c>
    </row>
    <row r="618" customFormat="false" ht="15" hidden="false" customHeight="false" outlineLevel="0" collapsed="false">
      <c r="A618" s="0" t="str">
        <f aca="false">CRM_Raw!A618</f>
        <v>D-10614</v>
      </c>
      <c r="B618" s="0" t="str">
        <f aca="false">CRM_Raw!B618</f>
        <v>2025-08-01</v>
      </c>
      <c r="C618" s="0" t="n">
        <f aca="false">CRM_Raw!C618</f>
        <v>0</v>
      </c>
      <c r="D618" s="0" t="str">
        <f aca="false">IF(CRM_Raw!D618="DACH","DACH",IF(ISNUMBER(SEARCH("uk",CRM_Raw!D618)),"UK &amp; Ireland",PROPER(CRM_Raw!D618)))</f>
        <v>DACH</v>
      </c>
      <c r="E618" s="0" t="str">
        <f aca="false">CRM_Raw!E618</f>
        <v>Smart Ovens</v>
      </c>
      <c r="F618" s="0" t="str">
        <f aca="false">CRM_Raw!F618</f>
        <v>Social Media Ads</v>
      </c>
      <c r="G618" s="0" t="str">
        <f aca="false">IF(TRIM(CRM_Raw!G618)="","Unassigned",CRM_Raw!G618)</f>
        <v>L. Dubois</v>
      </c>
      <c r="H618" s="0" t="str">
        <f aca="false">CRM_Raw!H618</f>
        <v>Proposal Sent</v>
      </c>
      <c r="I618" s="10" t="n">
        <f aca="false">CRM_Raw!I618</f>
        <v>1941.42</v>
      </c>
      <c r="J618" s="11" t="n">
        <f aca="false">CRM_Raw!J618</f>
        <v>0</v>
      </c>
      <c r="K618" s="10" t="n">
        <f aca="false">I618*(1-J618)</f>
        <v>1941.42</v>
      </c>
      <c r="L618" s="12" t="n">
        <f aca="false">CRM_Raw!K618</f>
        <v>0</v>
      </c>
      <c r="M618" s="12" t="n">
        <f aca="false">IF(H618="Closed Won",1,0)</f>
        <v>0</v>
      </c>
    </row>
    <row r="619" customFormat="false" ht="15" hidden="false" customHeight="false" outlineLevel="0" collapsed="false">
      <c r="A619" s="0" t="str">
        <f aca="false">CRM_Raw!A619</f>
        <v>D-10615</v>
      </c>
      <c r="B619" s="0" t="str">
        <f aca="false">CRM_Raw!B619</f>
        <v>2025-01-12</v>
      </c>
      <c r="C619" s="0" t="n">
        <f aca="false">CRM_Raw!C619</f>
        <v>0</v>
      </c>
      <c r="D619" s="0" t="str">
        <f aca="false">IF(CRM_Raw!D619="DACH","DACH",IF(ISNUMBER(SEARCH("uk",CRM_Raw!D619)),"UK &amp; Ireland",PROPER(CRM_Raw!D619)))</f>
        <v>France</v>
      </c>
      <c r="E619" s="0" t="str">
        <f aca="false">CRM_Raw!E619</f>
        <v>Cordless Vacuums</v>
      </c>
      <c r="F619" s="0" t="str">
        <f aca="false">CRM_Raw!F619</f>
        <v>Social Media Ads</v>
      </c>
      <c r="G619" s="0" t="str">
        <f aca="false">IF(TRIM(CRM_Raw!G619)="","Unassigned",CRM_Raw!G619)</f>
        <v>S. Andersson</v>
      </c>
      <c r="H619" s="0" t="str">
        <f aca="false">CRM_Raw!H619</f>
        <v>Negotiation</v>
      </c>
      <c r="I619" s="10" t="n">
        <f aca="false">CRM_Raw!I619</f>
        <v>382.3</v>
      </c>
      <c r="J619" s="11" t="n">
        <f aca="false">CRM_Raw!J619</f>
        <v>0.2</v>
      </c>
      <c r="K619" s="10" t="n">
        <f aca="false">I619*(1-J619)</f>
        <v>305.84</v>
      </c>
      <c r="L619" s="12" t="n">
        <f aca="false">CRM_Raw!K619</f>
        <v>0</v>
      </c>
      <c r="M619" s="12" t="n">
        <f aca="false">IF(H619="Closed Won",1,0)</f>
        <v>0</v>
      </c>
    </row>
    <row r="620" customFormat="false" ht="15" hidden="false" customHeight="false" outlineLevel="0" collapsed="false">
      <c r="A620" s="0" t="str">
        <f aca="false">CRM_Raw!A620</f>
        <v>D-10616</v>
      </c>
      <c r="B620" s="0" t="str">
        <f aca="false">CRM_Raw!B620</f>
        <v>2025-01-07</v>
      </c>
      <c r="C620" s="0" t="str">
        <f aca="false">CRM_Raw!C620</f>
        <v>2025-02-08</v>
      </c>
      <c r="D620" s="0" t="str">
        <f aca="false">IF(CRM_Raw!D620="DACH","DACH",IF(ISNUMBER(SEARCH("uk",CRM_Raw!D620)),"UK &amp; Ireland",PROPER(CRM_Raw!D620)))</f>
        <v>DACH</v>
      </c>
      <c r="E620" s="0" t="str">
        <f aca="false">CRM_Raw!E620</f>
        <v>Cordless Vacuums</v>
      </c>
      <c r="F620" s="0" t="str">
        <f aca="false">CRM_Raw!F620</f>
        <v>Paid Search</v>
      </c>
      <c r="G620" s="0" t="str">
        <f aca="false">IF(TRIM(CRM_Raw!G620)="","Unassigned",CRM_Raw!G620)</f>
        <v>P. Rossi</v>
      </c>
      <c r="H620" s="0" t="str">
        <f aca="false">CRM_Raw!H620</f>
        <v>Closed Won</v>
      </c>
      <c r="I620" s="10" t="n">
        <f aca="false">CRM_Raw!I620</f>
        <v>702.4</v>
      </c>
      <c r="J620" s="11" t="n">
        <f aca="false">CRM_Raw!J620</f>
        <v>0.15</v>
      </c>
      <c r="K620" s="10" t="n">
        <f aca="false">I620*(1-J620)</f>
        <v>597.04</v>
      </c>
      <c r="L620" s="12" t="n">
        <f aca="false">CRM_Raw!K620</f>
        <v>32</v>
      </c>
      <c r="M620" s="12" t="n">
        <f aca="false">IF(H620="Closed Won",1,0)</f>
        <v>1</v>
      </c>
    </row>
    <row r="621" customFormat="false" ht="15" hidden="false" customHeight="false" outlineLevel="0" collapsed="false">
      <c r="A621" s="0" t="str">
        <f aca="false">CRM_Raw!A621</f>
        <v>D-10617</v>
      </c>
      <c r="B621" s="0" t="str">
        <f aca="false">CRM_Raw!B621</f>
        <v>2025-07-18</v>
      </c>
      <c r="C621" s="0" t="str">
        <f aca="false">CRM_Raw!C621</f>
        <v>2025-07-31</v>
      </c>
      <c r="D621" s="0" t="str">
        <f aca="false">IF(CRM_Raw!D621="DACH","DACH",IF(ISNUMBER(SEARCH("uk",CRM_Raw!D621)),"UK &amp; Ireland",PROPER(CRM_Raw!D621)))</f>
        <v>Nordics</v>
      </c>
      <c r="E621" s="0" t="str">
        <f aca="false">CRM_Raw!E621</f>
        <v>Washing Machines</v>
      </c>
      <c r="F621" s="0" t="str">
        <f aca="false">CRM_Raw!F621</f>
        <v>Trade Show</v>
      </c>
      <c r="G621" s="0" t="str">
        <f aca="false">IF(TRIM(CRM_Raw!G621)="","Unassigned",CRM_Raw!G621)</f>
        <v>M. Hoffmann</v>
      </c>
      <c r="H621" s="0" t="str">
        <f aca="false">CRM_Raw!H621</f>
        <v>Closed Won</v>
      </c>
      <c r="I621" s="10" t="n">
        <f aca="false">CRM_Raw!I621</f>
        <v>741.44</v>
      </c>
      <c r="J621" s="11" t="n">
        <f aca="false">CRM_Raw!J621</f>
        <v>0.15</v>
      </c>
      <c r="K621" s="10" t="n">
        <f aca="false">I621*(1-J621)</f>
        <v>630.224</v>
      </c>
      <c r="L621" s="12" t="n">
        <f aca="false">CRM_Raw!K621</f>
        <v>13</v>
      </c>
      <c r="M621" s="12" t="n">
        <f aca="false">IF(H621="Closed Won",1,0)</f>
        <v>1</v>
      </c>
    </row>
    <row r="622" customFormat="false" ht="15" hidden="false" customHeight="false" outlineLevel="0" collapsed="false">
      <c r="A622" s="0" t="str">
        <f aca="false">CRM_Raw!A622</f>
        <v>D-10618</v>
      </c>
      <c r="B622" s="0" t="str">
        <f aca="false">CRM_Raw!B622</f>
        <v>2025-12-10</v>
      </c>
      <c r="C622" s="0" t="str">
        <f aca="false">CRM_Raw!C622</f>
        <v>2026-01-11</v>
      </c>
      <c r="D622" s="0" t="str">
        <f aca="false">IF(CRM_Raw!D622="DACH","DACH",IF(ISNUMBER(SEARCH("uk",CRM_Raw!D622)),"UK &amp; Ireland",PROPER(CRM_Raw!D622)))</f>
        <v>UK &amp; Ireland</v>
      </c>
      <c r="E622" s="0" t="str">
        <f aca="false">CRM_Raw!E622</f>
        <v>Dishwashers</v>
      </c>
      <c r="F622" s="0" t="str">
        <f aca="false">CRM_Raw!F622</f>
        <v>Web-shop Organic</v>
      </c>
      <c r="G622" s="0" t="str">
        <f aca="false">IF(TRIM(CRM_Raw!G622)="","Unassigned",CRM_Raw!G622)</f>
        <v>T. Wagner</v>
      </c>
      <c r="H622" s="0" t="str">
        <f aca="false">CRM_Raw!H622</f>
        <v>Closed Lost</v>
      </c>
      <c r="I622" s="10" t="n">
        <f aca="false">CRM_Raw!I622</f>
        <v>776.91</v>
      </c>
      <c r="J622" s="11" t="n">
        <f aca="false">CRM_Raw!J622</f>
        <v>0.2</v>
      </c>
      <c r="K622" s="10" t="n">
        <f aca="false">I622*(1-J622)</f>
        <v>621.528</v>
      </c>
      <c r="L622" s="12" t="n">
        <f aca="false">CRM_Raw!K622</f>
        <v>32</v>
      </c>
      <c r="M622" s="12" t="n">
        <f aca="false">IF(H622="Closed Won",1,0)</f>
        <v>0</v>
      </c>
    </row>
    <row r="623" customFormat="false" ht="15" hidden="false" customHeight="false" outlineLevel="0" collapsed="false">
      <c r="A623" s="0" t="str">
        <f aca="false">CRM_Raw!A623</f>
        <v>D-10619</v>
      </c>
      <c r="B623" s="0" t="str">
        <f aca="false">CRM_Raw!B623</f>
        <v>2025-01-20</v>
      </c>
      <c r="C623" s="0" t="str">
        <f aca="false">CRM_Raw!C623</f>
        <v>2025-02-03</v>
      </c>
      <c r="D623" s="0" t="str">
        <f aca="false">IF(CRM_Raw!D623="DACH","DACH",IF(ISNUMBER(SEARCH("uk",CRM_Raw!D623)),"UK &amp; Ireland",PROPER(CRM_Raw!D623)))</f>
        <v>Nordics</v>
      </c>
      <c r="E623" s="0" t="str">
        <f aca="false">CRM_Raw!E623</f>
        <v>Cordless Vacuums</v>
      </c>
      <c r="F623" s="0" t="str">
        <f aca="false">CRM_Raw!F623</f>
        <v>Social Media Ads</v>
      </c>
      <c r="G623" s="0" t="str">
        <f aca="false">IF(TRIM(CRM_Raw!G623)="","Unassigned",CRM_Raw!G623)</f>
        <v>P. Rossi</v>
      </c>
      <c r="H623" s="0" t="str">
        <f aca="false">CRM_Raw!H623</f>
        <v>Closed Won</v>
      </c>
      <c r="I623" s="10" t="n">
        <f aca="false">CRM_Raw!I623</f>
        <v>399.56</v>
      </c>
      <c r="J623" s="11" t="n">
        <f aca="false">CRM_Raw!J623</f>
        <v>0</v>
      </c>
      <c r="K623" s="10" t="n">
        <f aca="false">I623*(1-J623)</f>
        <v>399.56</v>
      </c>
      <c r="L623" s="12" t="n">
        <f aca="false">CRM_Raw!K623</f>
        <v>14</v>
      </c>
      <c r="M623" s="12" t="n">
        <f aca="false">IF(H623="Closed Won",1,0)</f>
        <v>1</v>
      </c>
    </row>
    <row r="624" customFormat="false" ht="15" hidden="false" customHeight="false" outlineLevel="0" collapsed="false">
      <c r="A624" s="0" t="str">
        <f aca="false">CRM_Raw!A624</f>
        <v>D-10620</v>
      </c>
      <c r="B624" s="0" t="str">
        <f aca="false">CRM_Raw!B624</f>
        <v>2026-01-20</v>
      </c>
      <c r="C624" s="0" t="str">
        <f aca="false">CRM_Raw!C624</f>
        <v>2026-01-26</v>
      </c>
      <c r="D624" s="0" t="str">
        <f aca="false">IF(CRM_Raw!D624="DACH","DACH",IF(ISNUMBER(SEARCH("uk",CRM_Raw!D624)),"UK &amp; Ireland",PROPER(CRM_Raw!D624)))</f>
        <v>UK &amp; Ireland</v>
      </c>
      <c r="E624" s="0" t="str">
        <f aca="false">CRM_Raw!E624</f>
        <v>Cordless Vacuums</v>
      </c>
      <c r="F624" s="0" t="str">
        <f aca="false">CRM_Raw!F624</f>
        <v>Email Campaign</v>
      </c>
      <c r="G624" s="0" t="str">
        <f aca="false">IF(TRIM(CRM_Raw!G624)="","Unassigned",CRM_Raw!G624)</f>
        <v>P. Rossi</v>
      </c>
      <c r="H624" s="0" t="str">
        <f aca="false">CRM_Raw!H624</f>
        <v>Closed Lost</v>
      </c>
      <c r="I624" s="10" t="n">
        <f aca="false">CRM_Raw!I624</f>
        <v>1186.75</v>
      </c>
      <c r="J624" s="11" t="n">
        <f aca="false">CRM_Raw!J624</f>
        <v>0.1</v>
      </c>
      <c r="K624" s="10" t="n">
        <f aca="false">I624*(1-J624)</f>
        <v>1068.075</v>
      </c>
      <c r="L624" s="12" t="n">
        <f aca="false">CRM_Raw!K624</f>
        <v>6</v>
      </c>
      <c r="M624" s="12" t="n">
        <f aca="false">IF(H624="Closed Won",1,0)</f>
        <v>0</v>
      </c>
    </row>
    <row r="625" customFormat="false" ht="15" hidden="false" customHeight="false" outlineLevel="0" collapsed="false">
      <c r="A625" s="0" t="str">
        <f aca="false">CRM_Raw!A625</f>
        <v>D-10621</v>
      </c>
      <c r="B625" s="0" t="str">
        <f aca="false">CRM_Raw!B625</f>
        <v>2025-11-19</v>
      </c>
      <c r="C625" s="0" t="n">
        <f aca="false">CRM_Raw!C625</f>
        <v>0</v>
      </c>
      <c r="D625" s="0" t="str">
        <f aca="false">IF(CRM_Raw!D625="DACH","DACH",IF(ISNUMBER(SEARCH("uk",CRM_Raw!D625)),"UK &amp; Ireland",PROPER(CRM_Raw!D625)))</f>
        <v>Benelux</v>
      </c>
      <c r="E625" s="0" t="str">
        <f aca="false">CRM_Raw!E625</f>
        <v>Coffee Systems</v>
      </c>
      <c r="F625" s="0" t="str">
        <f aca="false">CRM_Raw!F625</f>
        <v>Social Media Ads</v>
      </c>
      <c r="G625" s="0" t="str">
        <f aca="false">IF(TRIM(CRM_Raw!G625)="","Unassigned",CRM_Raw!G625)</f>
        <v>J. Murphy</v>
      </c>
      <c r="H625" s="0" t="str">
        <f aca="false">CRM_Raw!H625</f>
        <v>Negotiation</v>
      </c>
      <c r="I625" s="10" t="n">
        <f aca="false">CRM_Raw!I625</f>
        <v>500.93</v>
      </c>
      <c r="J625" s="11" t="n">
        <f aca="false">CRM_Raw!J625</f>
        <v>0.05</v>
      </c>
      <c r="K625" s="10" t="n">
        <f aca="false">I625*(1-J625)</f>
        <v>475.8835</v>
      </c>
      <c r="L625" s="12" t="n">
        <f aca="false">CRM_Raw!K625</f>
        <v>0</v>
      </c>
      <c r="M625" s="12" t="n">
        <f aca="false">IF(H625="Closed Won",1,0)</f>
        <v>0</v>
      </c>
    </row>
    <row r="626" customFormat="false" ht="15" hidden="false" customHeight="false" outlineLevel="0" collapsed="false">
      <c r="A626" s="0" t="str">
        <f aca="false">CRM_Raw!A626</f>
        <v>D-10622</v>
      </c>
      <c r="B626" s="0" t="str">
        <f aca="false">CRM_Raw!B626</f>
        <v>2025-08-10</v>
      </c>
      <c r="C626" s="0" t="str">
        <f aca="false">CRM_Raw!C626</f>
        <v>2025-09-03</v>
      </c>
      <c r="D626" s="0" t="str">
        <f aca="false">IF(CRM_Raw!D626="DACH","DACH",IF(ISNUMBER(SEARCH("uk",CRM_Raw!D626)),"UK &amp; Ireland",PROPER(CRM_Raw!D626)))</f>
        <v>UK &amp; Ireland</v>
      </c>
      <c r="E626" s="0" t="str">
        <f aca="false">CRM_Raw!E626</f>
        <v>Cordless Vacuums</v>
      </c>
      <c r="F626" s="0" t="str">
        <f aca="false">CRM_Raw!F626</f>
        <v>Social Media Ads</v>
      </c>
      <c r="G626" s="0" t="str">
        <f aca="false">IF(TRIM(CRM_Raw!G626)="","Unassigned",CRM_Raw!G626)</f>
        <v>J. Murphy</v>
      </c>
      <c r="H626" s="0" t="str">
        <f aca="false">CRM_Raw!H626</f>
        <v>Closed Lost</v>
      </c>
      <c r="I626" s="10" t="n">
        <f aca="false">CRM_Raw!I626</f>
        <v>325.41</v>
      </c>
      <c r="J626" s="11" t="n">
        <f aca="false">CRM_Raw!J626</f>
        <v>0</v>
      </c>
      <c r="K626" s="10" t="n">
        <f aca="false">I626*(1-J626)</f>
        <v>325.41</v>
      </c>
      <c r="L626" s="12" t="n">
        <f aca="false">CRM_Raw!K626</f>
        <v>24</v>
      </c>
      <c r="M626" s="12" t="n">
        <f aca="false">IF(H626="Closed Won",1,0)</f>
        <v>0</v>
      </c>
    </row>
    <row r="627" customFormat="false" ht="15" hidden="false" customHeight="false" outlineLevel="0" collapsed="false">
      <c r="A627" s="0" t="str">
        <f aca="false">CRM_Raw!A627</f>
        <v>D-10623</v>
      </c>
      <c r="B627" s="0" t="str">
        <f aca="false">CRM_Raw!B627</f>
        <v>2025-06-07</v>
      </c>
      <c r="C627" s="0" t="str">
        <f aca="false">CRM_Raw!C627</f>
        <v>2025-07-05</v>
      </c>
      <c r="D627" s="0" t="str">
        <f aca="false">IF(CRM_Raw!D627="DACH","DACH",IF(ISNUMBER(SEARCH("uk",CRM_Raw!D627)),"UK &amp; Ireland",PROPER(CRM_Raw!D627)))</f>
        <v>Benelux</v>
      </c>
      <c r="E627" s="0" t="str">
        <f aca="false">CRM_Raw!E627</f>
        <v>Washing Machines</v>
      </c>
      <c r="F627" s="0" t="str">
        <f aca="false">CRM_Raw!F627</f>
        <v>Web-shop Organic</v>
      </c>
      <c r="G627" s="0" t="str">
        <f aca="false">IF(TRIM(CRM_Raw!G627)="","Unassigned",CRM_Raw!G627)</f>
        <v>T. Wagner</v>
      </c>
      <c r="H627" s="0" t="str">
        <f aca="false">CRM_Raw!H627</f>
        <v>Closed Won</v>
      </c>
      <c r="I627" s="10" t="n">
        <f aca="false">CRM_Raw!I627</f>
        <v>2227.93</v>
      </c>
      <c r="J627" s="11" t="n">
        <f aca="false">CRM_Raw!J627</f>
        <v>0</v>
      </c>
      <c r="K627" s="10" t="n">
        <f aca="false">I627*(1-J627)</f>
        <v>2227.93</v>
      </c>
      <c r="L627" s="12" t="n">
        <f aca="false">CRM_Raw!K627</f>
        <v>28</v>
      </c>
      <c r="M627" s="12" t="n">
        <f aca="false">IF(H627="Closed Won",1,0)</f>
        <v>1</v>
      </c>
    </row>
    <row r="628" customFormat="false" ht="15" hidden="false" customHeight="false" outlineLevel="0" collapsed="false">
      <c r="A628" s="0" t="str">
        <f aca="false">CRM_Raw!A628</f>
        <v>D-10624</v>
      </c>
      <c r="B628" s="0" t="str">
        <f aca="false">CRM_Raw!B628</f>
        <v>2025-05-16</v>
      </c>
      <c r="C628" s="0" t="str">
        <f aca="false">CRM_Raw!C628</f>
        <v>2025-06-14</v>
      </c>
      <c r="D628" s="0" t="str">
        <f aca="false">IF(CRM_Raw!D628="DACH","DACH",IF(ISNUMBER(SEARCH("uk",CRM_Raw!D628)),"UK &amp; Ireland",PROPER(CRM_Raw!D628)))</f>
        <v>North America</v>
      </c>
      <c r="E628" s="0" t="str">
        <f aca="false">CRM_Raw!E628</f>
        <v>Cordless Vacuums</v>
      </c>
      <c r="F628" s="0" t="str">
        <f aca="false">CRM_Raw!F628</f>
        <v>Web-shop Organic</v>
      </c>
      <c r="G628" s="0" t="str">
        <f aca="false">IF(TRIM(CRM_Raw!G628)="","Unassigned",CRM_Raw!G628)</f>
        <v>L. Dubois</v>
      </c>
      <c r="H628" s="0" t="str">
        <f aca="false">CRM_Raw!H628</f>
        <v>Closed Won</v>
      </c>
      <c r="I628" s="10" t="n">
        <f aca="false">CRM_Raw!I628</f>
        <v>397.54</v>
      </c>
      <c r="J628" s="11" t="n">
        <f aca="false">CRM_Raw!J628</f>
        <v>0</v>
      </c>
      <c r="K628" s="10" t="n">
        <f aca="false">I628*(1-J628)</f>
        <v>397.54</v>
      </c>
      <c r="L628" s="12" t="n">
        <f aca="false">CRM_Raw!K628</f>
        <v>29</v>
      </c>
      <c r="M628" s="12" t="n">
        <f aca="false">IF(H628="Closed Won",1,0)</f>
        <v>1</v>
      </c>
    </row>
    <row r="629" customFormat="false" ht="15" hidden="false" customHeight="false" outlineLevel="0" collapsed="false">
      <c r="A629" s="0" t="str">
        <f aca="false">CRM_Raw!A629</f>
        <v>D-10625</v>
      </c>
      <c r="B629" s="0" t="str">
        <f aca="false">CRM_Raw!B629</f>
        <v>2025-12-08</v>
      </c>
      <c r="C629" s="0" t="str">
        <f aca="false">CRM_Raw!C629</f>
        <v>2025-12-31</v>
      </c>
      <c r="D629" s="0" t="str">
        <f aca="false">IF(CRM_Raw!D629="DACH","DACH",IF(ISNUMBER(SEARCH("uk",CRM_Raw!D629)),"UK &amp; Ireland",PROPER(CRM_Raw!D629)))</f>
        <v>France</v>
      </c>
      <c r="E629" s="0" t="str">
        <f aca="false">CRM_Raw!E629</f>
        <v>Smart Ovens</v>
      </c>
      <c r="F629" s="0" t="str">
        <f aca="false">CRM_Raw!F629</f>
        <v>Affiliate Partner</v>
      </c>
      <c r="G629" s="0" t="str">
        <f aca="false">IF(TRIM(CRM_Raw!G629)="","Unassigned",CRM_Raw!G629)</f>
        <v>L. Dubois</v>
      </c>
      <c r="H629" s="0" t="str">
        <f aca="false">CRM_Raw!H629</f>
        <v>Closed Lost</v>
      </c>
      <c r="I629" s="10" t="n">
        <f aca="false">CRM_Raw!I629</f>
        <v>2321.07</v>
      </c>
      <c r="J629" s="11" t="n">
        <f aca="false">CRM_Raw!J629</f>
        <v>0.2</v>
      </c>
      <c r="K629" s="10" t="n">
        <f aca="false">I629*(1-J629)</f>
        <v>1856.856</v>
      </c>
      <c r="L629" s="12" t="n">
        <f aca="false">CRM_Raw!K629</f>
        <v>23</v>
      </c>
      <c r="M629" s="12" t="n">
        <f aca="false">IF(H629="Closed Won",1,0)</f>
        <v>0</v>
      </c>
    </row>
    <row r="630" customFormat="false" ht="15" hidden="false" customHeight="false" outlineLevel="0" collapsed="false">
      <c r="A630" s="0" t="str">
        <f aca="false">CRM_Raw!A630</f>
        <v>D-10626</v>
      </c>
      <c r="B630" s="0" t="str">
        <f aca="false">CRM_Raw!B630</f>
        <v>2025-08-03</v>
      </c>
      <c r="C630" s="0" t="str">
        <f aca="false">CRM_Raw!C630</f>
        <v>2025-08-26</v>
      </c>
      <c r="D630" s="0" t="str">
        <f aca="false">IF(CRM_Raw!D630="DACH","DACH",IF(ISNUMBER(SEARCH("uk",CRM_Raw!D630)),"UK &amp; Ireland",PROPER(CRM_Raw!D630)))</f>
        <v>Southern Europe</v>
      </c>
      <c r="E630" s="0" t="str">
        <f aca="false">CRM_Raw!E630</f>
        <v>Small Kitchen Appliances</v>
      </c>
      <c r="F630" s="0" t="str">
        <f aca="false">CRM_Raw!F630</f>
        <v>Paid Search</v>
      </c>
      <c r="G630" s="0" t="str">
        <f aca="false">IF(TRIM(CRM_Raw!G630)="","Unassigned",CRM_Raw!G630)</f>
        <v>J. Murphy</v>
      </c>
      <c r="H630" s="0" t="str">
        <f aca="false">CRM_Raw!H630</f>
        <v>Closed Won</v>
      </c>
      <c r="I630" s="10" t="n">
        <f aca="false">CRM_Raw!I630</f>
        <v>238.24</v>
      </c>
      <c r="J630" s="11" t="n">
        <f aca="false">CRM_Raw!J630</f>
        <v>0.15</v>
      </c>
      <c r="K630" s="10" t="n">
        <f aca="false">I630*(1-J630)</f>
        <v>202.504</v>
      </c>
      <c r="L630" s="12" t="n">
        <f aca="false">CRM_Raw!K630</f>
        <v>23</v>
      </c>
      <c r="M630" s="12" t="n">
        <f aca="false">IF(H630="Closed Won",1,0)</f>
        <v>1</v>
      </c>
    </row>
    <row r="631" customFormat="false" ht="15" hidden="false" customHeight="false" outlineLevel="0" collapsed="false">
      <c r="A631" s="0" t="str">
        <f aca="false">CRM_Raw!A631</f>
        <v>D-10627</v>
      </c>
      <c r="B631" s="0" t="str">
        <f aca="false">CRM_Raw!B631</f>
        <v>2025-04-28</v>
      </c>
      <c r="C631" s="0" t="str">
        <f aca="false">CRM_Raw!C631</f>
        <v>2025-05-25</v>
      </c>
      <c r="D631" s="0" t="str">
        <f aca="false">IF(CRM_Raw!D631="DACH","DACH",IF(ISNUMBER(SEARCH("uk",CRM_Raw!D631)),"UK &amp; Ireland",PROPER(CRM_Raw!D631)))</f>
        <v>DACH</v>
      </c>
      <c r="E631" s="0" t="str">
        <f aca="false">CRM_Raw!E631</f>
        <v>Cordless Vacuums</v>
      </c>
      <c r="F631" s="0" t="str">
        <f aca="false">CRM_Raw!F631</f>
        <v>Web-shop Organic</v>
      </c>
      <c r="G631" s="0" t="str">
        <f aca="false">IF(TRIM(CRM_Raw!G631)="","Unassigned",CRM_Raw!G631)</f>
        <v>J. Murphy</v>
      </c>
      <c r="H631" s="0" t="str">
        <f aca="false">CRM_Raw!H631</f>
        <v>Closed Won</v>
      </c>
      <c r="I631" s="10" t="n">
        <f aca="false">CRM_Raw!I631</f>
        <v>1129.36</v>
      </c>
      <c r="J631" s="11" t="n">
        <f aca="false">CRM_Raw!J631</f>
        <v>0</v>
      </c>
      <c r="K631" s="10" t="n">
        <f aca="false">I631*(1-J631)</f>
        <v>1129.36</v>
      </c>
      <c r="L631" s="12" t="n">
        <f aca="false">CRM_Raw!K631</f>
        <v>27</v>
      </c>
      <c r="M631" s="12" t="n">
        <f aca="false">IF(H631="Closed Won",1,0)</f>
        <v>1</v>
      </c>
    </row>
    <row r="632" customFormat="false" ht="15" hidden="false" customHeight="false" outlineLevel="0" collapsed="false">
      <c r="A632" s="0" t="str">
        <f aca="false">CRM_Raw!A632</f>
        <v>D-10628</v>
      </c>
      <c r="B632" s="0" t="str">
        <f aca="false">CRM_Raw!B632</f>
        <v>2025-10-05</v>
      </c>
      <c r="C632" s="0" t="str">
        <f aca="false">CRM_Raw!C632</f>
        <v>2025-10-23</v>
      </c>
      <c r="D632" s="0" t="str">
        <f aca="false">IF(CRM_Raw!D632="DACH","DACH",IF(ISNUMBER(SEARCH("uk",CRM_Raw!D632)),"UK &amp; Ireland",PROPER(CRM_Raw!D632)))</f>
        <v>UK &amp; Ireland</v>
      </c>
      <c r="E632" s="0" t="str">
        <f aca="false">CRM_Raw!E632</f>
        <v>Washing Machines</v>
      </c>
      <c r="F632" s="0" t="str">
        <f aca="false">CRM_Raw!F632</f>
        <v>Paid Search</v>
      </c>
      <c r="G632" s="0" t="str">
        <f aca="false">IF(TRIM(CRM_Raw!G632)="","Unassigned",CRM_Raw!G632)</f>
        <v>P. Rossi</v>
      </c>
      <c r="H632" s="0" t="str">
        <f aca="false">CRM_Raw!H632</f>
        <v>Closed Won</v>
      </c>
      <c r="I632" s="10" t="n">
        <f aca="false">CRM_Raw!I632</f>
        <v>633.51</v>
      </c>
      <c r="J632" s="11" t="n">
        <f aca="false">CRM_Raw!J632</f>
        <v>0</v>
      </c>
      <c r="K632" s="10" t="n">
        <f aca="false">I632*(1-J632)</f>
        <v>633.51</v>
      </c>
      <c r="L632" s="12" t="n">
        <f aca="false">CRM_Raw!K632</f>
        <v>18</v>
      </c>
      <c r="M632" s="12" t="n">
        <f aca="false">IF(H632="Closed Won",1,0)</f>
        <v>1</v>
      </c>
    </row>
    <row r="633" customFormat="false" ht="15" hidden="false" customHeight="false" outlineLevel="0" collapsed="false">
      <c r="A633" s="0" t="str">
        <f aca="false">CRM_Raw!A633</f>
        <v>D-10629</v>
      </c>
      <c r="B633" s="0" t="str">
        <f aca="false">CRM_Raw!B633</f>
        <v>2025-05-14</v>
      </c>
      <c r="C633" s="0" t="str">
        <f aca="false">CRM_Raw!C633</f>
        <v>2025-05-27</v>
      </c>
      <c r="D633" s="0" t="str">
        <f aca="false">IF(CRM_Raw!D633="DACH","DACH",IF(ISNUMBER(SEARCH("uk",CRM_Raw!D633)),"UK &amp; Ireland",PROPER(CRM_Raw!D633)))</f>
        <v>Nordics</v>
      </c>
      <c r="E633" s="0" t="str">
        <f aca="false">CRM_Raw!E633</f>
        <v>Cordless Vacuums</v>
      </c>
      <c r="F633" s="0" t="str">
        <f aca="false">CRM_Raw!F633</f>
        <v>Social Media Ads</v>
      </c>
      <c r="G633" s="0" t="str">
        <f aca="false">IF(TRIM(CRM_Raw!G633)="","Unassigned",CRM_Raw!G633)</f>
        <v>A. Becker</v>
      </c>
      <c r="H633" s="0" t="str">
        <f aca="false">CRM_Raw!H633</f>
        <v>Closed Won</v>
      </c>
      <c r="I633" s="10" t="n">
        <f aca="false">CRM_Raw!I633</f>
        <v>400.89</v>
      </c>
      <c r="J633" s="11" t="n">
        <f aca="false">CRM_Raw!J633</f>
        <v>0</v>
      </c>
      <c r="K633" s="10" t="n">
        <f aca="false">I633*(1-J633)</f>
        <v>400.89</v>
      </c>
      <c r="L633" s="12" t="n">
        <f aca="false">CRM_Raw!K633</f>
        <v>13</v>
      </c>
      <c r="M633" s="12" t="n">
        <f aca="false">IF(H633="Closed Won",1,0)</f>
        <v>1</v>
      </c>
    </row>
    <row r="634" customFormat="false" ht="15" hidden="false" customHeight="false" outlineLevel="0" collapsed="false">
      <c r="A634" s="0" t="str">
        <f aca="false">CRM_Raw!A634</f>
        <v>D-10630</v>
      </c>
      <c r="B634" s="0" t="str">
        <f aca="false">CRM_Raw!B634</f>
        <v>2025-07-03</v>
      </c>
      <c r="C634" s="0" t="n">
        <f aca="false">CRM_Raw!C634</f>
        <v>0</v>
      </c>
      <c r="D634" s="0" t="str">
        <f aca="false">IF(CRM_Raw!D634="DACH","DACH",IF(ISNUMBER(SEARCH("uk",CRM_Raw!D634)),"UK &amp; Ireland",PROPER(CRM_Raw!D634)))</f>
        <v>Benelux</v>
      </c>
      <c r="E634" s="0" t="str">
        <f aca="false">CRM_Raw!E634</f>
        <v>Smart Ovens</v>
      </c>
      <c r="F634" s="0" t="str">
        <f aca="false">CRM_Raw!F634</f>
        <v>Web-shop Organic</v>
      </c>
      <c r="G634" s="0" t="str">
        <f aca="false">IF(TRIM(CRM_Raw!G634)="","Unassigned",CRM_Raw!G634)</f>
        <v>K. Nilsson</v>
      </c>
      <c r="H634" s="0" t="str">
        <f aca="false">CRM_Raw!H634</f>
        <v>Negotiation</v>
      </c>
      <c r="I634" s="10" t="n">
        <f aca="false">CRM_Raw!I634</f>
        <v>1896.88</v>
      </c>
      <c r="J634" s="11" t="n">
        <f aca="false">CRM_Raw!J634</f>
        <v>0.1</v>
      </c>
      <c r="K634" s="10" t="n">
        <f aca="false">I634*(1-J634)</f>
        <v>1707.192</v>
      </c>
      <c r="L634" s="12" t="n">
        <f aca="false">CRM_Raw!K634</f>
        <v>0</v>
      </c>
      <c r="M634" s="12" t="n">
        <f aca="false">IF(H634="Closed Won",1,0)</f>
        <v>0</v>
      </c>
    </row>
    <row r="635" customFormat="false" ht="15" hidden="false" customHeight="false" outlineLevel="0" collapsed="false">
      <c r="A635" s="0" t="str">
        <f aca="false">CRM_Raw!A635</f>
        <v>D-10631</v>
      </c>
      <c r="B635" s="0" t="str">
        <f aca="false">CRM_Raw!B635</f>
        <v>2025-03-22</v>
      </c>
      <c r="C635" s="0" t="n">
        <f aca="false">CRM_Raw!C635</f>
        <v>0</v>
      </c>
      <c r="D635" s="0" t="str">
        <f aca="false">IF(CRM_Raw!D635="DACH","DACH",IF(ISNUMBER(SEARCH("uk",CRM_Raw!D635)),"UK &amp; Ireland",PROPER(CRM_Raw!D635)))</f>
        <v>France</v>
      </c>
      <c r="E635" s="0" t="str">
        <f aca="false">CRM_Raw!E635</f>
        <v>Cordless Vacuums</v>
      </c>
      <c r="F635" s="0" t="str">
        <f aca="false">CRM_Raw!F635</f>
        <v>Paid Search</v>
      </c>
      <c r="G635" s="0" t="str">
        <f aca="false">IF(TRIM(CRM_Raw!G635)="","Unassigned",CRM_Raw!G635)</f>
        <v>S. Andersson</v>
      </c>
      <c r="H635" s="0" t="str">
        <f aca="false">CRM_Raw!H635</f>
        <v>Qualified</v>
      </c>
      <c r="I635" s="10" t="n">
        <f aca="false">CRM_Raw!I635</f>
        <v>776.06</v>
      </c>
      <c r="J635" s="11" t="n">
        <f aca="false">CRM_Raw!J635</f>
        <v>0.1</v>
      </c>
      <c r="K635" s="10" t="n">
        <f aca="false">I635*(1-J635)</f>
        <v>698.454</v>
      </c>
      <c r="L635" s="12" t="n">
        <f aca="false">CRM_Raw!K635</f>
        <v>0</v>
      </c>
      <c r="M635" s="12" t="n">
        <f aca="false">IF(H635="Closed Won",1,0)</f>
        <v>0</v>
      </c>
    </row>
    <row r="636" customFormat="false" ht="15" hidden="false" customHeight="false" outlineLevel="0" collapsed="false">
      <c r="A636" s="0" t="str">
        <f aca="false">CRM_Raw!A636</f>
        <v>D-10632</v>
      </c>
      <c r="B636" s="0" t="str">
        <f aca="false">CRM_Raw!B636</f>
        <v>2025-04-10</v>
      </c>
      <c r="C636" s="0" t="str">
        <f aca="false">CRM_Raw!C636</f>
        <v>2025-04-25</v>
      </c>
      <c r="D636" s="0" t="str">
        <f aca="false">IF(CRM_Raw!D636="DACH","DACH",IF(ISNUMBER(SEARCH("uk",CRM_Raw!D636)),"UK &amp; Ireland",PROPER(CRM_Raw!D636)))</f>
        <v>UK &amp; Ireland</v>
      </c>
      <c r="E636" s="0" t="str">
        <f aca="false">CRM_Raw!E636</f>
        <v>Smart Ovens</v>
      </c>
      <c r="F636" s="0" t="str">
        <f aca="false">CRM_Raw!F636</f>
        <v>Email Campaign</v>
      </c>
      <c r="G636" s="0" t="str">
        <f aca="false">IF(TRIM(CRM_Raw!G636)="","Unassigned",CRM_Raw!G636)</f>
        <v>T. Wagner</v>
      </c>
      <c r="H636" s="0" t="str">
        <f aca="false">CRM_Raw!H636</f>
        <v>Closed Lost</v>
      </c>
      <c r="I636" s="10" t="n">
        <f aca="false">CRM_Raw!I636</f>
        <v>860.38</v>
      </c>
      <c r="J636" s="11" t="n">
        <f aca="false">CRM_Raw!J636</f>
        <v>0</v>
      </c>
      <c r="K636" s="10" t="n">
        <f aca="false">I636*(1-J636)</f>
        <v>860.38</v>
      </c>
      <c r="L636" s="12" t="n">
        <f aca="false">CRM_Raw!K636</f>
        <v>15</v>
      </c>
      <c r="M636" s="12" t="n">
        <f aca="false">IF(H636="Closed Won",1,0)</f>
        <v>0</v>
      </c>
    </row>
    <row r="637" customFormat="false" ht="15" hidden="false" customHeight="false" outlineLevel="0" collapsed="false">
      <c r="A637" s="0" t="str">
        <f aca="false">CRM_Raw!A637</f>
        <v>D-10633</v>
      </c>
      <c r="B637" s="0" t="str">
        <f aca="false">CRM_Raw!B637</f>
        <v>2026-02-06</v>
      </c>
      <c r="C637" s="0" t="str">
        <f aca="false">CRM_Raw!C637</f>
        <v>2026-02-14</v>
      </c>
      <c r="D637" s="0" t="str">
        <f aca="false">IF(CRM_Raw!D637="DACH","DACH",IF(ISNUMBER(SEARCH("uk",CRM_Raw!D637)),"UK &amp; Ireland",PROPER(CRM_Raw!D637)))</f>
        <v>UK &amp; Ireland</v>
      </c>
      <c r="E637" s="0" t="str">
        <f aca="false">CRM_Raw!E637</f>
        <v>Washing Machines</v>
      </c>
      <c r="F637" s="0" t="str">
        <f aca="false">CRM_Raw!F637</f>
        <v>Paid Search</v>
      </c>
      <c r="G637" s="0" t="str">
        <f aca="false">IF(TRIM(CRM_Raw!G637)="","Unassigned",CRM_Raw!G637)</f>
        <v>P. Rossi</v>
      </c>
      <c r="H637" s="0" t="str">
        <f aca="false">CRM_Raw!H637</f>
        <v>Closed Won</v>
      </c>
      <c r="I637" s="10" t="n">
        <f aca="false">CRM_Raw!I637</f>
        <v>741.62</v>
      </c>
      <c r="J637" s="11" t="n">
        <f aca="false">CRM_Raw!J637</f>
        <v>0.2</v>
      </c>
      <c r="K637" s="10" t="n">
        <f aca="false">I637*(1-J637)</f>
        <v>593.296</v>
      </c>
      <c r="L637" s="12" t="n">
        <f aca="false">CRM_Raw!K637</f>
        <v>8</v>
      </c>
      <c r="M637" s="12" t="n">
        <f aca="false">IF(H637="Closed Won",1,0)</f>
        <v>1</v>
      </c>
    </row>
    <row r="638" customFormat="false" ht="15" hidden="false" customHeight="false" outlineLevel="0" collapsed="false">
      <c r="A638" s="0" t="str">
        <f aca="false">CRM_Raw!A638</f>
        <v>D-10634</v>
      </c>
      <c r="B638" s="0" t="str">
        <f aca="false">CRM_Raw!B638</f>
        <v>2025-03-08</v>
      </c>
      <c r="C638" s="0" t="str">
        <f aca="false">CRM_Raw!C638</f>
        <v>2025-03-23</v>
      </c>
      <c r="D638" s="0" t="str">
        <f aca="false">IF(CRM_Raw!D638="DACH","DACH",IF(ISNUMBER(SEARCH("uk",CRM_Raw!D638)),"UK &amp; Ireland",PROPER(CRM_Raw!D638)))</f>
        <v>North America</v>
      </c>
      <c r="E638" s="0" t="str">
        <f aca="false">CRM_Raw!E638</f>
        <v>Cordless Vacuums</v>
      </c>
      <c r="F638" s="0" t="str">
        <f aca="false">CRM_Raw!F638</f>
        <v>Social Media Ads</v>
      </c>
      <c r="G638" s="0" t="str">
        <f aca="false">IF(TRIM(CRM_Raw!G638)="","Unassigned",CRM_Raw!G638)</f>
        <v>A. Becker</v>
      </c>
      <c r="H638" s="0" t="str">
        <f aca="false">CRM_Raw!H638</f>
        <v>Closed Lost</v>
      </c>
      <c r="I638" s="10" t="n">
        <f aca="false">CRM_Raw!I638</f>
        <v>337.04</v>
      </c>
      <c r="J638" s="11" t="n">
        <f aca="false">CRM_Raw!J638</f>
        <v>0.1</v>
      </c>
      <c r="K638" s="10" t="n">
        <f aca="false">I638*(1-J638)</f>
        <v>303.336</v>
      </c>
      <c r="L638" s="12" t="n">
        <f aca="false">CRM_Raw!K638</f>
        <v>15</v>
      </c>
      <c r="M638" s="12" t="n">
        <f aca="false">IF(H638="Closed Won",1,0)</f>
        <v>0</v>
      </c>
    </row>
    <row r="639" customFormat="false" ht="15" hidden="false" customHeight="false" outlineLevel="0" collapsed="false">
      <c r="A639" s="0" t="str">
        <f aca="false">CRM_Raw!A639</f>
        <v>D-10635</v>
      </c>
      <c r="B639" s="0" t="str">
        <f aca="false">CRM_Raw!B639</f>
        <v>2025-04-20</v>
      </c>
      <c r="C639" s="0" t="str">
        <f aca="false">CRM_Raw!C639</f>
        <v>2025-05-19</v>
      </c>
      <c r="D639" s="0" t="str">
        <f aca="false">IF(CRM_Raw!D639="DACH","DACH",IF(ISNUMBER(SEARCH("uk",CRM_Raw!D639)),"UK &amp; Ireland",PROPER(CRM_Raw!D639)))</f>
        <v>Nordics</v>
      </c>
      <c r="E639" s="0" t="str">
        <f aca="false">CRM_Raw!E639</f>
        <v>Coffee Systems</v>
      </c>
      <c r="F639" s="0" t="str">
        <f aca="false">CRM_Raw!F639</f>
        <v>Social Media Ads</v>
      </c>
      <c r="G639" s="0" t="str">
        <f aca="false">IF(TRIM(CRM_Raw!G639)="","Unassigned",CRM_Raw!G639)</f>
        <v>K. Nilsson</v>
      </c>
      <c r="H639" s="0" t="str">
        <f aca="false">CRM_Raw!H639</f>
        <v>Closed Won</v>
      </c>
      <c r="I639" s="10" t="n">
        <f aca="false">CRM_Raw!I639</f>
        <v>548.66</v>
      </c>
      <c r="J639" s="11" t="n">
        <f aca="false">CRM_Raw!J639</f>
        <v>0.1</v>
      </c>
      <c r="K639" s="10" t="n">
        <f aca="false">I639*(1-J639)</f>
        <v>493.794</v>
      </c>
      <c r="L639" s="12" t="n">
        <f aca="false">CRM_Raw!K639</f>
        <v>29</v>
      </c>
      <c r="M639" s="12" t="n">
        <f aca="false">IF(H639="Closed Won",1,0)</f>
        <v>1</v>
      </c>
    </row>
    <row r="640" customFormat="false" ht="15" hidden="false" customHeight="false" outlineLevel="0" collapsed="false">
      <c r="A640" s="0" t="str">
        <f aca="false">CRM_Raw!A640</f>
        <v>D-10636</v>
      </c>
      <c r="B640" s="0" t="str">
        <f aca="false">CRM_Raw!B640</f>
        <v>2025-09-07</v>
      </c>
      <c r="C640" s="0" t="str">
        <f aca="false">CRM_Raw!C640</f>
        <v>2025-10-06</v>
      </c>
      <c r="D640" s="0" t="str">
        <f aca="false">IF(CRM_Raw!D640="DACH","DACH",IF(ISNUMBER(SEARCH("uk",CRM_Raw!D640)),"UK &amp; Ireland",PROPER(CRM_Raw!D640)))</f>
        <v>Benelux</v>
      </c>
      <c r="E640" s="0" t="str">
        <f aca="false">CRM_Raw!E640</f>
        <v>Dishwashers</v>
      </c>
      <c r="F640" s="0" t="str">
        <f aca="false">CRM_Raw!F640</f>
        <v>Social Media Ads</v>
      </c>
      <c r="G640" s="0" t="str">
        <f aca="false">IF(TRIM(CRM_Raw!G640)="","Unassigned",CRM_Raw!G640)</f>
        <v>S. Andersson</v>
      </c>
      <c r="H640" s="0" t="str">
        <f aca="false">CRM_Raw!H640</f>
        <v>Closed Lost</v>
      </c>
      <c r="I640" s="10" t="n">
        <f aca="false">CRM_Raw!I640</f>
        <v>2086.03</v>
      </c>
      <c r="J640" s="11" t="n">
        <f aca="false">CRM_Raw!J640</f>
        <v>0.05</v>
      </c>
      <c r="K640" s="10" t="n">
        <f aca="false">I640*(1-J640)</f>
        <v>1981.7285</v>
      </c>
      <c r="L640" s="12" t="n">
        <f aca="false">CRM_Raw!K640</f>
        <v>29</v>
      </c>
      <c r="M640" s="12" t="n">
        <f aca="false">IF(H640="Closed Won",1,0)</f>
        <v>0</v>
      </c>
    </row>
    <row r="641" customFormat="false" ht="15" hidden="false" customHeight="false" outlineLevel="0" collapsed="false">
      <c r="A641" s="0" t="str">
        <f aca="false">CRM_Raw!A641</f>
        <v>D-10637</v>
      </c>
      <c r="B641" s="0" t="str">
        <f aca="false">CRM_Raw!B641</f>
        <v>2025-08-30</v>
      </c>
      <c r="C641" s="0" t="str">
        <f aca="false">CRM_Raw!C641</f>
        <v>2025-09-18</v>
      </c>
      <c r="D641" s="0" t="str">
        <f aca="false">IF(CRM_Raw!D641="DACH","DACH",IF(ISNUMBER(SEARCH("uk",CRM_Raw!D641)),"UK &amp; Ireland",PROPER(CRM_Raw!D641)))</f>
        <v>North America</v>
      </c>
      <c r="E641" s="0" t="str">
        <f aca="false">CRM_Raw!E641</f>
        <v>Dishwashers</v>
      </c>
      <c r="F641" s="0" t="str">
        <f aca="false">CRM_Raw!F641</f>
        <v>Social Media Ads</v>
      </c>
      <c r="G641" s="0" t="str">
        <f aca="false">IF(TRIM(CRM_Raw!G641)="","Unassigned",CRM_Raw!G641)</f>
        <v>P. Rossi</v>
      </c>
      <c r="H641" s="0" t="str">
        <f aca="false">CRM_Raw!H641</f>
        <v>Closed Won</v>
      </c>
      <c r="I641" s="10" t="n">
        <f aca="false">CRM_Raw!I641</f>
        <v>2256.01</v>
      </c>
      <c r="J641" s="11" t="n">
        <f aca="false">CRM_Raw!J641</f>
        <v>0.2</v>
      </c>
      <c r="K641" s="10" t="n">
        <f aca="false">I641*(1-J641)</f>
        <v>1804.808</v>
      </c>
      <c r="L641" s="12" t="n">
        <f aca="false">CRM_Raw!K641</f>
        <v>19</v>
      </c>
      <c r="M641" s="12" t="n">
        <f aca="false">IF(H641="Closed Won",1,0)</f>
        <v>1</v>
      </c>
    </row>
    <row r="642" customFormat="false" ht="15" hidden="false" customHeight="false" outlineLevel="0" collapsed="false">
      <c r="A642" s="0" t="str">
        <f aca="false">CRM_Raw!A642</f>
        <v>D-10638</v>
      </c>
      <c r="B642" s="0" t="str">
        <f aca="false">CRM_Raw!B642</f>
        <v>2025-11-30</v>
      </c>
      <c r="C642" s="0" t="str">
        <f aca="false">CRM_Raw!C642</f>
        <v>2025-12-23</v>
      </c>
      <c r="D642" s="0" t="str">
        <f aca="false">IF(CRM_Raw!D642="DACH","DACH",IF(ISNUMBER(SEARCH("uk",CRM_Raw!D642)),"UK &amp; Ireland",PROPER(CRM_Raw!D642)))</f>
        <v>Benelux</v>
      </c>
      <c r="E642" s="0" t="str">
        <f aca="false">CRM_Raw!E642</f>
        <v>Smart Ovens</v>
      </c>
      <c r="F642" s="0" t="str">
        <f aca="false">CRM_Raw!F642</f>
        <v>Social Media Ads</v>
      </c>
      <c r="G642" s="0" t="str">
        <f aca="false">IF(TRIM(CRM_Raw!G642)="","Unassigned",CRM_Raw!G642)</f>
        <v>T. Wagner</v>
      </c>
      <c r="H642" s="0" t="str">
        <f aca="false">CRM_Raw!H642</f>
        <v>Closed Lost</v>
      </c>
      <c r="I642" s="10" t="n">
        <f aca="false">CRM_Raw!I642</f>
        <v>961.8</v>
      </c>
      <c r="J642" s="11" t="n">
        <f aca="false">CRM_Raw!J642</f>
        <v>0.1</v>
      </c>
      <c r="K642" s="10" t="n">
        <f aca="false">I642*(1-J642)</f>
        <v>865.62</v>
      </c>
      <c r="L642" s="12" t="n">
        <f aca="false">CRM_Raw!K642</f>
        <v>23</v>
      </c>
      <c r="M642" s="12" t="n">
        <f aca="false">IF(H642="Closed Won",1,0)</f>
        <v>0</v>
      </c>
    </row>
    <row r="643" customFormat="false" ht="15" hidden="false" customHeight="false" outlineLevel="0" collapsed="false">
      <c r="A643" s="0" t="str">
        <f aca="false">CRM_Raw!A643</f>
        <v>D-10639</v>
      </c>
      <c r="B643" s="0" t="str">
        <f aca="false">CRM_Raw!B643</f>
        <v>2025-12-02</v>
      </c>
      <c r="C643" s="0" t="str">
        <f aca="false">CRM_Raw!C643</f>
        <v>2025-12-17</v>
      </c>
      <c r="D643" s="0" t="str">
        <f aca="false">IF(CRM_Raw!D643="DACH","DACH",IF(ISNUMBER(SEARCH("uk",CRM_Raw!D643)),"UK &amp; Ireland",PROPER(CRM_Raw!D643)))</f>
        <v>DACH</v>
      </c>
      <c r="E643" s="0" t="str">
        <f aca="false">CRM_Raw!E643</f>
        <v>Small Kitchen Appliances</v>
      </c>
      <c r="F643" s="0" t="str">
        <f aca="false">CRM_Raw!F643</f>
        <v>Email Campaign</v>
      </c>
      <c r="G643" s="0" t="str">
        <f aca="false">IF(TRIM(CRM_Raw!G643)="","Unassigned",CRM_Raw!G643)</f>
        <v>K. Nilsson</v>
      </c>
      <c r="H643" s="0" t="str">
        <f aca="false">CRM_Raw!H643</f>
        <v>Closed Lost</v>
      </c>
      <c r="I643" s="10" t="n">
        <f aca="false">CRM_Raw!I643</f>
        <v>129.24</v>
      </c>
      <c r="J643" s="11" t="n">
        <f aca="false">CRM_Raw!J643</f>
        <v>0</v>
      </c>
      <c r="K643" s="10" t="n">
        <f aca="false">I643*(1-J643)</f>
        <v>129.24</v>
      </c>
      <c r="L643" s="12" t="n">
        <f aca="false">CRM_Raw!K643</f>
        <v>15</v>
      </c>
      <c r="M643" s="12" t="n">
        <f aca="false">IF(H643="Closed Won",1,0)</f>
        <v>0</v>
      </c>
    </row>
    <row r="644" customFormat="false" ht="15" hidden="false" customHeight="false" outlineLevel="0" collapsed="false">
      <c r="A644" s="0" t="str">
        <f aca="false">CRM_Raw!A644</f>
        <v>D-10640</v>
      </c>
      <c r="B644" s="0" t="str">
        <f aca="false">CRM_Raw!B644</f>
        <v>2025-05-31</v>
      </c>
      <c r="C644" s="0" t="n">
        <f aca="false">CRM_Raw!C644</f>
        <v>0</v>
      </c>
      <c r="D644" s="0" t="str">
        <f aca="false">IF(CRM_Raw!D644="DACH","DACH",IF(ISNUMBER(SEARCH("uk",CRM_Raw!D644)),"UK &amp; Ireland",PROPER(CRM_Raw!D644)))</f>
        <v>North America</v>
      </c>
      <c r="E644" s="0" t="str">
        <f aca="false">CRM_Raw!E644</f>
        <v>Coffee Systems</v>
      </c>
      <c r="F644" s="0" t="str">
        <f aca="false">CRM_Raw!F644</f>
        <v>Retail Referral</v>
      </c>
      <c r="G644" s="0" t="str">
        <f aca="false">IF(TRIM(CRM_Raw!G644)="","Unassigned",CRM_Raw!G644)</f>
        <v>A. Becker</v>
      </c>
      <c r="H644" s="0" t="str">
        <f aca="false">CRM_Raw!H644</f>
        <v>Negotiation</v>
      </c>
      <c r="I644" s="10" t="n">
        <f aca="false">CRM_Raw!I644</f>
        <v>523.85</v>
      </c>
      <c r="J644" s="11" t="n">
        <f aca="false">CRM_Raw!J644</f>
        <v>0.05</v>
      </c>
      <c r="K644" s="10" t="n">
        <f aca="false">I644*(1-J644)</f>
        <v>497.6575</v>
      </c>
      <c r="L644" s="12" t="n">
        <f aca="false">CRM_Raw!K644</f>
        <v>0</v>
      </c>
      <c r="M644" s="12" t="n">
        <f aca="false">IF(H644="Closed Won",1,0)</f>
        <v>0</v>
      </c>
    </row>
    <row r="645" customFormat="false" ht="15" hidden="false" customHeight="false" outlineLevel="0" collapsed="false">
      <c r="A645" s="0" t="str">
        <f aca="false">CRM_Raw!A645</f>
        <v>D-10641</v>
      </c>
      <c r="B645" s="0" t="str">
        <f aca="false">CRM_Raw!B645</f>
        <v>2025-11-21</v>
      </c>
      <c r="C645" s="0" t="str">
        <f aca="false">CRM_Raw!C645</f>
        <v>2025-12-15</v>
      </c>
      <c r="D645" s="0" t="str">
        <f aca="false">IF(CRM_Raw!D645="DACH","DACH",IF(ISNUMBER(SEARCH("uk",CRM_Raw!D645)),"UK &amp; Ireland",PROPER(CRM_Raw!D645)))</f>
        <v>Nordics</v>
      </c>
      <c r="E645" s="0" t="str">
        <f aca="false">CRM_Raw!E645</f>
        <v>Washing Machines</v>
      </c>
      <c r="F645" s="0" t="str">
        <f aca="false">CRM_Raw!F645</f>
        <v>Paid Search</v>
      </c>
      <c r="G645" s="0" t="str">
        <f aca="false">IF(TRIM(CRM_Raw!G645)="","Unassigned",CRM_Raw!G645)</f>
        <v>S. Andersson</v>
      </c>
      <c r="H645" s="0" t="str">
        <f aca="false">CRM_Raw!H645</f>
        <v>Closed Won</v>
      </c>
      <c r="I645" s="10" t="n">
        <f aca="false">CRM_Raw!I645</f>
        <v>1483.64</v>
      </c>
      <c r="J645" s="11" t="n">
        <f aca="false">CRM_Raw!J645</f>
        <v>0.15</v>
      </c>
      <c r="K645" s="10" t="n">
        <f aca="false">I645*(1-J645)</f>
        <v>1261.094</v>
      </c>
      <c r="L645" s="12" t="n">
        <f aca="false">CRM_Raw!K645</f>
        <v>24</v>
      </c>
      <c r="M645" s="12" t="n">
        <f aca="false">IF(H645="Closed Won",1,0)</f>
        <v>1</v>
      </c>
    </row>
    <row r="646" customFormat="false" ht="15" hidden="false" customHeight="false" outlineLevel="0" collapsed="false">
      <c r="A646" s="0" t="str">
        <f aca="false">CRM_Raw!A646</f>
        <v>D-10642</v>
      </c>
      <c r="B646" s="0" t="str">
        <f aca="false">CRM_Raw!B646</f>
        <v>2025-05-11</v>
      </c>
      <c r="C646" s="0" t="n">
        <f aca="false">CRM_Raw!C646</f>
        <v>0</v>
      </c>
      <c r="D646" s="0" t="str">
        <f aca="false">IF(CRM_Raw!D646="DACH","DACH",IF(ISNUMBER(SEARCH("uk",CRM_Raw!D646)),"UK &amp; Ireland",PROPER(CRM_Raw!D646)))</f>
        <v>France</v>
      </c>
      <c r="E646" s="0" t="str">
        <f aca="false">CRM_Raw!E646</f>
        <v>Smart Ovens</v>
      </c>
      <c r="F646" s="0" t="str">
        <f aca="false">CRM_Raw!F646</f>
        <v>Social Media Ads</v>
      </c>
      <c r="G646" s="0" t="str">
        <f aca="false">IF(TRIM(CRM_Raw!G646)="","Unassigned",CRM_Raw!G646)</f>
        <v>K. Nilsson</v>
      </c>
      <c r="H646" s="0" t="str">
        <f aca="false">CRM_Raw!H646</f>
        <v>Proposal Sent</v>
      </c>
      <c r="I646" s="10" t="n">
        <f aca="false">CRM_Raw!I646</f>
        <v>2331.16</v>
      </c>
      <c r="J646" s="11" t="n">
        <f aca="false">CRM_Raw!J646</f>
        <v>0</v>
      </c>
      <c r="K646" s="10" t="n">
        <f aca="false">I646*(1-J646)</f>
        <v>2331.16</v>
      </c>
      <c r="L646" s="12" t="n">
        <f aca="false">CRM_Raw!K646</f>
        <v>0</v>
      </c>
      <c r="M646" s="12" t="n">
        <f aca="false">IF(H646="Closed Won",1,0)</f>
        <v>0</v>
      </c>
    </row>
    <row r="647" customFormat="false" ht="15" hidden="false" customHeight="false" outlineLevel="0" collapsed="false">
      <c r="A647" s="0" t="str">
        <f aca="false">CRM_Raw!A647</f>
        <v>D-10643</v>
      </c>
      <c r="B647" s="0" t="str">
        <f aca="false">CRM_Raw!B647</f>
        <v>2025-04-23</v>
      </c>
      <c r="C647" s="0" t="n">
        <f aca="false">CRM_Raw!C647</f>
        <v>0</v>
      </c>
      <c r="D647" s="0" t="str">
        <f aca="false">IF(CRM_Raw!D647="DACH","DACH",IF(ISNUMBER(SEARCH("uk",CRM_Raw!D647)),"UK &amp; Ireland",PROPER(CRM_Raw!D647)))</f>
        <v>DACH</v>
      </c>
      <c r="E647" s="0" t="str">
        <f aca="false">CRM_Raw!E647</f>
        <v>Small Kitchen Appliances</v>
      </c>
      <c r="F647" s="0" t="str">
        <f aca="false">CRM_Raw!F647</f>
        <v>Social Media Ads</v>
      </c>
      <c r="G647" s="0" t="str">
        <f aca="false">IF(TRIM(CRM_Raw!G647)="","Unassigned",CRM_Raw!G647)</f>
        <v>P. Rossi</v>
      </c>
      <c r="H647" s="0" t="str">
        <f aca="false">CRM_Raw!H647</f>
        <v>Proposal Sent</v>
      </c>
      <c r="I647" s="10" t="n">
        <f aca="false">CRM_Raw!I647</f>
        <v>135.33</v>
      </c>
      <c r="J647" s="11" t="n">
        <f aca="false">CRM_Raw!J647</f>
        <v>0.05</v>
      </c>
      <c r="K647" s="10" t="n">
        <f aca="false">I647*(1-J647)</f>
        <v>128.5635</v>
      </c>
      <c r="L647" s="12" t="n">
        <f aca="false">CRM_Raw!K647</f>
        <v>0</v>
      </c>
      <c r="M647" s="12" t="n">
        <f aca="false">IF(H647="Closed Won",1,0)</f>
        <v>0</v>
      </c>
    </row>
    <row r="648" customFormat="false" ht="15" hidden="false" customHeight="false" outlineLevel="0" collapsed="false">
      <c r="A648" s="0" t="str">
        <f aca="false">CRM_Raw!A648</f>
        <v>D-10644</v>
      </c>
      <c r="B648" s="0" t="str">
        <f aca="false">CRM_Raw!B648</f>
        <v>2026-01-27</v>
      </c>
      <c r="C648" s="0" t="str">
        <f aca="false">CRM_Raw!C648</f>
        <v>2026-02-03</v>
      </c>
      <c r="D648" s="0" t="str">
        <f aca="false">IF(CRM_Raw!D648="DACH","DACH",IF(ISNUMBER(SEARCH("uk",CRM_Raw!D648)),"UK &amp; Ireland",PROPER(CRM_Raw!D648)))</f>
        <v>Southern Europe</v>
      </c>
      <c r="E648" s="0" t="str">
        <f aca="false">CRM_Raw!E648</f>
        <v>Washing Machines</v>
      </c>
      <c r="F648" s="0" t="str">
        <f aca="false">CRM_Raw!F648</f>
        <v>Paid Search</v>
      </c>
      <c r="G648" s="0" t="str">
        <f aca="false">IF(TRIM(CRM_Raw!G648)="","Unassigned",CRM_Raw!G648)</f>
        <v>P. Rossi</v>
      </c>
      <c r="H648" s="0" t="str">
        <f aca="false">CRM_Raw!H648</f>
        <v>Closed Lost</v>
      </c>
      <c r="I648" s="10" t="n">
        <f aca="false">CRM_Raw!I648</f>
        <v>664.12</v>
      </c>
      <c r="J648" s="11" t="n">
        <f aca="false">CRM_Raw!J648</f>
        <v>0.15</v>
      </c>
      <c r="K648" s="10" t="n">
        <f aca="false">I648*(1-J648)</f>
        <v>564.502</v>
      </c>
      <c r="L648" s="12" t="n">
        <f aca="false">CRM_Raw!K648</f>
        <v>7</v>
      </c>
      <c r="M648" s="12" t="n">
        <f aca="false">IF(H648="Closed Won",1,0)</f>
        <v>0</v>
      </c>
    </row>
    <row r="649" customFormat="false" ht="15" hidden="false" customHeight="false" outlineLevel="0" collapsed="false">
      <c r="A649" s="0" t="str">
        <f aca="false">CRM_Raw!A649</f>
        <v>D-10645</v>
      </c>
      <c r="B649" s="0" t="str">
        <f aca="false">CRM_Raw!B649</f>
        <v>2026-01-04</v>
      </c>
      <c r="C649" s="0" t="n">
        <f aca="false">CRM_Raw!C649</f>
        <v>0</v>
      </c>
      <c r="D649" s="0" t="str">
        <f aca="false">IF(CRM_Raw!D649="DACH","DACH",IF(ISNUMBER(SEARCH("uk",CRM_Raw!D649)),"UK &amp; Ireland",PROPER(CRM_Raw!D649)))</f>
        <v>UK &amp; Ireland</v>
      </c>
      <c r="E649" s="0" t="str">
        <f aca="false">CRM_Raw!E649</f>
        <v>Dishwashers</v>
      </c>
      <c r="F649" s="0" t="str">
        <f aca="false">CRM_Raw!F649</f>
        <v>Web-shop Organic</v>
      </c>
      <c r="G649" s="0" t="str">
        <f aca="false">IF(TRIM(CRM_Raw!G649)="","Unassigned",CRM_Raw!G649)</f>
        <v>K. Nilsson</v>
      </c>
      <c r="H649" s="0" t="str">
        <f aca="false">CRM_Raw!H649</f>
        <v>Proposal Sent</v>
      </c>
      <c r="I649" s="10" t="n">
        <f aca="false">CRM_Raw!I649</f>
        <v>663.23</v>
      </c>
      <c r="J649" s="11" t="n">
        <f aca="false">CRM_Raw!J649</f>
        <v>0</v>
      </c>
      <c r="K649" s="10" t="n">
        <f aca="false">I649*(1-J649)</f>
        <v>663.23</v>
      </c>
      <c r="L649" s="12" t="n">
        <f aca="false">CRM_Raw!K649</f>
        <v>0</v>
      </c>
      <c r="M649" s="12" t="n">
        <f aca="false">IF(H649="Closed Won",1,0)</f>
        <v>0</v>
      </c>
    </row>
    <row r="650" customFormat="false" ht="15" hidden="false" customHeight="false" outlineLevel="0" collapsed="false">
      <c r="A650" s="0" t="str">
        <f aca="false">CRM_Raw!A650</f>
        <v>D-10646</v>
      </c>
      <c r="B650" s="0" t="str">
        <f aca="false">CRM_Raw!B650</f>
        <v>2026-05-14</v>
      </c>
      <c r="C650" s="0" t="n">
        <f aca="false">CRM_Raw!C650</f>
        <v>0</v>
      </c>
      <c r="D650" s="0" t="str">
        <f aca="false">IF(CRM_Raw!D650="DACH","DACH",IF(ISNUMBER(SEARCH("uk",CRM_Raw!D650)),"UK &amp; Ireland",PROPER(CRM_Raw!D650)))</f>
        <v>DACH</v>
      </c>
      <c r="E650" s="0" t="str">
        <f aca="false">CRM_Raw!E650</f>
        <v>Smart Ovens</v>
      </c>
      <c r="F650" s="0" t="str">
        <f aca="false">CRM_Raw!F650</f>
        <v>Affiliate Partner</v>
      </c>
      <c r="G650" s="0" t="str">
        <f aca="false">IF(TRIM(CRM_Raw!G650)="","Unassigned",CRM_Raw!G650)</f>
        <v>M. Hoffmann</v>
      </c>
      <c r="H650" s="0" t="str">
        <f aca="false">CRM_Raw!H650</f>
        <v>Negotiation</v>
      </c>
      <c r="I650" s="10" t="n">
        <f aca="false">CRM_Raw!I650</f>
        <v>965.75</v>
      </c>
      <c r="J650" s="11" t="n">
        <f aca="false">CRM_Raw!J650</f>
        <v>0</v>
      </c>
      <c r="K650" s="10" t="n">
        <f aca="false">I650*(1-J650)</f>
        <v>965.75</v>
      </c>
      <c r="L650" s="12" t="n">
        <f aca="false">CRM_Raw!K650</f>
        <v>0</v>
      </c>
      <c r="M650" s="12" t="n">
        <f aca="false">IF(H650="Closed Won",1,0)</f>
        <v>0</v>
      </c>
    </row>
    <row r="651" customFormat="false" ht="15" hidden="false" customHeight="false" outlineLevel="0" collapsed="false">
      <c r="A651" s="0" t="str">
        <f aca="false">CRM_Raw!A651</f>
        <v>D-10647</v>
      </c>
      <c r="B651" s="0" t="str">
        <f aca="false">CRM_Raw!B651</f>
        <v>2026-03-12</v>
      </c>
      <c r="C651" s="0" t="str">
        <f aca="false">CRM_Raw!C651</f>
        <v>2026-03-23</v>
      </c>
      <c r="D651" s="0" t="str">
        <f aca="false">IF(CRM_Raw!D651="DACH","DACH",IF(ISNUMBER(SEARCH("uk",CRM_Raw!D651)),"UK &amp; Ireland",PROPER(CRM_Raw!D651)))</f>
        <v>UK &amp; Ireland</v>
      </c>
      <c r="E651" s="0" t="str">
        <f aca="false">CRM_Raw!E651</f>
        <v>Small Kitchen Appliances</v>
      </c>
      <c r="F651" s="0" t="str">
        <f aca="false">CRM_Raw!F651</f>
        <v>Email Campaign</v>
      </c>
      <c r="G651" s="0" t="str">
        <f aca="false">IF(TRIM(CRM_Raw!G651)="","Unassigned",CRM_Raw!G651)</f>
        <v>T. Wagner</v>
      </c>
      <c r="H651" s="0" t="str">
        <f aca="false">CRM_Raw!H651</f>
        <v>Closed Lost</v>
      </c>
      <c r="I651" s="10" t="n">
        <f aca="false">CRM_Raw!I651</f>
        <v>267.96</v>
      </c>
      <c r="J651" s="11" t="n">
        <f aca="false">CRM_Raw!J651</f>
        <v>0</v>
      </c>
      <c r="K651" s="10" t="n">
        <f aca="false">I651*(1-J651)</f>
        <v>267.96</v>
      </c>
      <c r="L651" s="12" t="n">
        <f aca="false">CRM_Raw!K651</f>
        <v>11</v>
      </c>
      <c r="M651" s="12" t="n">
        <f aca="false">IF(H651="Closed Won",1,0)</f>
        <v>0</v>
      </c>
    </row>
    <row r="652" customFormat="false" ht="15" hidden="false" customHeight="false" outlineLevel="0" collapsed="false">
      <c r="A652" s="0" t="str">
        <f aca="false">CRM_Raw!A652</f>
        <v>D-10648</v>
      </c>
      <c r="B652" s="0" t="str">
        <f aca="false">CRM_Raw!B652</f>
        <v>2026-05-26</v>
      </c>
      <c r="C652" s="0" t="n">
        <f aca="false">CRM_Raw!C652</f>
        <v>0</v>
      </c>
      <c r="D652" s="0" t="str">
        <f aca="false">IF(CRM_Raw!D652="DACH","DACH",IF(ISNUMBER(SEARCH("uk",CRM_Raw!D652)),"UK &amp; Ireland",PROPER(CRM_Raw!D652)))</f>
        <v>UK &amp; Ireland</v>
      </c>
      <c r="E652" s="0" t="str">
        <f aca="false">CRM_Raw!E652</f>
        <v>Coffee Systems</v>
      </c>
      <c r="F652" s="0" t="str">
        <f aca="false">CRM_Raw!F652</f>
        <v>Paid Search</v>
      </c>
      <c r="G652" s="0" t="str">
        <f aca="false">IF(TRIM(CRM_Raw!G652)="","Unassigned",CRM_Raw!G652)</f>
        <v>A. Becker</v>
      </c>
      <c r="H652" s="0" t="str">
        <f aca="false">CRM_Raw!H652</f>
        <v>Proposal Sent</v>
      </c>
      <c r="I652" s="10" t="n">
        <f aca="false">CRM_Raw!I652</f>
        <v>1489.63</v>
      </c>
      <c r="J652" s="11" t="n">
        <f aca="false">CRM_Raw!J652</f>
        <v>0</v>
      </c>
      <c r="K652" s="10" t="n">
        <f aca="false">I652*(1-J652)</f>
        <v>1489.63</v>
      </c>
      <c r="L652" s="12" t="n">
        <f aca="false">CRM_Raw!K652</f>
        <v>0</v>
      </c>
      <c r="M652" s="12" t="n">
        <f aca="false">IF(H652="Closed Won",1,0)</f>
        <v>0</v>
      </c>
    </row>
    <row r="653" customFormat="false" ht="15" hidden="false" customHeight="false" outlineLevel="0" collapsed="false">
      <c r="A653" s="0" t="str">
        <f aca="false">CRM_Raw!A653</f>
        <v>D-10649</v>
      </c>
      <c r="B653" s="0" t="str">
        <f aca="false">CRM_Raw!B653</f>
        <v>2025-02-08</v>
      </c>
      <c r="C653" s="0" t="str">
        <f aca="false">CRM_Raw!C653</f>
        <v>2025-03-03</v>
      </c>
      <c r="D653" s="0" t="str">
        <f aca="false">IF(CRM_Raw!D653="DACH","DACH",IF(ISNUMBER(SEARCH("uk",CRM_Raw!D653)),"UK &amp; Ireland",PROPER(CRM_Raw!D653)))</f>
        <v>Benelux</v>
      </c>
      <c r="E653" s="0" t="str">
        <f aca="false">CRM_Raw!E653</f>
        <v>Washing Machines</v>
      </c>
      <c r="F653" s="0" t="str">
        <f aca="false">CRM_Raw!F653</f>
        <v>Social Media Ads</v>
      </c>
      <c r="G653" s="0" t="str">
        <f aca="false">IF(TRIM(CRM_Raw!G653)="","Unassigned",CRM_Raw!G653)</f>
        <v>A. Becker</v>
      </c>
      <c r="H653" s="0" t="str">
        <f aca="false">CRM_Raw!H653</f>
        <v>Closed Lost</v>
      </c>
      <c r="I653" s="10" t="n">
        <f aca="false">CRM_Raw!I653</f>
        <v>707.47</v>
      </c>
      <c r="J653" s="11" t="n">
        <f aca="false">CRM_Raw!J653</f>
        <v>0.1</v>
      </c>
      <c r="K653" s="10" t="n">
        <f aca="false">I653*(1-J653)</f>
        <v>636.723</v>
      </c>
      <c r="L653" s="12" t="n">
        <f aca="false">CRM_Raw!K653</f>
        <v>23</v>
      </c>
      <c r="M653" s="12" t="n">
        <f aca="false">IF(H653="Closed Won",1,0)</f>
        <v>0</v>
      </c>
    </row>
    <row r="654" customFormat="false" ht="15" hidden="false" customHeight="false" outlineLevel="0" collapsed="false">
      <c r="A654" s="0" t="str">
        <f aca="false">CRM_Raw!A654</f>
        <v>D-10650</v>
      </c>
      <c r="B654" s="0" t="str">
        <f aca="false">CRM_Raw!B654</f>
        <v>2026-04-22</v>
      </c>
      <c r="C654" s="0" t="str">
        <f aca="false">CRM_Raw!C654</f>
        <v>2026-04-30</v>
      </c>
      <c r="D654" s="0" t="str">
        <f aca="false">IF(CRM_Raw!D654="DACH","DACH",IF(ISNUMBER(SEARCH("uk",CRM_Raw!D654)),"UK &amp; Ireland",PROPER(CRM_Raw!D654)))</f>
        <v>Benelux</v>
      </c>
      <c r="E654" s="0" t="str">
        <f aca="false">CRM_Raw!E654</f>
        <v>Small Kitchen Appliances</v>
      </c>
      <c r="F654" s="0" t="str">
        <f aca="false">CRM_Raw!F654</f>
        <v>Web-shop Organic</v>
      </c>
      <c r="G654" s="0" t="str">
        <f aca="false">IF(TRIM(CRM_Raw!G654)="","Unassigned",CRM_Raw!G654)</f>
        <v>Unassigned</v>
      </c>
      <c r="H654" s="0" t="str">
        <f aca="false">CRM_Raw!H654</f>
        <v>Closed Lost</v>
      </c>
      <c r="I654" s="10" t="n">
        <f aca="false">CRM_Raw!I654</f>
        <v>116.93</v>
      </c>
      <c r="J654" s="11" t="n">
        <f aca="false">CRM_Raw!J654</f>
        <v>0.15</v>
      </c>
      <c r="K654" s="10" t="n">
        <f aca="false">I654*(1-J654)</f>
        <v>99.3905</v>
      </c>
      <c r="L654" s="12" t="n">
        <f aca="false">CRM_Raw!K654</f>
        <v>8</v>
      </c>
      <c r="M654" s="12" t="n">
        <f aca="false">IF(H654="Closed Won",1,0)</f>
        <v>0</v>
      </c>
    </row>
    <row r="655" customFormat="false" ht="15" hidden="false" customHeight="false" outlineLevel="0" collapsed="false">
      <c r="A655" s="0" t="str">
        <f aca="false">CRM_Raw!A655</f>
        <v>D-10651</v>
      </c>
      <c r="B655" s="0" t="str">
        <f aca="false">CRM_Raw!B655</f>
        <v>2025-02-24</v>
      </c>
      <c r="C655" s="0" t="n">
        <f aca="false">CRM_Raw!C655</f>
        <v>0</v>
      </c>
      <c r="D655" s="0" t="str">
        <f aca="false">IF(CRM_Raw!D655="DACH","DACH",IF(ISNUMBER(SEARCH("uk",CRM_Raw!D655)),"UK &amp; Ireland",PROPER(CRM_Raw!D655)))</f>
        <v>Southern Europe</v>
      </c>
      <c r="E655" s="0" t="str">
        <f aca="false">CRM_Raw!E655</f>
        <v>Washing Machines</v>
      </c>
      <c r="F655" s="0" t="str">
        <f aca="false">CRM_Raw!F655</f>
        <v>Email Campaign</v>
      </c>
      <c r="G655" s="0" t="str">
        <f aca="false">IF(TRIM(CRM_Raw!G655)="","Unassigned",CRM_Raw!G655)</f>
        <v>J. Murphy</v>
      </c>
      <c r="H655" s="0" t="str">
        <f aca="false">CRM_Raw!H655</f>
        <v>Qualified</v>
      </c>
      <c r="I655" s="10" t="n">
        <f aca="false">CRM_Raw!I655</f>
        <v>680.17</v>
      </c>
      <c r="J655" s="11" t="n">
        <f aca="false">CRM_Raw!J655</f>
        <v>0.05</v>
      </c>
      <c r="K655" s="10" t="n">
        <f aca="false">I655*(1-J655)</f>
        <v>646.1615</v>
      </c>
      <c r="L655" s="12" t="n">
        <f aca="false">CRM_Raw!K655</f>
        <v>0</v>
      </c>
      <c r="M655" s="12" t="n">
        <f aca="false">IF(H655="Closed Won",1,0)</f>
        <v>0</v>
      </c>
    </row>
    <row r="656" customFormat="false" ht="15" hidden="false" customHeight="false" outlineLevel="0" collapsed="false">
      <c r="A656" s="0" t="str">
        <f aca="false">CRM_Raw!A656</f>
        <v>D-10652</v>
      </c>
      <c r="B656" s="0" t="str">
        <f aca="false">CRM_Raw!B656</f>
        <v>2026-03-08</v>
      </c>
      <c r="C656" s="0" t="str">
        <f aca="false">CRM_Raw!C656</f>
        <v>2026-03-27</v>
      </c>
      <c r="D656" s="0" t="str">
        <f aca="false">IF(CRM_Raw!D656="DACH","DACH",IF(ISNUMBER(SEARCH("uk",CRM_Raw!D656)),"UK &amp; Ireland",PROPER(CRM_Raw!D656)))</f>
        <v>Benelux</v>
      </c>
      <c r="E656" s="0" t="str">
        <f aca="false">CRM_Raw!E656</f>
        <v>Washing Machines</v>
      </c>
      <c r="F656" s="0" t="str">
        <f aca="false">CRM_Raw!F656</f>
        <v>Retail Referral</v>
      </c>
      <c r="G656" s="0" t="str">
        <f aca="false">IF(TRIM(CRM_Raw!G656)="","Unassigned",CRM_Raw!G656)</f>
        <v>P. Rossi</v>
      </c>
      <c r="H656" s="0" t="str">
        <f aca="false">CRM_Raw!H656</f>
        <v>Closed Won</v>
      </c>
      <c r="I656" s="10" t="n">
        <f aca="false">CRM_Raw!I656</f>
        <v>751.34</v>
      </c>
      <c r="J656" s="11" t="n">
        <f aca="false">CRM_Raw!J656</f>
        <v>0</v>
      </c>
      <c r="K656" s="10" t="n">
        <f aca="false">I656*(1-J656)</f>
        <v>751.34</v>
      </c>
      <c r="L656" s="12" t="n">
        <f aca="false">CRM_Raw!K656</f>
        <v>19</v>
      </c>
      <c r="M656" s="12" t="n">
        <f aca="false">IF(H656="Closed Won",1,0)</f>
        <v>1</v>
      </c>
    </row>
    <row r="657" customFormat="false" ht="15" hidden="false" customHeight="false" outlineLevel="0" collapsed="false">
      <c r="A657" s="0" t="str">
        <f aca="false">CRM_Raw!A657</f>
        <v>D-10653</v>
      </c>
      <c r="B657" s="0" t="str">
        <f aca="false">CRM_Raw!B657</f>
        <v>2025-09-24</v>
      </c>
      <c r="C657" s="0" t="str">
        <f aca="false">CRM_Raw!C657</f>
        <v>2025-10-09</v>
      </c>
      <c r="D657" s="0" t="str">
        <f aca="false">IF(CRM_Raw!D657="DACH","DACH",IF(ISNUMBER(SEARCH("uk",CRM_Raw!D657)),"UK &amp; Ireland",PROPER(CRM_Raw!D657)))</f>
        <v>UK &amp; Ireland</v>
      </c>
      <c r="E657" s="0" t="str">
        <f aca="false">CRM_Raw!E657</f>
        <v>Smart Ovens</v>
      </c>
      <c r="F657" s="0" t="str">
        <f aca="false">CRM_Raw!F657</f>
        <v>Affiliate Partner</v>
      </c>
      <c r="G657" s="0" t="str">
        <f aca="false">IF(TRIM(CRM_Raw!G657)="","Unassigned",CRM_Raw!G657)</f>
        <v>J. Murphy</v>
      </c>
      <c r="H657" s="0" t="str">
        <f aca="false">CRM_Raw!H657</f>
        <v>Closed Won</v>
      </c>
      <c r="I657" s="10" t="n">
        <f aca="false">CRM_Raw!I657</f>
        <v>774.82</v>
      </c>
      <c r="J657" s="11" t="n">
        <f aca="false">CRM_Raw!J657</f>
        <v>0.2</v>
      </c>
      <c r="K657" s="10" t="n">
        <f aca="false">I657*(1-J657)</f>
        <v>619.856</v>
      </c>
      <c r="L657" s="12" t="n">
        <f aca="false">CRM_Raw!K657</f>
        <v>15</v>
      </c>
      <c r="M657" s="12" t="n">
        <f aca="false">IF(H657="Closed Won",1,0)</f>
        <v>1</v>
      </c>
    </row>
    <row r="658" customFormat="false" ht="15" hidden="false" customHeight="false" outlineLevel="0" collapsed="false">
      <c r="A658" s="0" t="str">
        <f aca="false">CRM_Raw!A658</f>
        <v>D-10654</v>
      </c>
      <c r="B658" s="0" t="str">
        <f aca="false">CRM_Raw!B658</f>
        <v>2025-03-26</v>
      </c>
      <c r="C658" s="0" t="str">
        <f aca="false">CRM_Raw!C658</f>
        <v>2025-04-16</v>
      </c>
      <c r="D658" s="0" t="str">
        <f aca="false">IF(CRM_Raw!D658="DACH","DACH",IF(ISNUMBER(SEARCH("uk",CRM_Raw!D658)),"UK &amp; Ireland",PROPER(CRM_Raw!D658)))</f>
        <v>Southern Europe</v>
      </c>
      <c r="E658" s="0" t="str">
        <f aca="false">CRM_Raw!E658</f>
        <v>Washing Machines</v>
      </c>
      <c r="F658" s="0" t="str">
        <f aca="false">CRM_Raw!F658</f>
        <v>Web-shop Organic</v>
      </c>
      <c r="G658" s="0" t="str">
        <f aca="false">IF(TRIM(CRM_Raw!G658)="","Unassigned",CRM_Raw!G658)</f>
        <v>T. Wagner</v>
      </c>
      <c r="H658" s="0" t="str">
        <f aca="false">CRM_Raw!H658</f>
        <v>Closed Won</v>
      </c>
      <c r="I658" s="10" t="n">
        <f aca="false">CRM_Raw!I658</f>
        <v>606.51</v>
      </c>
      <c r="J658" s="11" t="n">
        <f aca="false">CRM_Raw!J658</f>
        <v>0</v>
      </c>
      <c r="K658" s="10" t="n">
        <f aca="false">I658*(1-J658)</f>
        <v>606.51</v>
      </c>
      <c r="L658" s="12" t="n">
        <f aca="false">CRM_Raw!K658</f>
        <v>21</v>
      </c>
      <c r="M658" s="12" t="n">
        <f aca="false">IF(H658="Closed Won",1,0)</f>
        <v>1</v>
      </c>
    </row>
    <row r="659" customFormat="false" ht="15" hidden="false" customHeight="false" outlineLevel="0" collapsed="false">
      <c r="A659" s="0" t="str">
        <f aca="false">CRM_Raw!A659</f>
        <v>D-10655</v>
      </c>
      <c r="B659" s="0" t="str">
        <f aca="false">CRM_Raw!B659</f>
        <v>2025-01-15</v>
      </c>
      <c r="C659" s="0" t="n">
        <f aca="false">CRM_Raw!C659</f>
        <v>0</v>
      </c>
      <c r="D659" s="0" t="str">
        <f aca="false">IF(CRM_Raw!D659="DACH","DACH",IF(ISNUMBER(SEARCH("uk",CRM_Raw!D659)),"UK &amp; Ireland",PROPER(CRM_Raw!D659)))</f>
        <v>UK &amp; Ireland</v>
      </c>
      <c r="E659" s="0" t="str">
        <f aca="false">CRM_Raw!E659</f>
        <v>Washing Machines</v>
      </c>
      <c r="F659" s="0" t="str">
        <f aca="false">CRM_Raw!F659</f>
        <v>Paid Search</v>
      </c>
      <c r="G659" s="0" t="str">
        <f aca="false">IF(TRIM(CRM_Raw!G659)="","Unassigned",CRM_Raw!G659)</f>
        <v>J. Murphy</v>
      </c>
      <c r="H659" s="0" t="str">
        <f aca="false">CRM_Raw!H659</f>
        <v>Negotiation</v>
      </c>
      <c r="I659" s="10" t="n">
        <f aca="false">CRM_Raw!I659</f>
        <v>2073.68</v>
      </c>
      <c r="J659" s="11" t="n">
        <f aca="false">CRM_Raw!J659</f>
        <v>0.15</v>
      </c>
      <c r="K659" s="10" t="n">
        <f aca="false">I659*(1-J659)</f>
        <v>1762.628</v>
      </c>
      <c r="L659" s="12" t="n">
        <f aca="false">CRM_Raw!K659</f>
        <v>0</v>
      </c>
      <c r="M659" s="12" t="n">
        <f aca="false">IF(H659="Closed Won",1,0)</f>
        <v>0</v>
      </c>
    </row>
    <row r="660" customFormat="false" ht="15" hidden="false" customHeight="false" outlineLevel="0" collapsed="false">
      <c r="A660" s="0" t="str">
        <f aca="false">CRM_Raw!A660</f>
        <v>D-10656</v>
      </c>
      <c r="B660" s="0" t="str">
        <f aca="false">CRM_Raw!B660</f>
        <v>2025-09-25</v>
      </c>
      <c r="C660" s="0" t="n">
        <f aca="false">CRM_Raw!C660</f>
        <v>0</v>
      </c>
      <c r="D660" s="0" t="str">
        <f aca="false">IF(CRM_Raw!D660="DACH","DACH",IF(ISNUMBER(SEARCH("uk",CRM_Raw!D660)),"UK &amp; Ireland",PROPER(CRM_Raw!D660)))</f>
        <v>UK &amp; Ireland</v>
      </c>
      <c r="E660" s="0" t="str">
        <f aca="false">CRM_Raw!E660</f>
        <v>Small Kitchen Appliances</v>
      </c>
      <c r="F660" s="0" t="str">
        <f aca="false">CRM_Raw!F660</f>
        <v>Paid Search</v>
      </c>
      <c r="G660" s="0" t="str">
        <f aca="false">IF(TRIM(CRM_Raw!G660)="","Unassigned",CRM_Raw!G660)</f>
        <v>M. Hoffmann</v>
      </c>
      <c r="H660" s="0" t="str">
        <f aca="false">CRM_Raw!H660</f>
        <v>Proposal Sent</v>
      </c>
      <c r="I660" s="10" t="n">
        <f aca="false">CRM_Raw!I660</f>
        <v>116.66</v>
      </c>
      <c r="J660" s="11" t="n">
        <f aca="false">CRM_Raw!J660</f>
        <v>0.2</v>
      </c>
      <c r="K660" s="10" t="n">
        <f aca="false">I660*(1-J660)</f>
        <v>93.328</v>
      </c>
      <c r="L660" s="12" t="n">
        <f aca="false">CRM_Raw!K660</f>
        <v>0</v>
      </c>
      <c r="M660" s="12" t="n">
        <f aca="false">IF(H660="Closed Won",1,0)</f>
        <v>0</v>
      </c>
    </row>
    <row r="661" customFormat="false" ht="15" hidden="false" customHeight="false" outlineLevel="0" collapsed="false">
      <c r="A661" s="0" t="str">
        <f aca="false">CRM_Raw!A661</f>
        <v>D-10657</v>
      </c>
      <c r="B661" s="0" t="str">
        <f aca="false">CRM_Raw!B661</f>
        <v>2025-05-29</v>
      </c>
      <c r="C661" s="0" t="str">
        <f aca="false">CRM_Raw!C661</f>
        <v>2025-06-26</v>
      </c>
      <c r="D661" s="0" t="str">
        <f aca="false">IF(CRM_Raw!D661="DACH","DACH",IF(ISNUMBER(SEARCH("uk",CRM_Raw!D661)),"UK &amp; Ireland",PROPER(CRM_Raw!D661)))</f>
        <v>Nordics</v>
      </c>
      <c r="E661" s="0" t="str">
        <f aca="false">CRM_Raw!E661</f>
        <v>Smart Ovens</v>
      </c>
      <c r="F661" s="0" t="str">
        <f aca="false">CRM_Raw!F661</f>
        <v>Paid Search</v>
      </c>
      <c r="G661" s="0" t="str">
        <f aca="false">IF(TRIM(CRM_Raw!G661)="","Unassigned",CRM_Raw!G661)</f>
        <v>L. Dubois</v>
      </c>
      <c r="H661" s="0" t="str">
        <f aca="false">CRM_Raw!H661</f>
        <v>Closed Lost</v>
      </c>
      <c r="I661" s="10" t="n">
        <f aca="false">CRM_Raw!I661</f>
        <v>1839.6</v>
      </c>
      <c r="J661" s="11" t="n">
        <f aca="false">CRM_Raw!J661</f>
        <v>0.2</v>
      </c>
      <c r="K661" s="10" t="n">
        <f aca="false">I661*(1-J661)</f>
        <v>1471.68</v>
      </c>
      <c r="L661" s="12" t="n">
        <f aca="false">CRM_Raw!K661</f>
        <v>28</v>
      </c>
      <c r="M661" s="12" t="n">
        <f aca="false">IF(H661="Closed Won",1,0)</f>
        <v>0</v>
      </c>
    </row>
    <row r="662" customFormat="false" ht="15" hidden="false" customHeight="false" outlineLevel="0" collapsed="false">
      <c r="A662" s="0" t="str">
        <f aca="false">CRM_Raw!A662</f>
        <v>D-10658</v>
      </c>
      <c r="B662" s="0" t="str">
        <f aca="false">CRM_Raw!B662</f>
        <v>2025-08-04</v>
      </c>
      <c r="C662" s="0" t="str">
        <f aca="false">CRM_Raw!C662</f>
        <v>2025-08-09</v>
      </c>
      <c r="D662" s="0" t="str">
        <f aca="false">IF(CRM_Raw!D662="DACH","DACH",IF(ISNUMBER(SEARCH("uk",CRM_Raw!D662)),"UK &amp; Ireland",PROPER(CRM_Raw!D662)))</f>
        <v>Benelux</v>
      </c>
      <c r="E662" s="0" t="str">
        <f aca="false">CRM_Raw!E662</f>
        <v>Coffee Systems</v>
      </c>
      <c r="F662" s="0" t="str">
        <f aca="false">CRM_Raw!F662</f>
        <v>Affiliate Partner</v>
      </c>
      <c r="G662" s="0" t="str">
        <f aca="false">IF(TRIM(CRM_Raw!G662)="","Unassigned",CRM_Raw!G662)</f>
        <v>M. Hoffmann</v>
      </c>
      <c r="H662" s="0" t="str">
        <f aca="false">CRM_Raw!H662</f>
        <v>Closed Lost</v>
      </c>
      <c r="I662" s="10" t="n">
        <f aca="false">CRM_Raw!I662</f>
        <v>572.95</v>
      </c>
      <c r="J662" s="11" t="n">
        <f aca="false">CRM_Raw!J662</f>
        <v>0.15</v>
      </c>
      <c r="K662" s="10" t="n">
        <f aca="false">I662*(1-J662)</f>
        <v>487.0075</v>
      </c>
      <c r="L662" s="12" t="n">
        <f aca="false">CRM_Raw!K662</f>
        <v>5</v>
      </c>
      <c r="M662" s="12" t="n">
        <f aca="false">IF(H662="Closed Won",1,0)</f>
        <v>0</v>
      </c>
    </row>
    <row r="663" customFormat="false" ht="15" hidden="false" customHeight="false" outlineLevel="0" collapsed="false">
      <c r="A663" s="0" t="str">
        <f aca="false">CRM_Raw!A663</f>
        <v>D-10659</v>
      </c>
      <c r="B663" s="0" t="str">
        <f aca="false">CRM_Raw!B663</f>
        <v>2026-02-13</v>
      </c>
      <c r="C663" s="0" t="str">
        <f aca="false">CRM_Raw!C663</f>
        <v>2026-02-16</v>
      </c>
      <c r="D663" s="0" t="str">
        <f aca="false">IF(CRM_Raw!D663="DACH","DACH",IF(ISNUMBER(SEARCH("uk",CRM_Raw!D663)),"UK &amp; Ireland",PROPER(CRM_Raw!D663)))</f>
        <v>France</v>
      </c>
      <c r="E663" s="0" t="str">
        <f aca="false">CRM_Raw!E663</f>
        <v>Smart Ovens</v>
      </c>
      <c r="F663" s="0" t="str">
        <f aca="false">CRM_Raw!F663</f>
        <v>Web-shop Organic</v>
      </c>
      <c r="G663" s="0" t="str">
        <f aca="false">IF(TRIM(CRM_Raw!G663)="","Unassigned",CRM_Raw!G663)</f>
        <v>T. Wagner</v>
      </c>
      <c r="H663" s="0" t="str">
        <f aca="false">CRM_Raw!H663</f>
        <v>Closed Lost</v>
      </c>
      <c r="I663" s="10" t="n">
        <f aca="false">CRM_Raw!I663</f>
        <v>954.89</v>
      </c>
      <c r="J663" s="11" t="n">
        <f aca="false">CRM_Raw!J663</f>
        <v>0.05</v>
      </c>
      <c r="K663" s="10" t="n">
        <f aca="false">I663*(1-J663)</f>
        <v>907.1455</v>
      </c>
      <c r="L663" s="12" t="n">
        <f aca="false">CRM_Raw!K663</f>
        <v>3</v>
      </c>
      <c r="M663" s="12" t="n">
        <f aca="false">IF(H663="Closed Won",1,0)</f>
        <v>0</v>
      </c>
    </row>
    <row r="664" customFormat="false" ht="15" hidden="false" customHeight="false" outlineLevel="0" collapsed="false">
      <c r="A664" s="0" t="str">
        <f aca="false">CRM_Raw!A664</f>
        <v>D-10660</v>
      </c>
      <c r="B664" s="0" t="str">
        <f aca="false">CRM_Raw!B664</f>
        <v>2025-05-29</v>
      </c>
      <c r="C664" s="0" t="str">
        <f aca="false">CRM_Raw!C664</f>
        <v>2025-06-22</v>
      </c>
      <c r="D664" s="0" t="str">
        <f aca="false">IF(CRM_Raw!D664="DACH","DACH",IF(ISNUMBER(SEARCH("uk",CRM_Raw!D664)),"UK &amp; Ireland",PROPER(CRM_Raw!D664)))</f>
        <v>Southern Europe</v>
      </c>
      <c r="E664" s="0" t="str">
        <f aca="false">CRM_Raw!E664</f>
        <v>Small Kitchen Appliances</v>
      </c>
      <c r="F664" s="0" t="str">
        <f aca="false">CRM_Raw!F664</f>
        <v>Paid Search</v>
      </c>
      <c r="G664" s="0" t="str">
        <f aca="false">IF(TRIM(CRM_Raw!G664)="","Unassigned",CRM_Raw!G664)</f>
        <v>J. Murphy</v>
      </c>
      <c r="H664" s="0" t="str">
        <f aca="false">CRM_Raw!H664</f>
        <v>Closed Lost</v>
      </c>
      <c r="I664" s="10" t="n">
        <f aca="false">CRM_Raw!I664</f>
        <v>122.55</v>
      </c>
      <c r="J664" s="11" t="n">
        <f aca="false">CRM_Raw!J664</f>
        <v>0.2</v>
      </c>
      <c r="K664" s="10" t="n">
        <f aca="false">I664*(1-J664)</f>
        <v>98.04</v>
      </c>
      <c r="L664" s="12" t="n">
        <f aca="false">CRM_Raw!K664</f>
        <v>24</v>
      </c>
      <c r="M664" s="12" t="n">
        <f aca="false">IF(H664="Closed Won",1,0)</f>
        <v>0</v>
      </c>
    </row>
    <row r="665" customFormat="false" ht="15" hidden="false" customHeight="false" outlineLevel="0" collapsed="false">
      <c r="A665" s="0" t="str">
        <f aca="false">CRM_Raw!A665</f>
        <v>D-10661</v>
      </c>
      <c r="B665" s="0" t="str">
        <f aca="false">CRM_Raw!B665</f>
        <v>2025-04-10</v>
      </c>
      <c r="C665" s="0" t="n">
        <f aca="false">CRM_Raw!C665</f>
        <v>0</v>
      </c>
      <c r="D665" s="0" t="str">
        <f aca="false">IF(CRM_Raw!D665="DACH","DACH",IF(ISNUMBER(SEARCH("uk",CRM_Raw!D665)),"UK &amp; Ireland",PROPER(CRM_Raw!D665)))</f>
        <v>Benelux</v>
      </c>
      <c r="E665" s="0" t="str">
        <f aca="false">CRM_Raw!E665</f>
        <v>Dishwashers</v>
      </c>
      <c r="F665" s="0" t="str">
        <f aca="false">CRM_Raw!F665</f>
        <v>Affiliate Partner</v>
      </c>
      <c r="G665" s="0" t="str">
        <f aca="false">IF(TRIM(CRM_Raw!G665)="","Unassigned",CRM_Raw!G665)</f>
        <v>A. Becker</v>
      </c>
      <c r="H665" s="0" t="str">
        <f aca="false">CRM_Raw!H665</f>
        <v>Qualified</v>
      </c>
      <c r="I665" s="10" t="n">
        <f aca="false">CRM_Raw!I665</f>
        <v>1492.92</v>
      </c>
      <c r="J665" s="11" t="n">
        <f aca="false">CRM_Raw!J665</f>
        <v>0.1</v>
      </c>
      <c r="K665" s="10" t="n">
        <f aca="false">I665*(1-J665)</f>
        <v>1343.628</v>
      </c>
      <c r="L665" s="12" t="n">
        <f aca="false">CRM_Raw!K665</f>
        <v>0</v>
      </c>
      <c r="M665" s="12" t="n">
        <f aca="false">IF(H665="Closed Won",1,0)</f>
        <v>0</v>
      </c>
    </row>
    <row r="666" customFormat="false" ht="15" hidden="false" customHeight="false" outlineLevel="0" collapsed="false">
      <c r="A666" s="0" t="str">
        <f aca="false">CRM_Raw!A666</f>
        <v>D-10662</v>
      </c>
      <c r="B666" s="0" t="str">
        <f aca="false">CRM_Raw!B666</f>
        <v>2025-04-11</v>
      </c>
      <c r="C666" s="0" t="str">
        <f aca="false">CRM_Raw!C666</f>
        <v>2025-04-23</v>
      </c>
      <c r="D666" s="0" t="str">
        <f aca="false">IF(CRM_Raw!D666="DACH","DACH",IF(ISNUMBER(SEARCH("uk",CRM_Raw!D666)),"UK &amp; Ireland",PROPER(CRM_Raw!D666)))</f>
        <v>Southern Europe</v>
      </c>
      <c r="E666" s="0" t="str">
        <f aca="false">CRM_Raw!E666</f>
        <v>Cordless Vacuums</v>
      </c>
      <c r="F666" s="0" t="str">
        <f aca="false">CRM_Raw!F666</f>
        <v>Paid Search</v>
      </c>
      <c r="G666" s="0" t="str">
        <f aca="false">IF(TRIM(CRM_Raw!G666)="","Unassigned",CRM_Raw!G666)</f>
        <v>J. Murphy</v>
      </c>
      <c r="H666" s="0" t="str">
        <f aca="false">CRM_Raw!H666</f>
        <v>Closed Won</v>
      </c>
      <c r="I666" s="10" t="n">
        <f aca="false">CRM_Raw!I666</f>
        <v>381.02</v>
      </c>
      <c r="J666" s="11" t="n">
        <f aca="false">CRM_Raw!J666</f>
        <v>0.15</v>
      </c>
      <c r="K666" s="10" t="n">
        <f aca="false">I666*(1-J666)</f>
        <v>323.867</v>
      </c>
      <c r="L666" s="12" t="n">
        <f aca="false">CRM_Raw!K666</f>
        <v>12</v>
      </c>
      <c r="M666" s="12" t="n">
        <f aca="false">IF(H666="Closed Won",1,0)</f>
        <v>1</v>
      </c>
    </row>
    <row r="667" customFormat="false" ht="15" hidden="false" customHeight="false" outlineLevel="0" collapsed="false">
      <c r="A667" s="0" t="str">
        <f aca="false">CRM_Raw!A667</f>
        <v>D-10663</v>
      </c>
      <c r="B667" s="0" t="str">
        <f aca="false">CRM_Raw!B667</f>
        <v>2025-07-04</v>
      </c>
      <c r="C667" s="0" t="str">
        <f aca="false">CRM_Raw!C667</f>
        <v>2025-07-19</v>
      </c>
      <c r="D667" s="0" t="str">
        <f aca="false">IF(CRM_Raw!D667="DACH","DACH",IF(ISNUMBER(SEARCH("uk",CRM_Raw!D667)),"UK &amp; Ireland",PROPER(CRM_Raw!D667)))</f>
        <v>Southern Europe</v>
      </c>
      <c r="E667" s="0" t="str">
        <f aca="false">CRM_Raw!E667</f>
        <v>Washing Machines</v>
      </c>
      <c r="F667" s="0" t="str">
        <f aca="false">CRM_Raw!F667</f>
        <v>Email Campaign</v>
      </c>
      <c r="G667" s="0" t="str">
        <f aca="false">IF(TRIM(CRM_Raw!G667)="","Unassigned",CRM_Raw!G667)</f>
        <v>P. Rossi</v>
      </c>
      <c r="H667" s="0" t="str">
        <f aca="false">CRM_Raw!H667</f>
        <v>Closed Won</v>
      </c>
      <c r="I667" s="10" t="n">
        <f aca="false">CRM_Raw!I667</f>
        <v>595.85</v>
      </c>
      <c r="J667" s="11" t="n">
        <f aca="false">CRM_Raw!J667</f>
        <v>0.2</v>
      </c>
      <c r="K667" s="10" t="n">
        <f aca="false">I667*(1-J667)</f>
        <v>476.68</v>
      </c>
      <c r="L667" s="12" t="n">
        <f aca="false">CRM_Raw!K667</f>
        <v>15</v>
      </c>
      <c r="M667" s="12" t="n">
        <f aca="false">IF(H667="Closed Won",1,0)</f>
        <v>1</v>
      </c>
    </row>
    <row r="668" customFormat="false" ht="15" hidden="false" customHeight="false" outlineLevel="0" collapsed="false">
      <c r="A668" s="0" t="str">
        <f aca="false">CRM_Raw!A668</f>
        <v>D-10664</v>
      </c>
      <c r="B668" s="0" t="str">
        <f aca="false">CRM_Raw!B668</f>
        <v>2026-04-02</v>
      </c>
      <c r="C668" s="0" t="str">
        <f aca="false">CRM_Raw!C668</f>
        <v>2026-04-21</v>
      </c>
      <c r="D668" s="0" t="str">
        <f aca="false">IF(CRM_Raw!D668="DACH","DACH",IF(ISNUMBER(SEARCH("uk",CRM_Raw!D668)),"UK &amp; Ireland",PROPER(CRM_Raw!D668)))</f>
        <v>DACH</v>
      </c>
      <c r="E668" s="0" t="str">
        <f aca="false">CRM_Raw!E668</f>
        <v>Smart Ovens</v>
      </c>
      <c r="F668" s="0" t="str">
        <f aca="false">CRM_Raw!F668</f>
        <v>Paid Search</v>
      </c>
      <c r="G668" s="0" t="str">
        <f aca="false">IF(TRIM(CRM_Raw!G668)="","Unassigned",CRM_Raw!G668)</f>
        <v>L. Dubois</v>
      </c>
      <c r="H668" s="0" t="str">
        <f aca="false">CRM_Raw!H668</f>
        <v>Closed Won</v>
      </c>
      <c r="I668" s="10" t="n">
        <f aca="false">CRM_Raw!I668</f>
        <v>2313.57</v>
      </c>
      <c r="J668" s="11" t="n">
        <f aca="false">CRM_Raw!J668</f>
        <v>0</v>
      </c>
      <c r="K668" s="10" t="n">
        <f aca="false">I668*(1-J668)</f>
        <v>2313.57</v>
      </c>
      <c r="L668" s="12" t="n">
        <f aca="false">CRM_Raw!K668</f>
        <v>19</v>
      </c>
      <c r="M668" s="12" t="n">
        <f aca="false">IF(H668="Closed Won",1,0)</f>
        <v>1</v>
      </c>
    </row>
    <row r="669" customFormat="false" ht="15" hidden="false" customHeight="false" outlineLevel="0" collapsed="false">
      <c r="A669" s="0" t="str">
        <f aca="false">CRM_Raw!A669</f>
        <v>D-10665</v>
      </c>
      <c r="B669" s="0" t="str">
        <f aca="false">CRM_Raw!B669</f>
        <v>2025-05-05</v>
      </c>
      <c r="C669" s="0" t="n">
        <f aca="false">CRM_Raw!C669</f>
        <v>0</v>
      </c>
      <c r="D669" s="0" t="str">
        <f aca="false">IF(CRM_Raw!D669="DACH","DACH",IF(ISNUMBER(SEARCH("uk",CRM_Raw!D669)),"UK &amp; Ireland",PROPER(CRM_Raw!D669)))</f>
        <v>DACH</v>
      </c>
      <c r="E669" s="0" t="str">
        <f aca="false">CRM_Raw!E669</f>
        <v>Washing Machines</v>
      </c>
      <c r="F669" s="0" t="str">
        <f aca="false">CRM_Raw!F669</f>
        <v>Affiliate Partner</v>
      </c>
      <c r="G669" s="0" t="str">
        <f aca="false">IF(TRIM(CRM_Raw!G669)="","Unassigned",CRM_Raw!G669)</f>
        <v>S. Andersson</v>
      </c>
      <c r="H669" s="0" t="str">
        <f aca="false">CRM_Raw!H669</f>
        <v>Negotiation</v>
      </c>
      <c r="I669" s="10" t="n">
        <f aca="false">CRM_Raw!I669</f>
        <v>1840.32</v>
      </c>
      <c r="J669" s="11" t="n">
        <f aca="false">CRM_Raw!J669</f>
        <v>0</v>
      </c>
      <c r="K669" s="10" t="n">
        <f aca="false">I669*(1-J669)</f>
        <v>1840.32</v>
      </c>
      <c r="L669" s="12" t="n">
        <f aca="false">CRM_Raw!K669</f>
        <v>0</v>
      </c>
      <c r="M669" s="12" t="n">
        <f aca="false">IF(H669="Closed Won",1,0)</f>
        <v>0</v>
      </c>
    </row>
    <row r="670" customFormat="false" ht="15" hidden="false" customHeight="false" outlineLevel="0" collapsed="false">
      <c r="A670" s="0" t="str">
        <f aca="false">CRM_Raw!A670</f>
        <v>D-10666</v>
      </c>
      <c r="B670" s="0" t="str">
        <f aca="false">CRM_Raw!B670</f>
        <v>2025-04-24</v>
      </c>
      <c r="C670" s="0" t="n">
        <f aca="false">CRM_Raw!C670</f>
        <v>0</v>
      </c>
      <c r="D670" s="0" t="str">
        <f aca="false">IF(CRM_Raw!D670="DACH","DACH",IF(ISNUMBER(SEARCH("uk",CRM_Raw!D670)),"UK &amp; Ireland",PROPER(CRM_Raw!D670)))</f>
        <v>Benelux</v>
      </c>
      <c r="E670" s="0" t="str">
        <f aca="false">CRM_Raw!E670</f>
        <v>Small Kitchen Appliances</v>
      </c>
      <c r="F670" s="0" t="str">
        <f aca="false">CRM_Raw!F670</f>
        <v>Email Campaign</v>
      </c>
      <c r="G670" s="0" t="str">
        <f aca="false">IF(TRIM(CRM_Raw!G670)="","Unassigned",CRM_Raw!G670)</f>
        <v>M. Hoffmann</v>
      </c>
      <c r="H670" s="0" t="str">
        <f aca="false">CRM_Raw!H670</f>
        <v>Negotiation</v>
      </c>
      <c r="I670" s="10" t="n">
        <f aca="false">CRM_Raw!I670</f>
        <v>234.33</v>
      </c>
      <c r="J670" s="11" t="n">
        <f aca="false">CRM_Raw!J670</f>
        <v>0.15</v>
      </c>
      <c r="K670" s="10" t="n">
        <f aca="false">I670*(1-J670)</f>
        <v>199.1805</v>
      </c>
      <c r="L670" s="12" t="n">
        <f aca="false">CRM_Raw!K670</f>
        <v>0</v>
      </c>
      <c r="M670" s="12" t="n">
        <f aca="false">IF(H670="Closed Won",1,0)</f>
        <v>0</v>
      </c>
    </row>
    <row r="671" customFormat="false" ht="15" hidden="false" customHeight="false" outlineLevel="0" collapsed="false">
      <c r="A671" s="0" t="str">
        <f aca="false">CRM_Raw!A671</f>
        <v>D-10667</v>
      </c>
      <c r="B671" s="0" t="str">
        <f aca="false">CRM_Raw!B671</f>
        <v>2026-03-14</v>
      </c>
      <c r="C671" s="0" t="n">
        <f aca="false">CRM_Raw!C671</f>
        <v>0</v>
      </c>
      <c r="D671" s="0" t="str">
        <f aca="false">IF(CRM_Raw!D671="DACH","DACH",IF(ISNUMBER(SEARCH("uk",CRM_Raw!D671)),"UK &amp; Ireland",PROPER(CRM_Raw!D671)))</f>
        <v>DACH</v>
      </c>
      <c r="E671" s="0" t="str">
        <f aca="false">CRM_Raw!E671</f>
        <v>Small Kitchen Appliances</v>
      </c>
      <c r="F671" s="0" t="str">
        <f aca="false">CRM_Raw!F671</f>
        <v>Social Media Ads</v>
      </c>
      <c r="G671" s="0" t="str">
        <f aca="false">IF(TRIM(CRM_Raw!G671)="","Unassigned",CRM_Raw!G671)</f>
        <v>J. Murphy</v>
      </c>
      <c r="H671" s="0" t="str">
        <f aca="false">CRM_Raw!H671</f>
        <v>Negotiation</v>
      </c>
      <c r="I671" s="10" t="n">
        <f aca="false">CRM_Raw!I671</f>
        <v>129.46</v>
      </c>
      <c r="J671" s="11" t="n">
        <f aca="false">CRM_Raw!J671</f>
        <v>0</v>
      </c>
      <c r="K671" s="10" t="n">
        <f aca="false">I671*(1-J671)</f>
        <v>129.46</v>
      </c>
      <c r="L671" s="12" t="n">
        <f aca="false">CRM_Raw!K671</f>
        <v>0</v>
      </c>
      <c r="M671" s="12" t="n">
        <f aca="false">IF(H671="Closed Won",1,0)</f>
        <v>0</v>
      </c>
    </row>
    <row r="672" customFormat="false" ht="15" hidden="false" customHeight="false" outlineLevel="0" collapsed="false">
      <c r="A672" s="0" t="str">
        <f aca="false">CRM_Raw!A672</f>
        <v>D-10668</v>
      </c>
      <c r="B672" s="0" t="str">
        <f aca="false">CRM_Raw!B672</f>
        <v>2026-01-27</v>
      </c>
      <c r="C672" s="0" t="str">
        <f aca="false">CRM_Raw!C672</f>
        <v>2026-02-10</v>
      </c>
      <c r="D672" s="0" t="str">
        <f aca="false">IF(CRM_Raw!D672="DACH","DACH",IF(ISNUMBER(SEARCH("uk",CRM_Raw!D672)),"UK &amp; Ireland",PROPER(CRM_Raw!D672)))</f>
        <v>UK &amp; Ireland</v>
      </c>
      <c r="E672" s="0" t="str">
        <f aca="false">CRM_Raw!E672</f>
        <v>Smart Ovens</v>
      </c>
      <c r="F672" s="0" t="str">
        <f aca="false">CRM_Raw!F672</f>
        <v>Paid Search</v>
      </c>
      <c r="G672" s="0" t="str">
        <f aca="false">IF(TRIM(CRM_Raw!G672)="","Unassigned",CRM_Raw!G672)</f>
        <v>A. Becker</v>
      </c>
      <c r="H672" s="0" t="str">
        <f aca="false">CRM_Raw!H672</f>
        <v>Closed Lost</v>
      </c>
      <c r="I672" s="10" t="n">
        <f aca="false">CRM_Raw!I672</f>
        <v>970.08</v>
      </c>
      <c r="J672" s="11" t="n">
        <f aca="false">CRM_Raw!J672</f>
        <v>0.2</v>
      </c>
      <c r="K672" s="10" t="n">
        <f aca="false">I672*(1-J672)</f>
        <v>776.064</v>
      </c>
      <c r="L672" s="12" t="n">
        <f aca="false">CRM_Raw!K672</f>
        <v>14</v>
      </c>
      <c r="M672" s="12" t="n">
        <f aca="false">IF(H672="Closed Won",1,0)</f>
        <v>0</v>
      </c>
    </row>
    <row r="673" customFormat="false" ht="15" hidden="false" customHeight="false" outlineLevel="0" collapsed="false">
      <c r="A673" s="0" t="str">
        <f aca="false">CRM_Raw!A673</f>
        <v>D-10669</v>
      </c>
      <c r="B673" s="0" t="str">
        <f aca="false">CRM_Raw!B673</f>
        <v>2025-07-25</v>
      </c>
      <c r="C673" s="0" t="str">
        <f aca="false">CRM_Raw!C673</f>
        <v>2025-08-19</v>
      </c>
      <c r="D673" s="0" t="str">
        <f aca="false">IF(CRM_Raw!D673="DACH","DACH",IF(ISNUMBER(SEARCH("uk",CRM_Raw!D673)),"UK &amp; Ireland",PROPER(CRM_Raw!D673)))</f>
        <v>France</v>
      </c>
      <c r="E673" s="0" t="str">
        <f aca="false">CRM_Raw!E673</f>
        <v>Coffee Systems</v>
      </c>
      <c r="F673" s="0" t="str">
        <f aca="false">CRM_Raw!F673</f>
        <v>Paid Search</v>
      </c>
      <c r="G673" s="0" t="str">
        <f aca="false">IF(TRIM(CRM_Raw!G673)="","Unassigned",CRM_Raw!G673)</f>
        <v>T. Wagner</v>
      </c>
      <c r="H673" s="0" t="str">
        <f aca="false">CRM_Raw!H673</f>
        <v>Closed Lost</v>
      </c>
      <c r="I673" s="10" t="n">
        <f aca="false">CRM_Raw!I673</f>
        <v>969.63</v>
      </c>
      <c r="J673" s="11" t="n">
        <f aca="false">CRM_Raw!J673</f>
        <v>0</v>
      </c>
      <c r="K673" s="10" t="n">
        <f aca="false">I673*(1-J673)</f>
        <v>969.63</v>
      </c>
      <c r="L673" s="12" t="n">
        <f aca="false">CRM_Raw!K673</f>
        <v>25</v>
      </c>
      <c r="M673" s="12" t="n">
        <f aca="false">IF(H673="Closed Won",1,0)</f>
        <v>0</v>
      </c>
    </row>
    <row r="674" customFormat="false" ht="15" hidden="false" customHeight="false" outlineLevel="0" collapsed="false">
      <c r="A674" s="0" t="str">
        <f aca="false">CRM_Raw!A674</f>
        <v>D-10670</v>
      </c>
      <c r="B674" s="0" t="str">
        <f aca="false">CRM_Raw!B674</f>
        <v>2025-09-23</v>
      </c>
      <c r="C674" s="0" t="str">
        <f aca="false">CRM_Raw!C674</f>
        <v>2025-10-23</v>
      </c>
      <c r="D674" s="0" t="str">
        <f aca="false">IF(CRM_Raw!D674="DACH","DACH",IF(ISNUMBER(SEARCH("uk",CRM_Raw!D674)),"UK &amp; Ireland",PROPER(CRM_Raw!D674)))</f>
        <v>Nordics</v>
      </c>
      <c r="E674" s="0" t="str">
        <f aca="false">CRM_Raw!E674</f>
        <v>Small Kitchen Appliances</v>
      </c>
      <c r="F674" s="0" t="str">
        <f aca="false">CRM_Raw!F674</f>
        <v>Web-shop Organic</v>
      </c>
      <c r="G674" s="0" t="str">
        <f aca="false">IF(TRIM(CRM_Raw!G674)="","Unassigned",CRM_Raw!G674)</f>
        <v>T. Wagner</v>
      </c>
      <c r="H674" s="0" t="str">
        <f aca="false">CRM_Raw!H674</f>
        <v>Closed Won</v>
      </c>
      <c r="I674" s="10" t="n">
        <f aca="false">CRM_Raw!I674</f>
        <v>335.44</v>
      </c>
      <c r="J674" s="11" t="n">
        <f aca="false">CRM_Raw!J674</f>
        <v>0.15</v>
      </c>
      <c r="K674" s="10" t="n">
        <f aca="false">I674*(1-J674)</f>
        <v>285.124</v>
      </c>
      <c r="L674" s="12" t="n">
        <f aca="false">CRM_Raw!K674</f>
        <v>30</v>
      </c>
      <c r="M674" s="12" t="n">
        <f aca="false">IF(H674="Closed Won",1,0)</f>
        <v>1</v>
      </c>
    </row>
    <row r="675" customFormat="false" ht="15" hidden="false" customHeight="false" outlineLevel="0" collapsed="false">
      <c r="A675" s="0" t="str">
        <f aca="false">CRM_Raw!A675</f>
        <v>D-10671</v>
      </c>
      <c r="B675" s="0" t="str">
        <f aca="false">CRM_Raw!B675</f>
        <v>2025-06-02</v>
      </c>
      <c r="C675" s="0" t="n">
        <f aca="false">CRM_Raw!C675</f>
        <v>0</v>
      </c>
      <c r="D675" s="0" t="str">
        <f aca="false">IF(CRM_Raw!D675="DACH","DACH",IF(ISNUMBER(SEARCH("uk",CRM_Raw!D675)),"UK &amp; Ireland",PROPER(CRM_Raw!D675)))</f>
        <v>France</v>
      </c>
      <c r="E675" s="0" t="str">
        <f aca="false">CRM_Raw!E675</f>
        <v>Dishwashers</v>
      </c>
      <c r="F675" s="0" t="str">
        <f aca="false">CRM_Raw!F675</f>
        <v>Web-shop Organic</v>
      </c>
      <c r="G675" s="0" t="str">
        <f aca="false">IF(TRIM(CRM_Raw!G675)="","Unassigned",CRM_Raw!G675)</f>
        <v>Unassigned</v>
      </c>
      <c r="H675" s="0" t="str">
        <f aca="false">CRM_Raw!H675</f>
        <v>Negotiation</v>
      </c>
      <c r="I675" s="10" t="n">
        <f aca="false">CRM_Raw!I675</f>
        <v>636.8</v>
      </c>
      <c r="J675" s="11" t="n">
        <f aca="false">CRM_Raw!J675</f>
        <v>0.15</v>
      </c>
      <c r="K675" s="10" t="n">
        <f aca="false">I675*(1-J675)</f>
        <v>541.28</v>
      </c>
      <c r="L675" s="12" t="n">
        <f aca="false">CRM_Raw!K675</f>
        <v>0</v>
      </c>
      <c r="M675" s="12" t="n">
        <f aca="false">IF(H675="Closed Won",1,0)</f>
        <v>0</v>
      </c>
    </row>
    <row r="676" customFormat="false" ht="15" hidden="false" customHeight="false" outlineLevel="0" collapsed="false">
      <c r="A676" s="0" t="str">
        <f aca="false">CRM_Raw!A676</f>
        <v>D-10672</v>
      </c>
      <c r="B676" s="0" t="str">
        <f aca="false">CRM_Raw!B676</f>
        <v>2026-02-05</v>
      </c>
      <c r="C676" s="0" t="str">
        <f aca="false">CRM_Raw!C676</f>
        <v>2026-02-08</v>
      </c>
      <c r="D676" s="0" t="str">
        <f aca="false">IF(CRM_Raw!D676="DACH","DACH",IF(ISNUMBER(SEARCH("uk",CRM_Raw!D676)),"UK &amp; Ireland",PROPER(CRM_Raw!D676)))</f>
        <v>Benelux</v>
      </c>
      <c r="E676" s="0" t="str">
        <f aca="false">CRM_Raw!E676</f>
        <v>Cordless Vacuums</v>
      </c>
      <c r="F676" s="0" t="str">
        <f aca="false">CRM_Raw!F676</f>
        <v>Web-shop Organic</v>
      </c>
      <c r="G676" s="0" t="str">
        <f aca="false">IF(TRIM(CRM_Raw!G676)="","Unassigned",CRM_Raw!G676)</f>
        <v>P. Rossi</v>
      </c>
      <c r="H676" s="0" t="str">
        <f aca="false">CRM_Raw!H676</f>
        <v>Closed Lost</v>
      </c>
      <c r="I676" s="10" t="n">
        <f aca="false">CRM_Raw!I676</f>
        <v>729.85</v>
      </c>
      <c r="J676" s="11" t="n">
        <f aca="false">CRM_Raw!J676</f>
        <v>0.05</v>
      </c>
      <c r="K676" s="10" t="n">
        <f aca="false">I676*(1-J676)</f>
        <v>693.3575</v>
      </c>
      <c r="L676" s="12" t="n">
        <f aca="false">CRM_Raw!K676</f>
        <v>3</v>
      </c>
      <c r="M676" s="12" t="n">
        <f aca="false">IF(H676="Closed Won",1,0)</f>
        <v>0</v>
      </c>
    </row>
    <row r="677" customFormat="false" ht="15" hidden="false" customHeight="false" outlineLevel="0" collapsed="false">
      <c r="A677" s="0" t="str">
        <f aca="false">CRM_Raw!A677</f>
        <v>D-10673</v>
      </c>
      <c r="B677" s="0" t="str">
        <f aca="false">CRM_Raw!B677</f>
        <v>2025-08-20</v>
      </c>
      <c r="C677" s="0" t="str">
        <f aca="false">CRM_Raw!C677</f>
        <v>2025-09-07</v>
      </c>
      <c r="D677" s="0" t="str">
        <f aca="false">IF(CRM_Raw!D677="DACH","DACH",IF(ISNUMBER(SEARCH("uk",CRM_Raw!D677)),"UK &amp; Ireland",PROPER(CRM_Raw!D677)))</f>
        <v>North America</v>
      </c>
      <c r="E677" s="0" t="str">
        <f aca="false">CRM_Raw!E677</f>
        <v>Small Kitchen Appliances</v>
      </c>
      <c r="F677" s="0" t="str">
        <f aca="false">CRM_Raw!F677</f>
        <v>Email Campaign</v>
      </c>
      <c r="G677" s="0" t="str">
        <f aca="false">IF(TRIM(CRM_Raw!G677)="","Unassigned",CRM_Raw!G677)</f>
        <v>L. Dubois</v>
      </c>
      <c r="H677" s="0" t="str">
        <f aca="false">CRM_Raw!H677</f>
        <v>Closed Won</v>
      </c>
      <c r="I677" s="10" t="n">
        <f aca="false">CRM_Raw!I677</f>
        <v>275.92</v>
      </c>
      <c r="J677" s="11" t="n">
        <f aca="false">CRM_Raw!J677</f>
        <v>0</v>
      </c>
      <c r="K677" s="10" t="n">
        <f aca="false">I677*(1-J677)</f>
        <v>275.92</v>
      </c>
      <c r="L677" s="12" t="n">
        <f aca="false">CRM_Raw!K677</f>
        <v>18</v>
      </c>
      <c r="M677" s="12" t="n">
        <f aca="false">IF(H677="Closed Won",1,0)</f>
        <v>1</v>
      </c>
    </row>
    <row r="678" customFormat="false" ht="15" hidden="false" customHeight="false" outlineLevel="0" collapsed="false">
      <c r="A678" s="0" t="str">
        <f aca="false">CRM_Raw!A678</f>
        <v>D-10674</v>
      </c>
      <c r="B678" s="0" t="str">
        <f aca="false">CRM_Raw!B678</f>
        <v>2025-12-08</v>
      </c>
      <c r="C678" s="0" t="n">
        <f aca="false">CRM_Raw!C678</f>
        <v>0</v>
      </c>
      <c r="D678" s="0" t="str">
        <f aca="false">IF(CRM_Raw!D678="DACH","DACH",IF(ISNUMBER(SEARCH("uk",CRM_Raw!D678)),"UK &amp; Ireland",PROPER(CRM_Raw!D678)))</f>
        <v>Nordics</v>
      </c>
      <c r="E678" s="0" t="str">
        <f aca="false">CRM_Raw!E678</f>
        <v>Washing Machines</v>
      </c>
      <c r="F678" s="0" t="str">
        <f aca="false">CRM_Raw!F678</f>
        <v>Retail Referral</v>
      </c>
      <c r="G678" s="0" t="str">
        <f aca="false">IF(TRIM(CRM_Raw!G678)="","Unassigned",CRM_Raw!G678)</f>
        <v>P. Rossi</v>
      </c>
      <c r="H678" s="0" t="str">
        <f aca="false">CRM_Raw!H678</f>
        <v>Negotiation</v>
      </c>
      <c r="I678" s="10" t="n">
        <f aca="false">CRM_Raw!I678</f>
        <v>658.56</v>
      </c>
      <c r="J678" s="11" t="n">
        <f aca="false">CRM_Raw!J678</f>
        <v>0</v>
      </c>
      <c r="K678" s="10" t="n">
        <f aca="false">I678*(1-J678)</f>
        <v>658.56</v>
      </c>
      <c r="L678" s="12" t="n">
        <f aca="false">CRM_Raw!K678</f>
        <v>0</v>
      </c>
      <c r="M678" s="12" t="n">
        <f aca="false">IF(H678="Closed Won",1,0)</f>
        <v>0</v>
      </c>
    </row>
    <row r="679" customFormat="false" ht="15" hidden="false" customHeight="false" outlineLevel="0" collapsed="false">
      <c r="A679" s="0" t="str">
        <f aca="false">CRM_Raw!A679</f>
        <v>D-10675</v>
      </c>
      <c r="B679" s="0" t="str">
        <f aca="false">CRM_Raw!B679</f>
        <v>2025-10-24</v>
      </c>
      <c r="C679" s="0" t="n">
        <f aca="false">CRM_Raw!C679</f>
        <v>0</v>
      </c>
      <c r="D679" s="0" t="str">
        <f aca="false">IF(CRM_Raw!D679="DACH","DACH",IF(ISNUMBER(SEARCH("uk",CRM_Raw!D679)),"UK &amp; Ireland",PROPER(CRM_Raw!D679)))</f>
        <v>Nordics</v>
      </c>
      <c r="E679" s="0" t="str">
        <f aca="false">CRM_Raw!E679</f>
        <v>Cordless Vacuums</v>
      </c>
      <c r="F679" s="0" t="str">
        <f aca="false">CRM_Raw!F679</f>
        <v>Web-shop Organic</v>
      </c>
      <c r="G679" s="0" t="str">
        <f aca="false">IF(TRIM(CRM_Raw!G679)="","Unassigned",CRM_Raw!G679)</f>
        <v>T. Wagner</v>
      </c>
      <c r="H679" s="0" t="str">
        <f aca="false">CRM_Raw!H679</f>
        <v>Negotiation</v>
      </c>
      <c r="I679" s="10" t="n">
        <f aca="false">CRM_Raw!I679</f>
        <v>337.55</v>
      </c>
      <c r="J679" s="11" t="n">
        <f aca="false">CRM_Raw!J679</f>
        <v>0.05</v>
      </c>
      <c r="K679" s="10" t="n">
        <f aca="false">I679*(1-J679)</f>
        <v>320.6725</v>
      </c>
      <c r="L679" s="12" t="n">
        <f aca="false">CRM_Raw!K679</f>
        <v>0</v>
      </c>
      <c r="M679" s="12" t="n">
        <f aca="false">IF(H679="Closed Won",1,0)</f>
        <v>0</v>
      </c>
    </row>
    <row r="680" customFormat="false" ht="15" hidden="false" customHeight="false" outlineLevel="0" collapsed="false">
      <c r="A680" s="0" t="str">
        <f aca="false">CRM_Raw!A680</f>
        <v>D-10676</v>
      </c>
      <c r="B680" s="0" t="str">
        <f aca="false">CRM_Raw!B680</f>
        <v>2025-04-20</v>
      </c>
      <c r="C680" s="0" t="n">
        <f aca="false">CRM_Raw!C680</f>
        <v>0</v>
      </c>
      <c r="D680" s="0" t="str">
        <f aca="false">IF(CRM_Raw!D680="DACH","DACH",IF(ISNUMBER(SEARCH("uk",CRM_Raw!D680)),"UK &amp; Ireland",PROPER(CRM_Raw!D680)))</f>
        <v>Southern Europe</v>
      </c>
      <c r="E680" s="0" t="str">
        <f aca="false">CRM_Raw!E680</f>
        <v>Coffee Systems</v>
      </c>
      <c r="F680" s="0" t="str">
        <f aca="false">CRM_Raw!F680</f>
        <v>Paid Search</v>
      </c>
      <c r="G680" s="0" t="str">
        <f aca="false">IF(TRIM(CRM_Raw!G680)="","Unassigned",CRM_Raw!G680)</f>
        <v>K. Nilsson</v>
      </c>
      <c r="H680" s="0" t="str">
        <f aca="false">CRM_Raw!H680</f>
        <v>Negotiation</v>
      </c>
      <c r="I680" s="10" t="n">
        <f aca="false">CRM_Raw!I680</f>
        <v>512.01</v>
      </c>
      <c r="J680" s="11" t="n">
        <f aca="false">CRM_Raw!J680</f>
        <v>0.15</v>
      </c>
      <c r="K680" s="10" t="n">
        <f aca="false">I680*(1-J680)</f>
        <v>435.2085</v>
      </c>
      <c r="L680" s="12" t="n">
        <f aca="false">CRM_Raw!K680</f>
        <v>0</v>
      </c>
      <c r="M680" s="12" t="n">
        <f aca="false">IF(H680="Closed Won",1,0)</f>
        <v>0</v>
      </c>
    </row>
    <row r="681" customFormat="false" ht="15" hidden="false" customHeight="false" outlineLevel="0" collapsed="false">
      <c r="A681" s="0" t="str">
        <f aca="false">CRM_Raw!A681</f>
        <v>D-10677</v>
      </c>
      <c r="B681" s="0" t="str">
        <f aca="false">CRM_Raw!B681</f>
        <v>2025-07-17</v>
      </c>
      <c r="C681" s="0" t="str">
        <f aca="false">CRM_Raw!C681</f>
        <v>2025-08-13</v>
      </c>
      <c r="D681" s="0" t="str">
        <f aca="false">IF(CRM_Raw!D681="DACH","DACH",IF(ISNUMBER(SEARCH("uk",CRM_Raw!D681)),"UK &amp; Ireland",PROPER(CRM_Raw!D681)))</f>
        <v>Benelux</v>
      </c>
      <c r="E681" s="0" t="str">
        <f aca="false">CRM_Raw!E681</f>
        <v>Small Kitchen Appliances</v>
      </c>
      <c r="F681" s="0" t="str">
        <f aca="false">CRM_Raw!F681</f>
        <v>Web-shop Organic</v>
      </c>
      <c r="G681" s="0" t="str">
        <f aca="false">IF(TRIM(CRM_Raw!G681)="","Unassigned",CRM_Raw!G681)</f>
        <v>A. Becker</v>
      </c>
      <c r="H681" s="0" t="str">
        <f aca="false">CRM_Raw!H681</f>
        <v>Closed Won</v>
      </c>
      <c r="I681" s="10" t="n">
        <f aca="false">CRM_Raw!I681</f>
        <v>363.55</v>
      </c>
      <c r="J681" s="11" t="n">
        <f aca="false">CRM_Raw!J681</f>
        <v>0.15</v>
      </c>
      <c r="K681" s="10" t="n">
        <f aca="false">I681*(1-J681)</f>
        <v>309.0175</v>
      </c>
      <c r="L681" s="12" t="n">
        <f aca="false">CRM_Raw!K681</f>
        <v>27</v>
      </c>
      <c r="M681" s="12" t="n">
        <f aca="false">IF(H681="Closed Won",1,0)</f>
        <v>1</v>
      </c>
    </row>
    <row r="682" customFormat="false" ht="15" hidden="false" customHeight="false" outlineLevel="0" collapsed="false">
      <c r="A682" s="0" t="str">
        <f aca="false">CRM_Raw!A682</f>
        <v>D-10678</v>
      </c>
      <c r="B682" s="0" t="str">
        <f aca="false">CRM_Raw!B682</f>
        <v>2025-01-17</v>
      </c>
      <c r="C682" s="0" t="str">
        <f aca="false">CRM_Raw!C682</f>
        <v>2025-02-06</v>
      </c>
      <c r="D682" s="0" t="str">
        <f aca="false">IF(CRM_Raw!D682="DACH","DACH",IF(ISNUMBER(SEARCH("uk",CRM_Raw!D682)),"UK &amp; Ireland",PROPER(CRM_Raw!D682)))</f>
        <v>France</v>
      </c>
      <c r="E682" s="0" t="str">
        <f aca="false">CRM_Raw!E682</f>
        <v>Dishwashers</v>
      </c>
      <c r="F682" s="0" t="str">
        <f aca="false">CRM_Raw!F682</f>
        <v>Social Media Ads</v>
      </c>
      <c r="G682" s="0" t="str">
        <f aca="false">IF(TRIM(CRM_Raw!G682)="","Unassigned",CRM_Raw!G682)</f>
        <v>T. Wagner</v>
      </c>
      <c r="H682" s="0" t="str">
        <f aca="false">CRM_Raw!H682</f>
        <v>Closed Won</v>
      </c>
      <c r="I682" s="10" t="n">
        <f aca="false">CRM_Raw!I682</f>
        <v>646.31</v>
      </c>
      <c r="J682" s="11" t="n">
        <f aca="false">CRM_Raw!J682</f>
        <v>0.05</v>
      </c>
      <c r="K682" s="10" t="n">
        <f aca="false">I682*(1-J682)</f>
        <v>613.9945</v>
      </c>
      <c r="L682" s="12" t="n">
        <f aca="false">CRM_Raw!K682</f>
        <v>20</v>
      </c>
      <c r="M682" s="12" t="n">
        <f aca="false">IF(H682="Closed Won",1,0)</f>
        <v>1</v>
      </c>
    </row>
    <row r="683" customFormat="false" ht="15" hidden="false" customHeight="false" outlineLevel="0" collapsed="false">
      <c r="A683" s="0" t="str">
        <f aca="false">CRM_Raw!A683</f>
        <v>D-10679</v>
      </c>
      <c r="B683" s="0" t="str">
        <f aca="false">CRM_Raw!B683</f>
        <v>2025-06-02</v>
      </c>
      <c r="C683" s="0" t="n">
        <f aca="false">CRM_Raw!C683</f>
        <v>0</v>
      </c>
      <c r="D683" s="0" t="str">
        <f aca="false">IF(CRM_Raw!D683="DACH","DACH",IF(ISNUMBER(SEARCH("uk",CRM_Raw!D683)),"UK &amp; Ireland",PROPER(CRM_Raw!D683)))</f>
        <v>DACH</v>
      </c>
      <c r="E683" s="0" t="str">
        <f aca="false">CRM_Raw!E683</f>
        <v>Coffee Systems</v>
      </c>
      <c r="F683" s="0" t="str">
        <f aca="false">CRM_Raw!F683</f>
        <v>Email Campaign</v>
      </c>
      <c r="G683" s="0" t="str">
        <f aca="false">IF(TRIM(CRM_Raw!G683)="","Unassigned",CRM_Raw!G683)</f>
        <v>T. Wagner</v>
      </c>
      <c r="H683" s="0" t="str">
        <f aca="false">CRM_Raw!H683</f>
        <v>Negotiation</v>
      </c>
      <c r="I683" s="10" t="n">
        <f aca="false">CRM_Raw!I683</f>
        <v>496.07</v>
      </c>
      <c r="J683" s="11" t="n">
        <f aca="false">CRM_Raw!J683</f>
        <v>0</v>
      </c>
      <c r="K683" s="10" t="n">
        <f aca="false">I683*(1-J683)</f>
        <v>496.07</v>
      </c>
      <c r="L683" s="12" t="n">
        <f aca="false">CRM_Raw!K683</f>
        <v>0</v>
      </c>
      <c r="M683" s="12" t="n">
        <f aca="false">IF(H683="Closed Won",1,0)</f>
        <v>0</v>
      </c>
    </row>
    <row r="684" customFormat="false" ht="15" hidden="false" customHeight="false" outlineLevel="0" collapsed="false">
      <c r="A684" s="0" t="str">
        <f aca="false">CRM_Raw!A684</f>
        <v>D-10680</v>
      </c>
      <c r="B684" s="0" t="str">
        <f aca="false">CRM_Raw!B684</f>
        <v>2026-04-28</v>
      </c>
      <c r="C684" s="0" t="n">
        <f aca="false">CRM_Raw!C684</f>
        <v>0</v>
      </c>
      <c r="D684" s="0" t="str">
        <f aca="false">IF(CRM_Raw!D684="DACH","DACH",IF(ISNUMBER(SEARCH("uk",CRM_Raw!D684)),"UK &amp; Ireland",PROPER(CRM_Raw!D684)))</f>
        <v>Southern Europe</v>
      </c>
      <c r="E684" s="0" t="str">
        <f aca="false">CRM_Raw!E684</f>
        <v>Coffee Systems</v>
      </c>
      <c r="F684" s="0" t="str">
        <f aca="false">CRM_Raw!F684</f>
        <v>Social Media Ads</v>
      </c>
      <c r="G684" s="0" t="str">
        <f aca="false">IF(TRIM(CRM_Raw!G684)="","Unassigned",CRM_Raw!G684)</f>
        <v>Unassigned</v>
      </c>
      <c r="H684" s="0" t="str">
        <f aca="false">CRM_Raw!H684</f>
        <v>Qualified</v>
      </c>
      <c r="I684" s="10" t="n">
        <f aca="false">CRM_Raw!I684</f>
        <v>544.73</v>
      </c>
      <c r="J684" s="11" t="n">
        <f aca="false">CRM_Raw!J684</f>
        <v>0.15</v>
      </c>
      <c r="K684" s="10" t="n">
        <f aca="false">I684*(1-J684)</f>
        <v>463.0205</v>
      </c>
      <c r="L684" s="12" t="n">
        <f aca="false">CRM_Raw!K684</f>
        <v>0</v>
      </c>
      <c r="M684" s="12" t="n">
        <f aca="false">IF(H684="Closed Won",1,0)</f>
        <v>0</v>
      </c>
    </row>
    <row r="685" customFormat="false" ht="15" hidden="false" customHeight="false" outlineLevel="0" collapsed="false">
      <c r="A685" s="0" t="str">
        <f aca="false">CRM_Raw!A685</f>
        <v>D-10681</v>
      </c>
      <c r="B685" s="0" t="str">
        <f aca="false">CRM_Raw!B685</f>
        <v>2025-11-11</v>
      </c>
      <c r="C685" s="0" t="n">
        <f aca="false">CRM_Raw!C685</f>
        <v>0</v>
      </c>
      <c r="D685" s="0" t="str">
        <f aca="false">IF(CRM_Raw!D685="DACH","DACH",IF(ISNUMBER(SEARCH("uk",CRM_Raw!D685)),"UK &amp; Ireland",PROPER(CRM_Raw!D685)))</f>
        <v>Southern Europe</v>
      </c>
      <c r="E685" s="0" t="str">
        <f aca="false">CRM_Raw!E685</f>
        <v>Coffee Systems</v>
      </c>
      <c r="F685" s="0" t="str">
        <f aca="false">CRM_Raw!F685</f>
        <v>Web-shop Organic</v>
      </c>
      <c r="G685" s="0" t="str">
        <f aca="false">IF(TRIM(CRM_Raw!G685)="","Unassigned",CRM_Raw!G685)</f>
        <v>A. Becker</v>
      </c>
      <c r="H685" s="0" t="str">
        <f aca="false">CRM_Raw!H685</f>
        <v>Proposal Sent</v>
      </c>
      <c r="I685" s="10" t="n">
        <f aca="false">CRM_Raw!I685</f>
        <v>1436.81</v>
      </c>
      <c r="J685" s="11" t="n">
        <f aca="false">CRM_Raw!J685</f>
        <v>0</v>
      </c>
      <c r="K685" s="10" t="n">
        <f aca="false">I685*(1-J685)</f>
        <v>1436.81</v>
      </c>
      <c r="L685" s="12" t="n">
        <f aca="false">CRM_Raw!K685</f>
        <v>0</v>
      </c>
      <c r="M685" s="12" t="n">
        <f aca="false">IF(H685="Closed Won",1,0)</f>
        <v>0</v>
      </c>
    </row>
    <row r="686" customFormat="false" ht="15" hidden="false" customHeight="false" outlineLevel="0" collapsed="false">
      <c r="A686" s="0" t="str">
        <f aca="false">CRM_Raw!A686</f>
        <v>D-10682</v>
      </c>
      <c r="B686" s="0" t="str">
        <f aca="false">CRM_Raw!B686</f>
        <v>2025-04-27</v>
      </c>
      <c r="C686" s="0" t="str">
        <f aca="false">CRM_Raw!C686</f>
        <v>2025-05-19</v>
      </c>
      <c r="D686" s="0" t="str">
        <f aca="false">IF(CRM_Raw!D686="DACH","DACH",IF(ISNUMBER(SEARCH("uk",CRM_Raw!D686)),"UK &amp; Ireland",PROPER(CRM_Raw!D686)))</f>
        <v>North America</v>
      </c>
      <c r="E686" s="0" t="str">
        <f aca="false">CRM_Raw!E686</f>
        <v>Washing Machines</v>
      </c>
      <c r="F686" s="0" t="str">
        <f aca="false">CRM_Raw!F686</f>
        <v>Web-shop Organic</v>
      </c>
      <c r="G686" s="0" t="str">
        <f aca="false">IF(TRIM(CRM_Raw!G686)="","Unassigned",CRM_Raw!G686)</f>
        <v>L. Dubois</v>
      </c>
      <c r="H686" s="0" t="str">
        <f aca="false">CRM_Raw!H686</f>
        <v>Closed Lost</v>
      </c>
      <c r="I686" s="10" t="n">
        <f aca="false">CRM_Raw!I686</f>
        <v>1446.96</v>
      </c>
      <c r="J686" s="11" t="n">
        <f aca="false">CRM_Raw!J686</f>
        <v>0</v>
      </c>
      <c r="K686" s="10" t="n">
        <f aca="false">I686*(1-J686)</f>
        <v>1446.96</v>
      </c>
      <c r="L686" s="12" t="n">
        <f aca="false">CRM_Raw!K686</f>
        <v>22</v>
      </c>
      <c r="M686" s="12" t="n">
        <f aca="false">IF(H686="Closed Won",1,0)</f>
        <v>0</v>
      </c>
    </row>
    <row r="687" customFormat="false" ht="15" hidden="false" customHeight="false" outlineLevel="0" collapsed="false">
      <c r="A687" s="0" t="str">
        <f aca="false">CRM_Raw!A687</f>
        <v>D-10683</v>
      </c>
      <c r="B687" s="0" t="str">
        <f aca="false">CRM_Raw!B687</f>
        <v>2025-05-04</v>
      </c>
      <c r="C687" s="0" t="n">
        <f aca="false">CRM_Raw!C687</f>
        <v>0</v>
      </c>
      <c r="D687" s="0" t="str">
        <f aca="false">IF(CRM_Raw!D687="DACH","DACH",IF(ISNUMBER(SEARCH("uk",CRM_Raw!D687)),"UK &amp; Ireland",PROPER(CRM_Raw!D687)))</f>
        <v>North America</v>
      </c>
      <c r="E687" s="0" t="str">
        <f aca="false">CRM_Raw!E687</f>
        <v>Small Kitchen Appliances</v>
      </c>
      <c r="F687" s="0" t="str">
        <f aca="false">CRM_Raw!F687</f>
        <v>Affiliate Partner</v>
      </c>
      <c r="G687" s="0" t="str">
        <f aca="false">IF(TRIM(CRM_Raw!G687)="","Unassigned",CRM_Raw!G687)</f>
        <v>P. Rossi</v>
      </c>
      <c r="H687" s="0" t="str">
        <f aca="false">CRM_Raw!H687</f>
        <v>Qualified</v>
      </c>
      <c r="I687" s="10" t="n">
        <f aca="false">CRM_Raw!I687</f>
        <v>126.74</v>
      </c>
      <c r="J687" s="11" t="n">
        <f aca="false">CRM_Raw!J687</f>
        <v>0</v>
      </c>
      <c r="K687" s="10" t="n">
        <f aca="false">I687*(1-J687)</f>
        <v>126.74</v>
      </c>
      <c r="L687" s="12" t="n">
        <f aca="false">CRM_Raw!K687</f>
        <v>0</v>
      </c>
      <c r="M687" s="12" t="n">
        <f aca="false">IF(H687="Closed Won",1,0)</f>
        <v>0</v>
      </c>
    </row>
    <row r="688" customFormat="false" ht="15" hidden="false" customHeight="false" outlineLevel="0" collapsed="false">
      <c r="A688" s="0" t="str">
        <f aca="false">CRM_Raw!A688</f>
        <v>D-10684</v>
      </c>
      <c r="B688" s="0" t="str">
        <f aca="false">CRM_Raw!B688</f>
        <v>2025-12-10</v>
      </c>
      <c r="C688" s="0" t="str">
        <f aca="false">CRM_Raw!C688</f>
        <v>2025-12-24</v>
      </c>
      <c r="D688" s="0" t="str">
        <f aca="false">IF(CRM_Raw!D688="DACH","DACH",IF(ISNUMBER(SEARCH("uk",CRM_Raw!D688)),"UK &amp; Ireland",PROPER(CRM_Raw!D688)))</f>
        <v>North America</v>
      </c>
      <c r="E688" s="0" t="str">
        <f aca="false">CRM_Raw!E688</f>
        <v>Coffee Systems</v>
      </c>
      <c r="F688" s="0" t="str">
        <f aca="false">CRM_Raw!F688</f>
        <v>Email Campaign</v>
      </c>
      <c r="G688" s="0" t="str">
        <f aca="false">IF(TRIM(CRM_Raw!G688)="","Unassigned",CRM_Raw!G688)</f>
        <v>M. Hoffmann</v>
      </c>
      <c r="H688" s="0" t="str">
        <f aca="false">CRM_Raw!H688</f>
        <v>Closed Won</v>
      </c>
      <c r="I688" s="10" t="n">
        <f aca="false">CRM_Raw!I688</f>
        <v>1002.47</v>
      </c>
      <c r="J688" s="11" t="n">
        <f aca="false">CRM_Raw!J688</f>
        <v>0</v>
      </c>
      <c r="K688" s="10" t="n">
        <f aca="false">I688*(1-J688)</f>
        <v>1002.47</v>
      </c>
      <c r="L688" s="12" t="n">
        <f aca="false">CRM_Raw!K688</f>
        <v>14</v>
      </c>
      <c r="M688" s="12" t="n">
        <f aca="false">IF(H688="Closed Won",1,0)</f>
        <v>1</v>
      </c>
    </row>
    <row r="689" customFormat="false" ht="15" hidden="false" customHeight="false" outlineLevel="0" collapsed="false">
      <c r="A689" s="0" t="str">
        <f aca="false">CRM_Raw!A689</f>
        <v>D-10685</v>
      </c>
      <c r="B689" s="0" t="str">
        <f aca="false">CRM_Raw!B689</f>
        <v>2025-09-07</v>
      </c>
      <c r="C689" s="0" t="n">
        <f aca="false">CRM_Raw!C689</f>
        <v>0</v>
      </c>
      <c r="D689" s="0" t="str">
        <f aca="false">IF(CRM_Raw!D689="DACH","DACH",IF(ISNUMBER(SEARCH("uk",CRM_Raw!D689)),"UK &amp; Ireland",PROPER(CRM_Raw!D689)))</f>
        <v>Southern Europe</v>
      </c>
      <c r="E689" s="0" t="str">
        <f aca="false">CRM_Raw!E689</f>
        <v>Cordless Vacuums</v>
      </c>
      <c r="F689" s="0" t="str">
        <f aca="false">CRM_Raw!F689</f>
        <v>Social Media Ads</v>
      </c>
      <c r="G689" s="0" t="str">
        <f aca="false">IF(TRIM(CRM_Raw!G689)="","Unassigned",CRM_Raw!G689)</f>
        <v>T. Wagner</v>
      </c>
      <c r="H689" s="0" t="str">
        <f aca="false">CRM_Raw!H689</f>
        <v>Qualified</v>
      </c>
      <c r="I689" s="10" t="n">
        <f aca="false">CRM_Raw!I689</f>
        <v>325.7</v>
      </c>
      <c r="J689" s="11" t="n">
        <f aca="false">CRM_Raw!J689</f>
        <v>0.2</v>
      </c>
      <c r="K689" s="10" t="n">
        <f aca="false">I689*(1-J689)</f>
        <v>260.56</v>
      </c>
      <c r="L689" s="12" t="n">
        <f aca="false">CRM_Raw!K689</f>
        <v>0</v>
      </c>
      <c r="M689" s="12" t="n">
        <f aca="false">IF(H689="Closed Won",1,0)</f>
        <v>0</v>
      </c>
    </row>
    <row r="690" customFormat="false" ht="15" hidden="false" customHeight="false" outlineLevel="0" collapsed="false">
      <c r="A690" s="0" t="str">
        <f aca="false">CRM_Raw!A690</f>
        <v>D-10686</v>
      </c>
      <c r="B690" s="0" t="str">
        <f aca="false">CRM_Raw!B690</f>
        <v>2025-01-17</v>
      </c>
      <c r="C690" s="0" t="n">
        <f aca="false">CRM_Raw!C690</f>
        <v>0</v>
      </c>
      <c r="D690" s="0" t="str">
        <f aca="false">IF(CRM_Raw!D690="DACH","DACH",IF(ISNUMBER(SEARCH("uk",CRM_Raw!D690)),"UK &amp; Ireland",PROPER(CRM_Raw!D690)))</f>
        <v>North America</v>
      </c>
      <c r="E690" s="0" t="str">
        <f aca="false">CRM_Raw!E690</f>
        <v>Small Kitchen Appliances</v>
      </c>
      <c r="F690" s="0" t="str">
        <f aca="false">CRM_Raw!F690</f>
        <v>Social Media Ads</v>
      </c>
      <c r="G690" s="0" t="str">
        <f aca="false">IF(TRIM(CRM_Raw!G690)="","Unassigned",CRM_Raw!G690)</f>
        <v>M. Hoffmann</v>
      </c>
      <c r="H690" s="0" t="str">
        <f aca="false">CRM_Raw!H690</f>
        <v>Proposal Sent</v>
      </c>
      <c r="I690" s="10" t="n">
        <f aca="false">CRM_Raw!I690</f>
        <v>112.05</v>
      </c>
      <c r="J690" s="11" t="n">
        <f aca="false">CRM_Raw!J690</f>
        <v>0</v>
      </c>
      <c r="K690" s="10" t="n">
        <f aca="false">I690*(1-J690)</f>
        <v>112.05</v>
      </c>
      <c r="L690" s="12" t="n">
        <f aca="false">CRM_Raw!K690</f>
        <v>0</v>
      </c>
      <c r="M690" s="12" t="n">
        <f aca="false">IF(H690="Closed Won",1,0)</f>
        <v>0</v>
      </c>
    </row>
    <row r="691" customFormat="false" ht="15" hidden="false" customHeight="false" outlineLevel="0" collapsed="false">
      <c r="A691" s="0" t="str">
        <f aca="false">CRM_Raw!A691</f>
        <v>D-10687</v>
      </c>
      <c r="B691" s="0" t="str">
        <f aca="false">CRM_Raw!B691</f>
        <v>2026-03-03</v>
      </c>
      <c r="C691" s="0" t="n">
        <f aca="false">CRM_Raw!C691</f>
        <v>0</v>
      </c>
      <c r="D691" s="0" t="str">
        <f aca="false">IF(CRM_Raw!D691="DACH","DACH",IF(ISNUMBER(SEARCH("uk",CRM_Raw!D691)),"UK &amp; Ireland",PROPER(CRM_Raw!D691)))</f>
        <v>DACH</v>
      </c>
      <c r="E691" s="0" t="str">
        <f aca="false">CRM_Raw!E691</f>
        <v>Small Kitchen Appliances</v>
      </c>
      <c r="F691" s="0" t="str">
        <f aca="false">CRM_Raw!F691</f>
        <v>Affiliate Partner</v>
      </c>
      <c r="G691" s="0" t="str">
        <f aca="false">IF(TRIM(CRM_Raw!G691)="","Unassigned",CRM_Raw!G691)</f>
        <v>J. Murphy</v>
      </c>
      <c r="H691" s="0" t="str">
        <f aca="false">CRM_Raw!H691</f>
        <v>Negotiation</v>
      </c>
      <c r="I691" s="10" t="n">
        <f aca="false">CRM_Raw!I691</f>
        <v>266.31</v>
      </c>
      <c r="J691" s="11" t="n">
        <f aca="false">CRM_Raw!J691</f>
        <v>0.15</v>
      </c>
      <c r="K691" s="10" t="n">
        <f aca="false">I691*(1-J691)</f>
        <v>226.3635</v>
      </c>
      <c r="L691" s="12" t="n">
        <f aca="false">CRM_Raw!K691</f>
        <v>0</v>
      </c>
      <c r="M691" s="12" t="n">
        <f aca="false">IF(H691="Closed Won",1,0)</f>
        <v>0</v>
      </c>
    </row>
    <row r="692" customFormat="false" ht="15" hidden="false" customHeight="false" outlineLevel="0" collapsed="false">
      <c r="A692" s="0" t="str">
        <f aca="false">CRM_Raw!A692</f>
        <v>D-10688</v>
      </c>
      <c r="B692" s="0" t="str">
        <f aca="false">CRM_Raw!B692</f>
        <v>2026-04-07</v>
      </c>
      <c r="C692" s="0" t="str">
        <f aca="false">CRM_Raw!C692</f>
        <v>2026-05-09</v>
      </c>
      <c r="D692" s="0" t="str">
        <f aca="false">IF(CRM_Raw!D692="DACH","DACH",IF(ISNUMBER(SEARCH("uk",CRM_Raw!D692)),"UK &amp; Ireland",PROPER(CRM_Raw!D692)))</f>
        <v>UK &amp; Ireland</v>
      </c>
      <c r="E692" s="0" t="str">
        <f aca="false">CRM_Raw!E692</f>
        <v>Coffee Systems</v>
      </c>
      <c r="F692" s="0" t="str">
        <f aca="false">CRM_Raw!F692</f>
        <v>Web-shop Organic</v>
      </c>
      <c r="G692" s="0" t="str">
        <f aca="false">IF(TRIM(CRM_Raw!G692)="","Unassigned",CRM_Raw!G692)</f>
        <v>J. Murphy</v>
      </c>
      <c r="H692" s="0" t="str">
        <f aca="false">CRM_Raw!H692</f>
        <v>Closed Lost</v>
      </c>
      <c r="I692" s="10" t="n">
        <f aca="false">CRM_Raw!I692</f>
        <v>471.4</v>
      </c>
      <c r="J692" s="11" t="n">
        <f aca="false">CRM_Raw!J692</f>
        <v>0.15</v>
      </c>
      <c r="K692" s="10" t="n">
        <f aca="false">I692*(1-J692)</f>
        <v>400.69</v>
      </c>
      <c r="L692" s="12" t="n">
        <f aca="false">CRM_Raw!K692</f>
        <v>32</v>
      </c>
      <c r="M692" s="12" t="n">
        <f aca="false">IF(H692="Closed Won",1,0)</f>
        <v>0</v>
      </c>
    </row>
    <row r="693" customFormat="false" ht="15" hidden="false" customHeight="false" outlineLevel="0" collapsed="false">
      <c r="A693" s="0" t="str">
        <f aca="false">CRM_Raw!A693</f>
        <v>D-10689</v>
      </c>
      <c r="B693" s="0" t="str">
        <f aca="false">CRM_Raw!B693</f>
        <v>2025-12-23</v>
      </c>
      <c r="C693" s="0" t="str">
        <f aca="false">CRM_Raw!C693</f>
        <v>2026-01-08</v>
      </c>
      <c r="D693" s="0" t="str">
        <f aca="false">IF(CRM_Raw!D693="DACH","DACH",IF(ISNUMBER(SEARCH("uk",CRM_Raw!D693)),"UK &amp; Ireland",PROPER(CRM_Raw!D693)))</f>
        <v>Benelux</v>
      </c>
      <c r="E693" s="0" t="str">
        <f aca="false">CRM_Raw!E693</f>
        <v>Washing Machines</v>
      </c>
      <c r="F693" s="0" t="str">
        <f aca="false">CRM_Raw!F693</f>
        <v>Trade Show</v>
      </c>
      <c r="G693" s="0" t="str">
        <f aca="false">IF(TRIM(CRM_Raw!G693)="","Unassigned",CRM_Raw!G693)</f>
        <v>J. Murphy</v>
      </c>
      <c r="H693" s="0" t="str">
        <f aca="false">CRM_Raw!H693</f>
        <v>Closed Lost</v>
      </c>
      <c r="I693" s="10" t="n">
        <f aca="false">CRM_Raw!I693</f>
        <v>683.81</v>
      </c>
      <c r="J693" s="11" t="n">
        <f aca="false">CRM_Raw!J693</f>
        <v>0</v>
      </c>
      <c r="K693" s="10" t="n">
        <f aca="false">I693*(1-J693)</f>
        <v>683.81</v>
      </c>
      <c r="L693" s="12" t="n">
        <f aca="false">CRM_Raw!K693</f>
        <v>16</v>
      </c>
      <c r="M693" s="12" t="n">
        <f aca="false">IF(H693="Closed Won",1,0)</f>
        <v>0</v>
      </c>
    </row>
    <row r="694" customFormat="false" ht="15" hidden="false" customHeight="false" outlineLevel="0" collapsed="false">
      <c r="A694" s="0" t="str">
        <f aca="false">CRM_Raw!A694</f>
        <v>D-10690</v>
      </c>
      <c r="B694" s="0" t="str">
        <f aca="false">CRM_Raw!B694</f>
        <v>2026-04-21</v>
      </c>
      <c r="C694" s="0" t="n">
        <f aca="false">CRM_Raw!C694</f>
        <v>0</v>
      </c>
      <c r="D694" s="0" t="str">
        <f aca="false">IF(CRM_Raw!D694="DACH","DACH",IF(ISNUMBER(SEARCH("uk",CRM_Raw!D694)),"UK &amp; Ireland",PROPER(CRM_Raw!D694)))</f>
        <v>Nordics</v>
      </c>
      <c r="E694" s="0" t="str">
        <f aca="false">CRM_Raw!E694</f>
        <v>Smart Ovens</v>
      </c>
      <c r="F694" s="0" t="str">
        <f aca="false">CRM_Raw!F694</f>
        <v>Social Media Ads</v>
      </c>
      <c r="G694" s="0" t="str">
        <f aca="false">IF(TRIM(CRM_Raw!G694)="","Unassigned",CRM_Raw!G694)</f>
        <v>S. Andersson</v>
      </c>
      <c r="H694" s="0" t="str">
        <f aca="false">CRM_Raw!H694</f>
        <v>Proposal Sent</v>
      </c>
      <c r="I694" s="10" t="n">
        <f aca="false">CRM_Raw!I694</f>
        <v>900.48</v>
      </c>
      <c r="J694" s="11" t="n">
        <f aca="false">CRM_Raw!J694</f>
        <v>0</v>
      </c>
      <c r="K694" s="10" t="n">
        <f aca="false">I694*(1-J694)</f>
        <v>900.48</v>
      </c>
      <c r="L694" s="12" t="n">
        <f aca="false">CRM_Raw!K694</f>
        <v>0</v>
      </c>
      <c r="M694" s="12" t="n">
        <f aca="false">IF(H694="Closed Won",1,0)</f>
        <v>0</v>
      </c>
    </row>
    <row r="695" customFormat="false" ht="15" hidden="false" customHeight="false" outlineLevel="0" collapsed="false">
      <c r="A695" s="0" t="str">
        <f aca="false">CRM_Raw!A695</f>
        <v>D-10691</v>
      </c>
      <c r="B695" s="0" t="str">
        <f aca="false">CRM_Raw!B695</f>
        <v>2026-05-25</v>
      </c>
      <c r="C695" s="0" t="str">
        <f aca="false">CRM_Raw!C695</f>
        <v>2026-06-01</v>
      </c>
      <c r="D695" s="0" t="str">
        <f aca="false">IF(CRM_Raw!D695="DACH","DACH",IF(ISNUMBER(SEARCH("uk",CRM_Raw!D695)),"UK &amp; Ireland",PROPER(CRM_Raw!D695)))</f>
        <v>UK &amp; Ireland</v>
      </c>
      <c r="E695" s="0" t="str">
        <f aca="false">CRM_Raw!E695</f>
        <v>Smart Ovens</v>
      </c>
      <c r="F695" s="0" t="str">
        <f aca="false">CRM_Raw!F695</f>
        <v>Email Campaign</v>
      </c>
      <c r="G695" s="0" t="str">
        <f aca="false">IF(TRIM(CRM_Raw!G695)="","Unassigned",CRM_Raw!G695)</f>
        <v>T. Wagner</v>
      </c>
      <c r="H695" s="0" t="str">
        <f aca="false">CRM_Raw!H695</f>
        <v>Closed Won</v>
      </c>
      <c r="I695" s="10" t="n">
        <f aca="false">CRM_Raw!I695</f>
        <v>897.49</v>
      </c>
      <c r="J695" s="11" t="n">
        <f aca="false">CRM_Raw!J695</f>
        <v>0</v>
      </c>
      <c r="K695" s="10" t="n">
        <f aca="false">I695*(1-J695)</f>
        <v>897.49</v>
      </c>
      <c r="L695" s="12" t="n">
        <f aca="false">CRM_Raw!K695</f>
        <v>19</v>
      </c>
      <c r="M695" s="12" t="n">
        <f aca="false">IF(H695="Closed Won",1,0)</f>
        <v>1</v>
      </c>
    </row>
    <row r="696" customFormat="false" ht="15" hidden="false" customHeight="false" outlineLevel="0" collapsed="false">
      <c r="A696" s="0" t="str">
        <f aca="false">CRM_Raw!A696</f>
        <v>D-10692</v>
      </c>
      <c r="B696" s="0" t="str">
        <f aca="false">CRM_Raw!B696</f>
        <v>2025-02-14</v>
      </c>
      <c r="C696" s="0" t="str">
        <f aca="false">CRM_Raw!C696</f>
        <v>2025-03-04</v>
      </c>
      <c r="D696" s="0" t="str">
        <f aca="false">IF(CRM_Raw!D696="DACH","DACH",IF(ISNUMBER(SEARCH("uk",CRM_Raw!D696)),"UK &amp; Ireland",PROPER(CRM_Raw!D696)))</f>
        <v>Benelux</v>
      </c>
      <c r="E696" s="0" t="str">
        <f aca="false">CRM_Raw!E696</f>
        <v>Cordless Vacuums</v>
      </c>
      <c r="F696" s="0" t="str">
        <f aca="false">CRM_Raw!F696</f>
        <v>Paid Search</v>
      </c>
      <c r="G696" s="0" t="str">
        <f aca="false">IF(TRIM(CRM_Raw!G696)="","Unassigned",CRM_Raw!G696)</f>
        <v>T. Wagner</v>
      </c>
      <c r="H696" s="0" t="str">
        <f aca="false">CRM_Raw!H696</f>
        <v>Closed Won</v>
      </c>
      <c r="I696" s="10" t="n">
        <f aca="false">CRM_Raw!I696</f>
        <v>980.17</v>
      </c>
      <c r="J696" s="11" t="n">
        <f aca="false">CRM_Raw!J696</f>
        <v>0</v>
      </c>
      <c r="K696" s="10" t="n">
        <f aca="false">I696*(1-J696)</f>
        <v>980.17</v>
      </c>
      <c r="L696" s="12" t="n">
        <f aca="false">CRM_Raw!K696</f>
        <v>18</v>
      </c>
      <c r="M696" s="12" t="n">
        <f aca="false">IF(H696="Closed Won",1,0)</f>
        <v>1</v>
      </c>
    </row>
    <row r="697" customFormat="false" ht="15" hidden="false" customHeight="false" outlineLevel="0" collapsed="false">
      <c r="A697" s="0" t="str">
        <f aca="false">CRM_Raw!A697</f>
        <v>D-10693</v>
      </c>
      <c r="B697" s="0" t="str">
        <f aca="false">CRM_Raw!B697</f>
        <v>2025-03-14</v>
      </c>
      <c r="C697" s="0" t="n">
        <f aca="false">CRM_Raw!C697</f>
        <v>0</v>
      </c>
      <c r="D697" s="0" t="str">
        <f aca="false">IF(CRM_Raw!D697="DACH","DACH",IF(ISNUMBER(SEARCH("uk",CRM_Raw!D697)),"UK &amp; Ireland",PROPER(CRM_Raw!D697)))</f>
        <v>UK &amp; Ireland</v>
      </c>
      <c r="E697" s="0" t="str">
        <f aca="false">CRM_Raw!E697</f>
        <v>Smart Ovens</v>
      </c>
      <c r="F697" s="0" t="str">
        <f aca="false">CRM_Raw!F697</f>
        <v>Social Media Ads</v>
      </c>
      <c r="G697" s="0" t="str">
        <f aca="false">IF(TRIM(CRM_Raw!G697)="","Unassigned",CRM_Raw!G697)</f>
        <v>L. Dubois</v>
      </c>
      <c r="H697" s="0" t="str">
        <f aca="false">CRM_Raw!H697</f>
        <v>Qualified</v>
      </c>
      <c r="I697" s="10" t="n">
        <f aca="false">CRM_Raw!I697</f>
        <v>2739.94</v>
      </c>
      <c r="J697" s="11" t="n">
        <f aca="false">CRM_Raw!J697</f>
        <v>0.1</v>
      </c>
      <c r="K697" s="10" t="n">
        <f aca="false">I697*(1-J697)</f>
        <v>2465.946</v>
      </c>
      <c r="L697" s="12" t="n">
        <f aca="false">CRM_Raw!K697</f>
        <v>0</v>
      </c>
      <c r="M697" s="12" t="n">
        <f aca="false">IF(H697="Closed Won",1,0)</f>
        <v>0</v>
      </c>
    </row>
    <row r="698" customFormat="false" ht="15" hidden="false" customHeight="false" outlineLevel="0" collapsed="false">
      <c r="A698" s="0" t="str">
        <f aca="false">CRM_Raw!A698</f>
        <v>D-10694</v>
      </c>
      <c r="B698" s="0" t="str">
        <f aca="false">CRM_Raw!B698</f>
        <v>2025-08-24</v>
      </c>
      <c r="C698" s="0" t="n">
        <f aca="false">CRM_Raw!C698</f>
        <v>0</v>
      </c>
      <c r="D698" s="0" t="str">
        <f aca="false">IF(CRM_Raw!D698="DACH","DACH",IF(ISNUMBER(SEARCH("uk",CRM_Raw!D698)),"UK &amp; Ireland",PROPER(CRM_Raw!D698)))</f>
        <v>France</v>
      </c>
      <c r="E698" s="0" t="str">
        <f aca="false">CRM_Raw!E698</f>
        <v>Dishwashers</v>
      </c>
      <c r="F698" s="0" t="str">
        <f aca="false">CRM_Raw!F698</f>
        <v>Web-shop Organic</v>
      </c>
      <c r="G698" s="0" t="str">
        <f aca="false">IF(TRIM(CRM_Raw!G698)="","Unassigned",CRM_Raw!G698)</f>
        <v>P. Rossi</v>
      </c>
      <c r="H698" s="0" t="str">
        <f aca="false">CRM_Raw!H698</f>
        <v>Proposal Sent</v>
      </c>
      <c r="I698" s="10" t="n">
        <f aca="false">CRM_Raw!I698</f>
        <v>692.83</v>
      </c>
      <c r="J698" s="11" t="n">
        <f aca="false">CRM_Raw!J698</f>
        <v>0</v>
      </c>
      <c r="K698" s="10" t="n">
        <f aca="false">I698*(1-J698)</f>
        <v>692.83</v>
      </c>
      <c r="L698" s="12" t="n">
        <f aca="false">CRM_Raw!K698</f>
        <v>0</v>
      </c>
      <c r="M698" s="12" t="n">
        <f aca="false">IF(H698="Closed Won",1,0)</f>
        <v>0</v>
      </c>
    </row>
    <row r="699" customFormat="false" ht="15" hidden="false" customHeight="false" outlineLevel="0" collapsed="false">
      <c r="A699" s="0" t="str">
        <f aca="false">CRM_Raw!A699</f>
        <v>D-10695</v>
      </c>
      <c r="B699" s="0" t="str">
        <f aca="false">CRM_Raw!B699</f>
        <v>2025-08-14</v>
      </c>
      <c r="C699" s="0" t="str">
        <f aca="false">CRM_Raw!C699</f>
        <v>2025-09-01</v>
      </c>
      <c r="D699" s="0" t="str">
        <f aca="false">IF(CRM_Raw!D699="DACH","DACH",IF(ISNUMBER(SEARCH("uk",CRM_Raw!D699)),"UK &amp; Ireland",PROPER(CRM_Raw!D699)))</f>
        <v>Southern Europe</v>
      </c>
      <c r="E699" s="0" t="str">
        <f aca="false">CRM_Raw!E699</f>
        <v>Dishwashers</v>
      </c>
      <c r="F699" s="0" t="str">
        <f aca="false">CRM_Raw!F699</f>
        <v>Retail Referral</v>
      </c>
      <c r="G699" s="0" t="str">
        <f aca="false">IF(TRIM(CRM_Raw!G699)="","Unassigned",CRM_Raw!G699)</f>
        <v>K. Nilsson</v>
      </c>
      <c r="H699" s="0" t="str">
        <f aca="false">CRM_Raw!H699</f>
        <v>Closed Won</v>
      </c>
      <c r="I699" s="10" t="n">
        <f aca="false">CRM_Raw!I699</f>
        <v>711.74</v>
      </c>
      <c r="J699" s="11" t="n">
        <f aca="false">CRM_Raw!J699</f>
        <v>0.1</v>
      </c>
      <c r="K699" s="10" t="n">
        <f aca="false">I699*(1-J699)</f>
        <v>640.566</v>
      </c>
      <c r="L699" s="12" t="n">
        <f aca="false">CRM_Raw!K699</f>
        <v>18</v>
      </c>
      <c r="M699" s="12" t="n">
        <f aca="false">IF(H699="Closed Won",1,0)</f>
        <v>1</v>
      </c>
    </row>
    <row r="700" customFormat="false" ht="15" hidden="false" customHeight="false" outlineLevel="0" collapsed="false">
      <c r="A700" s="0" t="str">
        <f aca="false">CRM_Raw!A700</f>
        <v>D-10696</v>
      </c>
      <c r="B700" s="0" t="str">
        <f aca="false">CRM_Raw!B700</f>
        <v>2026-04-14</v>
      </c>
      <c r="C700" s="0" t="n">
        <f aca="false">CRM_Raw!C700</f>
        <v>0</v>
      </c>
      <c r="D700" s="0" t="str">
        <f aca="false">IF(CRM_Raw!D700="DACH","DACH",IF(ISNUMBER(SEARCH("uk",CRM_Raw!D700)),"UK &amp; Ireland",PROPER(CRM_Raw!D700)))</f>
        <v>Benelux</v>
      </c>
      <c r="E700" s="0" t="str">
        <f aca="false">CRM_Raw!E700</f>
        <v>Coffee Systems</v>
      </c>
      <c r="F700" s="0" t="str">
        <f aca="false">CRM_Raw!F700</f>
        <v>Paid Search</v>
      </c>
      <c r="G700" s="0" t="str">
        <f aca="false">IF(TRIM(CRM_Raw!G700)="","Unassigned",CRM_Raw!G700)</f>
        <v>Unassigned</v>
      </c>
      <c r="H700" s="0" t="str">
        <f aca="false">CRM_Raw!H700</f>
        <v>Negotiation</v>
      </c>
      <c r="I700" s="10" t="n">
        <f aca="false">CRM_Raw!I700</f>
        <v>546.46</v>
      </c>
      <c r="J700" s="11" t="n">
        <f aca="false">CRM_Raw!J700</f>
        <v>0</v>
      </c>
      <c r="K700" s="10" t="n">
        <f aca="false">I700*(1-J700)</f>
        <v>546.46</v>
      </c>
      <c r="L700" s="12" t="n">
        <f aca="false">CRM_Raw!K700</f>
        <v>0</v>
      </c>
      <c r="M700" s="12" t="n">
        <f aca="false">IF(H700="Closed Won",1,0)</f>
        <v>0</v>
      </c>
    </row>
    <row r="701" customFormat="false" ht="15" hidden="false" customHeight="false" outlineLevel="0" collapsed="false">
      <c r="A701" s="0" t="str">
        <f aca="false">CRM_Raw!A701</f>
        <v>D-10697</v>
      </c>
      <c r="B701" s="0" t="str">
        <f aca="false">CRM_Raw!B701</f>
        <v>2025-10-15</v>
      </c>
      <c r="C701" s="0" t="str">
        <f aca="false">CRM_Raw!C701</f>
        <v>2025-11-03</v>
      </c>
      <c r="D701" s="0" t="str">
        <f aca="false">IF(CRM_Raw!D701="DACH","DACH",IF(ISNUMBER(SEARCH("uk",CRM_Raw!D701)),"UK &amp; Ireland",PROPER(CRM_Raw!D701)))</f>
        <v>France</v>
      </c>
      <c r="E701" s="0" t="str">
        <f aca="false">CRM_Raw!E701</f>
        <v>Coffee Systems</v>
      </c>
      <c r="F701" s="0" t="str">
        <f aca="false">CRM_Raw!F701</f>
        <v>Web-shop Organic</v>
      </c>
      <c r="G701" s="0" t="str">
        <f aca="false">IF(TRIM(CRM_Raw!G701)="","Unassigned",CRM_Raw!G701)</f>
        <v>A. Becker</v>
      </c>
      <c r="H701" s="0" t="str">
        <f aca="false">CRM_Raw!H701</f>
        <v>Closed Won</v>
      </c>
      <c r="I701" s="10" t="n">
        <f aca="false">CRM_Raw!I701</f>
        <v>1148.38</v>
      </c>
      <c r="J701" s="11" t="n">
        <f aca="false">CRM_Raw!J701</f>
        <v>0.05</v>
      </c>
      <c r="K701" s="10" t="n">
        <f aca="false">I701*(1-J701)</f>
        <v>1090.961</v>
      </c>
      <c r="L701" s="12" t="n">
        <f aca="false">CRM_Raw!K701</f>
        <v>19</v>
      </c>
      <c r="M701" s="12" t="n">
        <f aca="false">IF(H701="Closed Won",1,0)</f>
        <v>1</v>
      </c>
    </row>
    <row r="702" customFormat="false" ht="15" hidden="false" customHeight="false" outlineLevel="0" collapsed="false">
      <c r="A702" s="0" t="str">
        <f aca="false">CRM_Raw!A702</f>
        <v>D-10698</v>
      </c>
      <c r="B702" s="0" t="str">
        <f aca="false">CRM_Raw!B702</f>
        <v>2025-06-10</v>
      </c>
      <c r="C702" s="0" t="n">
        <f aca="false">CRM_Raw!C702</f>
        <v>0</v>
      </c>
      <c r="D702" s="0" t="str">
        <f aca="false">IF(CRM_Raw!D702="DACH","DACH",IF(ISNUMBER(SEARCH("uk",CRM_Raw!D702)),"UK &amp; Ireland",PROPER(CRM_Raw!D702)))</f>
        <v>UK &amp; Ireland</v>
      </c>
      <c r="E702" s="0" t="str">
        <f aca="false">CRM_Raw!E702</f>
        <v>Cordless Vacuums</v>
      </c>
      <c r="F702" s="0" t="str">
        <f aca="false">CRM_Raw!F702</f>
        <v>Web-shop Organic</v>
      </c>
      <c r="G702" s="0" t="str">
        <f aca="false">IF(TRIM(CRM_Raw!G702)="","Unassigned",CRM_Raw!G702)</f>
        <v>J. Murphy</v>
      </c>
      <c r="H702" s="0" t="str">
        <f aca="false">CRM_Raw!H702</f>
        <v>Proposal Sent</v>
      </c>
      <c r="I702" s="10" t="n">
        <f aca="false">CRM_Raw!I702</f>
        <v>1133.29</v>
      </c>
      <c r="J702" s="11" t="n">
        <f aca="false">CRM_Raw!J702</f>
        <v>0</v>
      </c>
      <c r="K702" s="10" t="n">
        <f aca="false">I702*(1-J702)</f>
        <v>1133.29</v>
      </c>
      <c r="L702" s="12" t="n">
        <f aca="false">CRM_Raw!K702</f>
        <v>0</v>
      </c>
      <c r="M702" s="12" t="n">
        <f aca="false">IF(H702="Closed Won",1,0)</f>
        <v>0</v>
      </c>
    </row>
    <row r="703" customFormat="false" ht="15" hidden="false" customHeight="false" outlineLevel="0" collapsed="false">
      <c r="A703" s="0" t="str">
        <f aca="false">CRM_Raw!A703</f>
        <v>D-10699</v>
      </c>
      <c r="B703" s="0" t="str">
        <f aca="false">CRM_Raw!B703</f>
        <v>2026-02-26</v>
      </c>
      <c r="C703" s="0" t="n">
        <f aca="false">CRM_Raw!C703</f>
        <v>0</v>
      </c>
      <c r="D703" s="0" t="str">
        <f aca="false">IF(CRM_Raw!D703="DACH","DACH",IF(ISNUMBER(SEARCH("uk",CRM_Raw!D703)),"UK &amp; Ireland",PROPER(CRM_Raw!D703)))</f>
        <v>Nordics</v>
      </c>
      <c r="E703" s="0" t="str">
        <f aca="false">CRM_Raw!E703</f>
        <v>Washing Machines</v>
      </c>
      <c r="F703" s="0" t="str">
        <f aca="false">CRM_Raw!F703</f>
        <v>Retail Referral</v>
      </c>
      <c r="G703" s="0" t="str">
        <f aca="false">IF(TRIM(CRM_Raw!G703)="","Unassigned",CRM_Raw!G703)</f>
        <v>L. Dubois</v>
      </c>
      <c r="H703" s="0" t="str">
        <f aca="false">CRM_Raw!H703</f>
        <v>Proposal Sent</v>
      </c>
      <c r="I703" s="10" t="n">
        <f aca="false">CRM_Raw!I703</f>
        <v>672.8</v>
      </c>
      <c r="J703" s="11" t="n">
        <f aca="false">CRM_Raw!J703</f>
        <v>0.1</v>
      </c>
      <c r="K703" s="10" t="n">
        <f aca="false">I703*(1-J703)</f>
        <v>605.52</v>
      </c>
      <c r="L703" s="12" t="n">
        <f aca="false">CRM_Raw!K703</f>
        <v>0</v>
      </c>
      <c r="M703" s="12" t="n">
        <f aca="false">IF(H703="Closed Won",1,0)</f>
        <v>0</v>
      </c>
    </row>
    <row r="704" customFormat="false" ht="15" hidden="false" customHeight="false" outlineLevel="0" collapsed="false">
      <c r="A704" s="0" t="str">
        <f aca="false">CRM_Raw!A704</f>
        <v>D-10700</v>
      </c>
      <c r="B704" s="0" t="str">
        <f aca="false">CRM_Raw!B704</f>
        <v>2025-09-10</v>
      </c>
      <c r="C704" s="0" t="str">
        <f aca="false">CRM_Raw!C704</f>
        <v>2025-09-25</v>
      </c>
      <c r="D704" s="0" t="str">
        <f aca="false">IF(CRM_Raw!D704="DACH","DACH",IF(ISNUMBER(SEARCH("uk",CRM_Raw!D704)),"UK &amp; Ireland",PROPER(CRM_Raw!D704)))</f>
        <v>Benelux</v>
      </c>
      <c r="E704" s="0" t="str">
        <f aca="false">CRM_Raw!E704</f>
        <v>Dishwashers</v>
      </c>
      <c r="F704" s="0" t="str">
        <f aca="false">CRM_Raw!F704</f>
        <v>Paid Search</v>
      </c>
      <c r="G704" s="0" t="str">
        <f aca="false">IF(TRIM(CRM_Raw!G704)="","Unassigned",CRM_Raw!G704)</f>
        <v>K. Nilsson</v>
      </c>
      <c r="H704" s="0" t="str">
        <f aca="false">CRM_Raw!H704</f>
        <v>Closed Won</v>
      </c>
      <c r="I704" s="10" t="n">
        <f aca="false">CRM_Raw!I704</f>
        <v>796.43</v>
      </c>
      <c r="J704" s="11" t="n">
        <f aca="false">CRM_Raw!J704</f>
        <v>0.1</v>
      </c>
      <c r="K704" s="10" t="n">
        <f aca="false">I704*(1-J704)</f>
        <v>716.787</v>
      </c>
      <c r="L704" s="12" t="n">
        <f aca="false">CRM_Raw!K704</f>
        <v>15</v>
      </c>
      <c r="M704" s="12" t="n">
        <f aca="false">IF(H704="Closed Won",1,0)</f>
        <v>1</v>
      </c>
    </row>
    <row r="705" customFormat="false" ht="15" hidden="false" customHeight="false" outlineLevel="0" collapsed="false">
      <c r="A705" s="0" t="str">
        <f aca="false">CRM_Raw!A705</f>
        <v>D-10701</v>
      </c>
      <c r="B705" s="0" t="str">
        <f aca="false">CRM_Raw!B705</f>
        <v>2026-04-27</v>
      </c>
      <c r="C705" s="0" t="n">
        <f aca="false">CRM_Raw!C705</f>
        <v>0</v>
      </c>
      <c r="D705" s="0" t="str">
        <f aca="false">IF(CRM_Raw!D705="DACH","DACH",IF(ISNUMBER(SEARCH("uk",CRM_Raw!D705)),"UK &amp; Ireland",PROPER(CRM_Raw!D705)))</f>
        <v>DACH</v>
      </c>
      <c r="E705" s="0" t="str">
        <f aca="false">CRM_Raw!E705</f>
        <v>Dishwashers</v>
      </c>
      <c r="F705" s="0" t="str">
        <f aca="false">CRM_Raw!F705</f>
        <v>Trade Show</v>
      </c>
      <c r="G705" s="0" t="str">
        <f aca="false">IF(TRIM(CRM_Raw!G705)="","Unassigned",CRM_Raw!G705)</f>
        <v>A. Becker</v>
      </c>
      <c r="H705" s="0" t="str">
        <f aca="false">CRM_Raw!H705</f>
        <v>Negotiation</v>
      </c>
      <c r="I705" s="10" t="n">
        <f aca="false">CRM_Raw!I705</f>
        <v>1447.02</v>
      </c>
      <c r="J705" s="11" t="n">
        <f aca="false">CRM_Raw!J705</f>
        <v>0.1</v>
      </c>
      <c r="K705" s="10" t="n">
        <f aca="false">I705*(1-J705)</f>
        <v>1302.318</v>
      </c>
      <c r="L705" s="12" t="n">
        <f aca="false">CRM_Raw!K705</f>
        <v>0</v>
      </c>
      <c r="M705" s="12" t="n">
        <f aca="false">IF(H705="Closed Won",1,0)</f>
        <v>0</v>
      </c>
    </row>
    <row r="706" customFormat="false" ht="15" hidden="false" customHeight="false" outlineLevel="0" collapsed="false">
      <c r="A706" s="0" t="str">
        <f aca="false">CRM_Raw!A706</f>
        <v>D-10702</v>
      </c>
      <c r="B706" s="0" t="str">
        <f aca="false">CRM_Raw!B706</f>
        <v>2026-04-09</v>
      </c>
      <c r="C706" s="0" t="str">
        <f aca="false">CRM_Raw!C706</f>
        <v>2026-05-02</v>
      </c>
      <c r="D706" s="0" t="str">
        <f aca="false">IF(CRM_Raw!D706="DACH","DACH",IF(ISNUMBER(SEARCH("uk",CRM_Raw!D706)),"UK &amp; Ireland",PROPER(CRM_Raw!D706)))</f>
        <v>Benelux</v>
      </c>
      <c r="E706" s="0" t="str">
        <f aca="false">CRM_Raw!E706</f>
        <v>Dishwashers</v>
      </c>
      <c r="F706" s="0" t="str">
        <f aca="false">CRM_Raw!F706</f>
        <v>Email Campaign</v>
      </c>
      <c r="G706" s="0" t="str">
        <f aca="false">IF(TRIM(CRM_Raw!G706)="","Unassigned",CRM_Raw!G706)</f>
        <v>L. Dubois</v>
      </c>
      <c r="H706" s="0" t="str">
        <f aca="false">CRM_Raw!H706</f>
        <v>Closed Lost</v>
      </c>
      <c r="I706" s="10" t="n">
        <f aca="false">CRM_Raw!I706</f>
        <v>650.96</v>
      </c>
      <c r="J706" s="11" t="n">
        <f aca="false">CRM_Raw!J706</f>
        <v>0.15</v>
      </c>
      <c r="K706" s="10" t="n">
        <f aca="false">I706*(1-J706)</f>
        <v>553.316</v>
      </c>
      <c r="L706" s="12" t="n">
        <f aca="false">CRM_Raw!K706</f>
        <v>23</v>
      </c>
      <c r="M706" s="12" t="n">
        <f aca="false">IF(H706="Closed Won",1,0)</f>
        <v>0</v>
      </c>
    </row>
    <row r="707" customFormat="false" ht="15" hidden="false" customHeight="false" outlineLevel="0" collapsed="false">
      <c r="A707" s="0" t="str">
        <f aca="false">CRM_Raw!A707</f>
        <v>D-10703</v>
      </c>
      <c r="B707" s="0" t="str">
        <f aca="false">CRM_Raw!B707</f>
        <v>2026-01-03</v>
      </c>
      <c r="C707" s="0" t="str">
        <f aca="false">CRM_Raw!C707</f>
        <v>2026-01-21</v>
      </c>
      <c r="D707" s="0" t="str">
        <f aca="false">IF(CRM_Raw!D707="DACH","DACH",IF(ISNUMBER(SEARCH("uk",CRM_Raw!D707)),"UK &amp; Ireland",PROPER(CRM_Raw!D707)))</f>
        <v>Southern Europe</v>
      </c>
      <c r="E707" s="0" t="str">
        <f aca="false">CRM_Raw!E707</f>
        <v>Dishwashers</v>
      </c>
      <c r="F707" s="0" t="str">
        <f aca="false">CRM_Raw!F707</f>
        <v>Retail Referral</v>
      </c>
      <c r="G707" s="0" t="str">
        <f aca="false">IF(TRIM(CRM_Raw!G707)="","Unassigned",CRM_Raw!G707)</f>
        <v>M. Hoffmann</v>
      </c>
      <c r="H707" s="0" t="str">
        <f aca="false">CRM_Raw!H707</f>
        <v>Closed Won</v>
      </c>
      <c r="I707" s="10" t="n">
        <f aca="false">CRM_Raw!I707</f>
        <v>719.3</v>
      </c>
      <c r="J707" s="11" t="n">
        <f aca="false">CRM_Raw!J707</f>
        <v>0</v>
      </c>
      <c r="K707" s="10" t="n">
        <f aca="false">I707*(1-J707)</f>
        <v>719.3</v>
      </c>
      <c r="L707" s="12" t="n">
        <f aca="false">CRM_Raw!K707</f>
        <v>18</v>
      </c>
      <c r="M707" s="12" t="n">
        <f aca="false">IF(H707="Closed Won",1,0)</f>
        <v>1</v>
      </c>
    </row>
    <row r="708" customFormat="false" ht="15" hidden="false" customHeight="false" outlineLevel="0" collapsed="false">
      <c r="A708" s="0" t="str">
        <f aca="false">CRM_Raw!A708</f>
        <v>D-10704</v>
      </c>
      <c r="B708" s="0" t="str">
        <f aca="false">CRM_Raw!B708</f>
        <v>2026-04-11</v>
      </c>
      <c r="C708" s="0" t="str">
        <f aca="false">CRM_Raw!C708</f>
        <v>2026-04-28</v>
      </c>
      <c r="D708" s="0" t="str">
        <f aca="false">IF(CRM_Raw!D708="DACH","DACH",IF(ISNUMBER(SEARCH("uk",CRM_Raw!D708)),"UK &amp; Ireland",PROPER(CRM_Raw!D708)))</f>
        <v>Southern Europe</v>
      </c>
      <c r="E708" s="0" t="str">
        <f aca="false">CRM_Raw!E708</f>
        <v>Dishwashers</v>
      </c>
      <c r="F708" s="0" t="str">
        <f aca="false">CRM_Raw!F708</f>
        <v>Retail Referral</v>
      </c>
      <c r="G708" s="0" t="str">
        <f aca="false">IF(TRIM(CRM_Raw!G708)="","Unassigned",CRM_Raw!G708)</f>
        <v>A. Becker</v>
      </c>
      <c r="H708" s="0" t="str">
        <f aca="false">CRM_Raw!H708</f>
        <v>Closed Lost</v>
      </c>
      <c r="I708" s="10" t="n">
        <f aca="false">CRM_Raw!I708</f>
        <v>1321.06</v>
      </c>
      <c r="J708" s="11" t="n">
        <f aca="false">CRM_Raw!J708</f>
        <v>0</v>
      </c>
      <c r="K708" s="10" t="n">
        <f aca="false">I708*(1-J708)</f>
        <v>1321.06</v>
      </c>
      <c r="L708" s="12" t="n">
        <f aca="false">CRM_Raw!K708</f>
        <v>17</v>
      </c>
      <c r="M708" s="12" t="n">
        <f aca="false">IF(H708="Closed Won",1,0)</f>
        <v>0</v>
      </c>
    </row>
    <row r="709" customFormat="false" ht="15" hidden="false" customHeight="false" outlineLevel="0" collapsed="false">
      <c r="A709" s="0" t="str">
        <f aca="false">CRM_Raw!A709</f>
        <v>D-10705</v>
      </c>
      <c r="B709" s="0" t="str">
        <f aca="false">CRM_Raw!B709</f>
        <v>2025-03-14</v>
      </c>
      <c r="C709" s="0" t="str">
        <f aca="false">CRM_Raw!C709</f>
        <v>2025-03-30</v>
      </c>
      <c r="D709" s="0" t="str">
        <f aca="false">IF(CRM_Raw!D709="DACH","DACH",IF(ISNUMBER(SEARCH("uk",CRM_Raw!D709)),"UK &amp; Ireland",PROPER(CRM_Raw!D709)))</f>
        <v>North America</v>
      </c>
      <c r="E709" s="0" t="str">
        <f aca="false">CRM_Raw!E709</f>
        <v>Cordless Vacuums</v>
      </c>
      <c r="F709" s="0" t="str">
        <f aca="false">CRM_Raw!F709</f>
        <v>Social Media Ads</v>
      </c>
      <c r="G709" s="0" t="str">
        <f aca="false">IF(TRIM(CRM_Raw!G709)="","Unassigned",CRM_Raw!G709)</f>
        <v>A. Becker</v>
      </c>
      <c r="H709" s="0" t="str">
        <f aca="false">CRM_Raw!H709</f>
        <v>Closed Lost</v>
      </c>
      <c r="I709" s="10" t="n">
        <f aca="false">CRM_Raw!I709</f>
        <v>348</v>
      </c>
      <c r="J709" s="11" t="n">
        <f aca="false">CRM_Raw!J709</f>
        <v>0.15</v>
      </c>
      <c r="K709" s="10" t="n">
        <f aca="false">I709*(1-J709)</f>
        <v>295.8</v>
      </c>
      <c r="L709" s="12" t="n">
        <f aca="false">CRM_Raw!K709</f>
        <v>16</v>
      </c>
      <c r="M709" s="12" t="n">
        <f aca="false">IF(H709="Closed Won",1,0)</f>
        <v>0</v>
      </c>
    </row>
    <row r="710" customFormat="false" ht="15" hidden="false" customHeight="false" outlineLevel="0" collapsed="false">
      <c r="A710" s="0" t="str">
        <f aca="false">CRM_Raw!A710</f>
        <v>D-10706</v>
      </c>
      <c r="B710" s="0" t="str">
        <f aca="false">CRM_Raw!B710</f>
        <v>2025-03-24</v>
      </c>
      <c r="C710" s="0" t="str">
        <f aca="false">CRM_Raw!C710</f>
        <v>2025-04-03</v>
      </c>
      <c r="D710" s="0" t="str">
        <f aca="false">IF(CRM_Raw!D710="DACH","DACH",IF(ISNUMBER(SEARCH("uk",CRM_Raw!D710)),"UK &amp; Ireland",PROPER(CRM_Raw!D710)))</f>
        <v>Nordics</v>
      </c>
      <c r="E710" s="0" t="str">
        <f aca="false">CRM_Raw!E710</f>
        <v>Washing Machines</v>
      </c>
      <c r="F710" s="0" t="str">
        <f aca="false">CRM_Raw!F710</f>
        <v>Social Media Ads</v>
      </c>
      <c r="G710" s="0" t="str">
        <f aca="false">IF(TRIM(CRM_Raw!G710)="","Unassigned",CRM_Raw!G710)</f>
        <v>S. Andersson</v>
      </c>
      <c r="H710" s="0" t="str">
        <f aca="false">CRM_Raw!H710</f>
        <v>Closed Lost</v>
      </c>
      <c r="I710" s="10" t="n">
        <f aca="false">CRM_Raw!I710</f>
        <v>648.12</v>
      </c>
      <c r="J710" s="11" t="n">
        <f aca="false">CRM_Raw!J710</f>
        <v>0.1</v>
      </c>
      <c r="K710" s="10" t="n">
        <f aca="false">I710*(1-J710)</f>
        <v>583.308</v>
      </c>
      <c r="L710" s="12" t="n">
        <f aca="false">CRM_Raw!K710</f>
        <v>10</v>
      </c>
      <c r="M710" s="12" t="n">
        <f aca="false">IF(H710="Closed Won",1,0)</f>
        <v>0</v>
      </c>
    </row>
    <row r="711" customFormat="false" ht="15" hidden="false" customHeight="false" outlineLevel="0" collapsed="false">
      <c r="A711" s="0" t="str">
        <f aca="false">CRM_Raw!A711</f>
        <v>D-10707</v>
      </c>
      <c r="B711" s="0" t="str">
        <f aca="false">CRM_Raw!B711</f>
        <v>2026-01-28</v>
      </c>
      <c r="C711" s="0" t="str">
        <f aca="false">CRM_Raw!C711</f>
        <v>2026-02-11</v>
      </c>
      <c r="D711" s="0" t="str">
        <f aca="false">IF(CRM_Raw!D711="DACH","DACH",IF(ISNUMBER(SEARCH("uk",CRM_Raw!D711)),"UK &amp; Ireland",PROPER(CRM_Raw!D711)))</f>
        <v>Southern Europe</v>
      </c>
      <c r="E711" s="0" t="str">
        <f aca="false">CRM_Raw!E711</f>
        <v>Cordless Vacuums</v>
      </c>
      <c r="F711" s="0" t="str">
        <f aca="false">CRM_Raw!F711</f>
        <v>Retail Referral</v>
      </c>
      <c r="G711" s="0" t="str">
        <f aca="false">IF(TRIM(CRM_Raw!G711)="","Unassigned",CRM_Raw!G711)</f>
        <v>L. Dubois</v>
      </c>
      <c r="H711" s="0" t="str">
        <f aca="false">CRM_Raw!H711</f>
        <v>Closed Won</v>
      </c>
      <c r="I711" s="10" t="n">
        <f aca="false">CRM_Raw!I711</f>
        <v>1012.28</v>
      </c>
      <c r="J711" s="11" t="n">
        <f aca="false">CRM_Raw!J711</f>
        <v>0.15</v>
      </c>
      <c r="K711" s="10" t="n">
        <f aca="false">I711*(1-J711)</f>
        <v>860.438</v>
      </c>
      <c r="L711" s="12" t="n">
        <f aca="false">CRM_Raw!K711</f>
        <v>14</v>
      </c>
      <c r="M711" s="12" t="n">
        <f aca="false">IF(H711="Closed Won",1,0)</f>
        <v>1</v>
      </c>
    </row>
    <row r="712" customFormat="false" ht="15" hidden="false" customHeight="false" outlineLevel="0" collapsed="false">
      <c r="A712" s="0" t="str">
        <f aca="false">CRM_Raw!A712</f>
        <v>D-10708</v>
      </c>
      <c r="B712" s="0" t="str">
        <f aca="false">CRM_Raw!B712</f>
        <v>2025-05-22</v>
      </c>
      <c r="C712" s="0" t="n">
        <f aca="false">CRM_Raw!C712</f>
        <v>0</v>
      </c>
      <c r="D712" s="0" t="str">
        <f aca="false">IF(CRM_Raw!D712="DACH","DACH",IF(ISNUMBER(SEARCH("uk",CRM_Raw!D712)),"UK &amp; Ireland",PROPER(CRM_Raw!D712)))</f>
        <v>DACH</v>
      </c>
      <c r="E712" s="0" t="str">
        <f aca="false">CRM_Raw!E712</f>
        <v>Washing Machines</v>
      </c>
      <c r="F712" s="0" t="str">
        <f aca="false">CRM_Raw!F712</f>
        <v>Affiliate Partner</v>
      </c>
      <c r="G712" s="0" t="str">
        <f aca="false">IF(TRIM(CRM_Raw!G712)="","Unassigned",CRM_Raw!G712)</f>
        <v>S. Andersson</v>
      </c>
      <c r="H712" s="0" t="str">
        <f aca="false">CRM_Raw!H712</f>
        <v>Qualified</v>
      </c>
      <c r="I712" s="10" t="n">
        <f aca="false">CRM_Raw!I712</f>
        <v>632.51</v>
      </c>
      <c r="J712" s="11" t="n">
        <f aca="false">CRM_Raw!J712</f>
        <v>0.15</v>
      </c>
      <c r="K712" s="10" t="n">
        <f aca="false">I712*(1-J712)</f>
        <v>537.6335</v>
      </c>
      <c r="L712" s="12" t="n">
        <f aca="false">CRM_Raw!K712</f>
        <v>0</v>
      </c>
      <c r="M712" s="12" t="n">
        <f aca="false">IF(H712="Closed Won",1,0)</f>
        <v>0</v>
      </c>
    </row>
    <row r="713" customFormat="false" ht="15" hidden="false" customHeight="false" outlineLevel="0" collapsed="false">
      <c r="A713" s="0" t="str">
        <f aca="false">CRM_Raw!A713</f>
        <v>D-10709</v>
      </c>
      <c r="B713" s="0" t="str">
        <f aca="false">CRM_Raw!B713</f>
        <v>2025-08-19</v>
      </c>
      <c r="C713" s="0" t="str">
        <f aca="false">CRM_Raw!C713</f>
        <v>2025-09-03</v>
      </c>
      <c r="D713" s="0" t="str">
        <f aca="false">IF(CRM_Raw!D713="DACH","DACH",IF(ISNUMBER(SEARCH("uk",CRM_Raw!D713)),"UK &amp; Ireland",PROPER(CRM_Raw!D713)))</f>
        <v>Benelux</v>
      </c>
      <c r="E713" s="0" t="str">
        <f aca="false">CRM_Raw!E713</f>
        <v>Small Kitchen Appliances</v>
      </c>
      <c r="F713" s="0" t="str">
        <f aca="false">CRM_Raw!F713</f>
        <v>Retail Referral</v>
      </c>
      <c r="G713" s="0" t="str">
        <f aca="false">IF(TRIM(CRM_Raw!G713)="","Unassigned",CRM_Raw!G713)</f>
        <v>S. Andersson</v>
      </c>
      <c r="H713" s="0" t="str">
        <f aca="false">CRM_Raw!H713</f>
        <v>Closed Won</v>
      </c>
      <c r="I713" s="10" t="n">
        <f aca="false">CRM_Raw!I713</f>
        <v>408.88</v>
      </c>
      <c r="J713" s="11" t="n">
        <f aca="false">CRM_Raw!J713</f>
        <v>0.15</v>
      </c>
      <c r="K713" s="10" t="n">
        <f aca="false">I713*(1-J713)</f>
        <v>347.548</v>
      </c>
      <c r="L713" s="12" t="n">
        <f aca="false">CRM_Raw!K713</f>
        <v>15</v>
      </c>
      <c r="M713" s="12" t="n">
        <f aca="false">IF(H713="Closed Won",1,0)</f>
        <v>1</v>
      </c>
    </row>
    <row r="714" customFormat="false" ht="15" hidden="false" customHeight="false" outlineLevel="0" collapsed="false">
      <c r="A714" s="0" t="str">
        <f aca="false">CRM_Raw!A714</f>
        <v>D-10710</v>
      </c>
      <c r="B714" s="0" t="str">
        <f aca="false">CRM_Raw!B714</f>
        <v>2025-12-20</v>
      </c>
      <c r="C714" s="0" t="str">
        <f aca="false">CRM_Raw!C714</f>
        <v>2025-12-24</v>
      </c>
      <c r="D714" s="0" t="str">
        <f aca="false">IF(CRM_Raw!D714="DACH","DACH",IF(ISNUMBER(SEARCH("uk",CRM_Raw!D714)),"UK &amp; Ireland",PROPER(CRM_Raw!D714)))</f>
        <v>Benelux</v>
      </c>
      <c r="E714" s="0" t="str">
        <f aca="false">CRM_Raw!E714</f>
        <v>Cordless Vacuums</v>
      </c>
      <c r="F714" s="0" t="str">
        <f aca="false">CRM_Raw!F714</f>
        <v>Web-shop Organic</v>
      </c>
      <c r="G714" s="0" t="str">
        <f aca="false">IF(TRIM(CRM_Raw!G714)="","Unassigned",CRM_Raw!G714)</f>
        <v>P. Rossi</v>
      </c>
      <c r="H714" s="0" t="str">
        <f aca="false">CRM_Raw!H714</f>
        <v>Closed Lost</v>
      </c>
      <c r="I714" s="10" t="n">
        <f aca="false">CRM_Raw!I714</f>
        <v>1089.4</v>
      </c>
      <c r="J714" s="11" t="n">
        <f aca="false">CRM_Raw!J714</f>
        <v>0.15</v>
      </c>
      <c r="K714" s="10" t="n">
        <f aca="false">I714*(1-J714)</f>
        <v>925.99</v>
      </c>
      <c r="L714" s="12" t="n">
        <f aca="false">CRM_Raw!K714</f>
        <v>4</v>
      </c>
      <c r="M714" s="12" t="n">
        <f aca="false">IF(H714="Closed Won",1,0)</f>
        <v>0</v>
      </c>
    </row>
    <row r="715" customFormat="false" ht="15" hidden="false" customHeight="false" outlineLevel="0" collapsed="false">
      <c r="A715" s="0" t="str">
        <f aca="false">CRM_Raw!A715</f>
        <v>D-10711</v>
      </c>
      <c r="B715" s="0" t="str">
        <f aca="false">CRM_Raw!B715</f>
        <v>2026-01-12</v>
      </c>
      <c r="C715" s="0" t="n">
        <f aca="false">CRM_Raw!C715</f>
        <v>0</v>
      </c>
      <c r="D715" s="0" t="str">
        <f aca="false">IF(CRM_Raw!D715="DACH","DACH",IF(ISNUMBER(SEARCH("uk",CRM_Raw!D715)),"UK &amp; Ireland",PROPER(CRM_Raw!D715)))</f>
        <v>North America</v>
      </c>
      <c r="E715" s="0" t="str">
        <f aca="false">CRM_Raw!E715</f>
        <v>Washing Machines</v>
      </c>
      <c r="F715" s="0" t="str">
        <f aca="false">CRM_Raw!F715</f>
        <v>Retail Referral</v>
      </c>
      <c r="G715" s="0" t="str">
        <f aca="false">IF(TRIM(CRM_Raw!G715)="","Unassigned",CRM_Raw!G715)</f>
        <v>T. Wagner</v>
      </c>
      <c r="H715" s="0" t="str">
        <f aca="false">CRM_Raw!H715</f>
        <v>Proposal Sent</v>
      </c>
      <c r="I715" s="10" t="n">
        <f aca="false">CRM_Raw!I715</f>
        <v>746.14</v>
      </c>
      <c r="J715" s="11" t="n">
        <f aca="false">CRM_Raw!J715</f>
        <v>0</v>
      </c>
      <c r="K715" s="10" t="n">
        <f aca="false">I715*(1-J715)</f>
        <v>746.14</v>
      </c>
      <c r="L715" s="12" t="n">
        <f aca="false">CRM_Raw!K715</f>
        <v>0</v>
      </c>
      <c r="M715" s="12" t="n">
        <f aca="false">IF(H715="Closed Won",1,0)</f>
        <v>0</v>
      </c>
    </row>
    <row r="716" customFormat="false" ht="15" hidden="false" customHeight="false" outlineLevel="0" collapsed="false">
      <c r="A716" s="0" t="str">
        <f aca="false">CRM_Raw!A716</f>
        <v>D-10712</v>
      </c>
      <c r="B716" s="0" t="str">
        <f aca="false">CRM_Raw!B716</f>
        <v>2025-10-23</v>
      </c>
      <c r="C716" s="0" t="n">
        <f aca="false">CRM_Raw!C716</f>
        <v>0</v>
      </c>
      <c r="D716" s="0" t="str">
        <f aca="false">IF(CRM_Raw!D716="DACH","DACH",IF(ISNUMBER(SEARCH("uk",CRM_Raw!D716)),"UK &amp; Ireland",PROPER(CRM_Raw!D716)))</f>
        <v>Benelux</v>
      </c>
      <c r="E716" s="0" t="str">
        <f aca="false">CRM_Raw!E716</f>
        <v>Smart Ovens</v>
      </c>
      <c r="F716" s="0" t="str">
        <f aca="false">CRM_Raw!F716</f>
        <v>Web-shop Organic</v>
      </c>
      <c r="G716" s="0" t="str">
        <f aca="false">IF(TRIM(CRM_Raw!G716)="","Unassigned",CRM_Raw!G716)</f>
        <v>M. Hoffmann</v>
      </c>
      <c r="H716" s="0" t="str">
        <f aca="false">CRM_Raw!H716</f>
        <v>Qualified</v>
      </c>
      <c r="I716" s="10" t="n">
        <f aca="false">CRM_Raw!I716</f>
        <v>780.06</v>
      </c>
      <c r="J716" s="11" t="n">
        <f aca="false">CRM_Raw!J716</f>
        <v>0</v>
      </c>
      <c r="K716" s="10" t="n">
        <f aca="false">I716*(1-J716)</f>
        <v>780.06</v>
      </c>
      <c r="L716" s="12" t="n">
        <f aca="false">CRM_Raw!K716</f>
        <v>0</v>
      </c>
      <c r="M716" s="12" t="n">
        <f aca="false">IF(H716="Closed Won",1,0)</f>
        <v>0</v>
      </c>
    </row>
    <row r="717" customFormat="false" ht="15" hidden="false" customHeight="false" outlineLevel="0" collapsed="false">
      <c r="A717" s="0" t="str">
        <f aca="false">CRM_Raw!A717</f>
        <v>D-10713</v>
      </c>
      <c r="B717" s="0" t="str">
        <f aca="false">CRM_Raw!B717</f>
        <v>2025-07-29</v>
      </c>
      <c r="C717" s="0" t="str">
        <f aca="false">CRM_Raw!C717</f>
        <v>2025-08-18</v>
      </c>
      <c r="D717" s="0" t="str">
        <f aca="false">IF(CRM_Raw!D717="DACH","DACH",IF(ISNUMBER(SEARCH("uk",CRM_Raw!D717)),"UK &amp; Ireland",PROPER(CRM_Raw!D717)))</f>
        <v>DACH</v>
      </c>
      <c r="E717" s="0" t="str">
        <f aca="false">CRM_Raw!E717</f>
        <v>Small Kitchen Appliances</v>
      </c>
      <c r="F717" s="0" t="str">
        <f aca="false">CRM_Raw!F717</f>
        <v>Web-shop Organic</v>
      </c>
      <c r="G717" s="0" t="str">
        <f aca="false">IF(TRIM(CRM_Raw!G717)="","Unassigned",CRM_Raw!G717)</f>
        <v>M. Hoffmann</v>
      </c>
      <c r="H717" s="0" t="str">
        <f aca="false">CRM_Raw!H717</f>
        <v>Closed Lost</v>
      </c>
      <c r="I717" s="10" t="n">
        <f aca="false">CRM_Raw!I717</f>
        <v>128.26</v>
      </c>
      <c r="J717" s="11" t="n">
        <f aca="false">CRM_Raw!J717</f>
        <v>0.05</v>
      </c>
      <c r="K717" s="10" t="n">
        <f aca="false">I717*(1-J717)</f>
        <v>121.847</v>
      </c>
      <c r="L717" s="12" t="n">
        <f aca="false">CRM_Raw!K717</f>
        <v>20</v>
      </c>
      <c r="M717" s="12" t="n">
        <f aca="false">IF(H717="Closed Won",1,0)</f>
        <v>0</v>
      </c>
    </row>
    <row r="718" customFormat="false" ht="15" hidden="false" customHeight="false" outlineLevel="0" collapsed="false">
      <c r="A718" s="0" t="str">
        <f aca="false">CRM_Raw!A718</f>
        <v>D-10714</v>
      </c>
      <c r="B718" s="0" t="str">
        <f aca="false">CRM_Raw!B718</f>
        <v>2025-12-22</v>
      </c>
      <c r="C718" s="0" t="str">
        <f aca="false">CRM_Raw!C718</f>
        <v>2026-01-11</v>
      </c>
      <c r="D718" s="0" t="str">
        <f aca="false">IF(CRM_Raw!D718="DACH","DACH",IF(ISNUMBER(SEARCH("uk",CRM_Raw!D718)),"UK &amp; Ireland",PROPER(CRM_Raw!D718)))</f>
        <v>Southern Europe</v>
      </c>
      <c r="E718" s="0" t="str">
        <f aca="false">CRM_Raw!E718</f>
        <v>Washing Machines</v>
      </c>
      <c r="F718" s="0" t="str">
        <f aca="false">CRM_Raw!F718</f>
        <v>Retail Referral</v>
      </c>
      <c r="G718" s="0" t="str">
        <f aca="false">IF(TRIM(CRM_Raw!G718)="","Unassigned",CRM_Raw!G718)</f>
        <v>T. Wagner</v>
      </c>
      <c r="H718" s="0" t="str">
        <f aca="false">CRM_Raw!H718</f>
        <v>Closed Lost</v>
      </c>
      <c r="I718" s="10" t="n">
        <f aca="false">CRM_Raw!I718</f>
        <v>624.55</v>
      </c>
      <c r="J718" s="11" t="n">
        <f aca="false">CRM_Raw!J718</f>
        <v>0.2</v>
      </c>
      <c r="K718" s="10" t="n">
        <f aca="false">I718*(1-J718)</f>
        <v>499.64</v>
      </c>
      <c r="L718" s="12" t="n">
        <f aca="false">CRM_Raw!K718</f>
        <v>20</v>
      </c>
      <c r="M718" s="12" t="n">
        <f aca="false">IF(H718="Closed Won",1,0)</f>
        <v>0</v>
      </c>
    </row>
    <row r="719" customFormat="false" ht="15" hidden="false" customHeight="false" outlineLevel="0" collapsed="false">
      <c r="A719" s="0" t="str">
        <f aca="false">CRM_Raw!A719</f>
        <v>D-10715</v>
      </c>
      <c r="B719" s="0" t="str">
        <f aca="false">CRM_Raw!B719</f>
        <v>2026-02-26</v>
      </c>
      <c r="C719" s="0" t="str">
        <f aca="false">CRM_Raw!C719</f>
        <v>2026-03-17</v>
      </c>
      <c r="D719" s="0" t="str">
        <f aca="false">IF(CRM_Raw!D719="DACH","DACH",IF(ISNUMBER(SEARCH("uk",CRM_Raw!D719)),"UK &amp; Ireland",PROPER(CRM_Raw!D719)))</f>
        <v>North America</v>
      </c>
      <c r="E719" s="0" t="str">
        <f aca="false">CRM_Raw!E719</f>
        <v>Coffee Systems</v>
      </c>
      <c r="F719" s="0" t="str">
        <f aca="false">CRM_Raw!F719</f>
        <v>Email Campaign</v>
      </c>
      <c r="G719" s="0" t="str">
        <f aca="false">IF(TRIM(CRM_Raw!G719)="","Unassigned",CRM_Raw!G719)</f>
        <v>P. Rossi</v>
      </c>
      <c r="H719" s="0" t="str">
        <f aca="false">CRM_Raw!H719</f>
        <v>Closed Lost</v>
      </c>
      <c r="I719" s="10" t="n">
        <f aca="false">CRM_Raw!I719</f>
        <v>549.45</v>
      </c>
      <c r="J719" s="11" t="n">
        <f aca="false">CRM_Raw!J719</f>
        <v>0.05</v>
      </c>
      <c r="K719" s="10" t="n">
        <f aca="false">I719*(1-J719)</f>
        <v>521.9775</v>
      </c>
      <c r="L719" s="12" t="n">
        <f aca="false">CRM_Raw!K719</f>
        <v>19</v>
      </c>
      <c r="M719" s="12" t="n">
        <f aca="false">IF(H719="Closed Won",1,0)</f>
        <v>0</v>
      </c>
    </row>
    <row r="720" customFormat="false" ht="15" hidden="false" customHeight="false" outlineLevel="0" collapsed="false">
      <c r="A720" s="0" t="str">
        <f aca="false">CRM_Raw!A720</f>
        <v>D-10716</v>
      </c>
      <c r="B720" s="0" t="str">
        <f aca="false">CRM_Raw!B720</f>
        <v>2026-04-14</v>
      </c>
      <c r="C720" s="0" t="str">
        <f aca="false">CRM_Raw!C720</f>
        <v>2026-05-15</v>
      </c>
      <c r="D720" s="0" t="str">
        <f aca="false">IF(CRM_Raw!D720="DACH","DACH",IF(ISNUMBER(SEARCH("uk",CRM_Raw!D720)),"UK &amp; Ireland",PROPER(CRM_Raw!D720)))</f>
        <v>Nordics</v>
      </c>
      <c r="E720" s="0" t="str">
        <f aca="false">CRM_Raw!E720</f>
        <v>Small Kitchen Appliances</v>
      </c>
      <c r="F720" s="0" t="str">
        <f aca="false">CRM_Raw!F720</f>
        <v>Affiliate Partner</v>
      </c>
      <c r="G720" s="0" t="str">
        <f aca="false">IF(TRIM(CRM_Raw!G720)="","Unassigned",CRM_Raw!G720)</f>
        <v>T. Wagner</v>
      </c>
      <c r="H720" s="0" t="str">
        <f aca="false">CRM_Raw!H720</f>
        <v>Closed Won</v>
      </c>
      <c r="I720" s="10" t="n">
        <f aca="false">CRM_Raw!I720</f>
        <v>114.75</v>
      </c>
      <c r="J720" s="11" t="n">
        <f aca="false">CRM_Raw!J720</f>
        <v>0</v>
      </c>
      <c r="K720" s="10" t="n">
        <f aca="false">I720*(1-J720)</f>
        <v>114.75</v>
      </c>
      <c r="L720" s="12" t="n">
        <f aca="false">CRM_Raw!K720</f>
        <v>31</v>
      </c>
      <c r="M720" s="12" t="n">
        <f aca="false">IF(H720="Closed Won",1,0)</f>
        <v>1</v>
      </c>
    </row>
    <row r="721" customFormat="false" ht="15" hidden="false" customHeight="false" outlineLevel="0" collapsed="false">
      <c r="A721" s="0" t="str">
        <f aca="false">CRM_Raw!A721</f>
        <v>D-10717</v>
      </c>
      <c r="B721" s="0" t="str">
        <f aca="false">CRM_Raw!B721</f>
        <v>2025-06-01</v>
      </c>
      <c r="C721" s="0" t="str">
        <f aca="false">CRM_Raw!C721</f>
        <v>2025-07-03</v>
      </c>
      <c r="D721" s="0" t="str">
        <f aca="false">IF(CRM_Raw!D721="DACH","DACH",IF(ISNUMBER(SEARCH("uk",CRM_Raw!D721)),"UK &amp; Ireland",PROPER(CRM_Raw!D721)))</f>
        <v>Benelux</v>
      </c>
      <c r="E721" s="0" t="str">
        <f aca="false">CRM_Raw!E721</f>
        <v>Cordless Vacuums</v>
      </c>
      <c r="F721" s="0" t="str">
        <f aca="false">CRM_Raw!F721</f>
        <v>Trade Show</v>
      </c>
      <c r="G721" s="0" t="str">
        <f aca="false">IF(TRIM(CRM_Raw!G721)="","Unassigned",CRM_Raw!G721)</f>
        <v>A. Becker</v>
      </c>
      <c r="H721" s="0" t="str">
        <f aca="false">CRM_Raw!H721</f>
        <v>Closed Won</v>
      </c>
      <c r="I721" s="10" t="n">
        <f aca="false">CRM_Raw!I721</f>
        <v>361.89</v>
      </c>
      <c r="J721" s="11" t="n">
        <f aca="false">CRM_Raw!J721</f>
        <v>0.1</v>
      </c>
      <c r="K721" s="10" t="n">
        <f aca="false">I721*(1-J721)</f>
        <v>325.701</v>
      </c>
      <c r="L721" s="12" t="n">
        <f aca="false">CRM_Raw!K721</f>
        <v>32</v>
      </c>
      <c r="M721" s="12" t="n">
        <f aca="false">IF(H721="Closed Won",1,0)</f>
        <v>1</v>
      </c>
    </row>
    <row r="722" customFormat="false" ht="15" hidden="false" customHeight="false" outlineLevel="0" collapsed="false">
      <c r="A722" s="0" t="str">
        <f aca="false">CRM_Raw!A722</f>
        <v>D-10718</v>
      </c>
      <c r="B722" s="0" t="str">
        <f aca="false">CRM_Raw!B722</f>
        <v>2025-06-29</v>
      </c>
      <c r="C722" s="0" t="n">
        <f aca="false">CRM_Raw!C722</f>
        <v>0</v>
      </c>
      <c r="D722" s="0" t="str">
        <f aca="false">IF(CRM_Raw!D722="DACH","DACH",IF(ISNUMBER(SEARCH("uk",CRM_Raw!D722)),"UK &amp; Ireland",PROPER(CRM_Raw!D722)))</f>
        <v>UK &amp; Ireland</v>
      </c>
      <c r="E722" s="0" t="str">
        <f aca="false">CRM_Raw!E722</f>
        <v>Small Kitchen Appliances</v>
      </c>
      <c r="F722" s="0" t="str">
        <f aca="false">CRM_Raw!F722</f>
        <v>Social Media Ads</v>
      </c>
      <c r="G722" s="0" t="str">
        <f aca="false">IF(TRIM(CRM_Raw!G722)="","Unassigned",CRM_Raw!G722)</f>
        <v>M. Hoffmann</v>
      </c>
      <c r="H722" s="0" t="str">
        <f aca="false">CRM_Raw!H722</f>
        <v>Proposal Sent</v>
      </c>
      <c r="I722" s="10" t="n">
        <f aca="false">CRM_Raw!I722</f>
        <v>130.21</v>
      </c>
      <c r="J722" s="11" t="n">
        <f aca="false">CRM_Raw!J722</f>
        <v>0</v>
      </c>
      <c r="K722" s="10" t="n">
        <f aca="false">I722*(1-J722)</f>
        <v>130.21</v>
      </c>
      <c r="L722" s="12" t="n">
        <f aca="false">CRM_Raw!K722</f>
        <v>0</v>
      </c>
      <c r="M722" s="12" t="n">
        <f aca="false">IF(H722="Closed Won",1,0)</f>
        <v>0</v>
      </c>
    </row>
    <row r="723" customFormat="false" ht="15" hidden="false" customHeight="false" outlineLevel="0" collapsed="false">
      <c r="A723" s="0" t="str">
        <f aca="false">CRM_Raw!A723</f>
        <v>D-10719</v>
      </c>
      <c r="B723" s="0" t="str">
        <f aca="false">CRM_Raw!B723</f>
        <v>2025-05-10</v>
      </c>
      <c r="C723" s="0" t="str">
        <f aca="false">CRM_Raw!C723</f>
        <v>2025-05-26</v>
      </c>
      <c r="D723" s="0" t="str">
        <f aca="false">IF(CRM_Raw!D723="DACH","DACH",IF(ISNUMBER(SEARCH("uk",CRM_Raw!D723)),"UK &amp; Ireland",PROPER(CRM_Raw!D723)))</f>
        <v>UK &amp; Ireland</v>
      </c>
      <c r="E723" s="0" t="str">
        <f aca="false">CRM_Raw!E723</f>
        <v>Smart Ovens</v>
      </c>
      <c r="F723" s="0" t="str">
        <f aca="false">CRM_Raw!F723</f>
        <v>Web-shop Organic</v>
      </c>
      <c r="G723" s="0" t="str">
        <f aca="false">IF(TRIM(CRM_Raw!G723)="","Unassigned",CRM_Raw!G723)</f>
        <v>P. Rossi</v>
      </c>
      <c r="H723" s="0" t="str">
        <f aca="false">CRM_Raw!H723</f>
        <v>Closed Lost</v>
      </c>
      <c r="I723" s="10" t="n">
        <f aca="false">CRM_Raw!I723</f>
        <v>910.36</v>
      </c>
      <c r="J723" s="11" t="n">
        <f aca="false">CRM_Raw!J723</f>
        <v>0</v>
      </c>
      <c r="K723" s="10" t="n">
        <f aca="false">I723*(1-J723)</f>
        <v>910.36</v>
      </c>
      <c r="L723" s="12" t="n">
        <f aca="false">CRM_Raw!K723</f>
        <v>16</v>
      </c>
      <c r="M723" s="12" t="n">
        <f aca="false">IF(H723="Closed Won",1,0)</f>
        <v>0</v>
      </c>
    </row>
    <row r="724" customFormat="false" ht="15" hidden="false" customHeight="false" outlineLevel="0" collapsed="false">
      <c r="A724" s="0" t="str">
        <f aca="false">CRM_Raw!A724</f>
        <v>D-10720</v>
      </c>
      <c r="B724" s="0" t="str">
        <f aca="false">CRM_Raw!B724</f>
        <v>2025-11-05</v>
      </c>
      <c r="C724" s="0" t="str">
        <f aca="false">CRM_Raw!C724</f>
        <v>2025-11-30</v>
      </c>
      <c r="D724" s="0" t="str">
        <f aca="false">IF(CRM_Raw!D724="DACH","DACH",IF(ISNUMBER(SEARCH("uk",CRM_Raw!D724)),"UK &amp; Ireland",PROPER(CRM_Raw!D724)))</f>
        <v>UK &amp; Ireland</v>
      </c>
      <c r="E724" s="0" t="str">
        <f aca="false">CRM_Raw!E724</f>
        <v>Cordless Vacuums</v>
      </c>
      <c r="F724" s="0" t="str">
        <f aca="false">CRM_Raw!F724</f>
        <v>Paid Search</v>
      </c>
      <c r="G724" s="0" t="str">
        <f aca="false">IF(TRIM(CRM_Raw!G724)="","Unassigned",CRM_Raw!G724)</f>
        <v>M. Hoffmann</v>
      </c>
      <c r="H724" s="0" t="str">
        <f aca="false">CRM_Raw!H724</f>
        <v>Closed Won</v>
      </c>
      <c r="I724" s="10" t="n">
        <f aca="false">CRM_Raw!I724</f>
        <v>648.65</v>
      </c>
      <c r="J724" s="11" t="n">
        <f aca="false">CRM_Raw!J724</f>
        <v>0.2</v>
      </c>
      <c r="K724" s="10" t="n">
        <f aca="false">I724*(1-J724)</f>
        <v>518.92</v>
      </c>
      <c r="L724" s="12" t="n">
        <f aca="false">CRM_Raw!K724</f>
        <v>25</v>
      </c>
      <c r="M724" s="12" t="n">
        <f aca="false">IF(H724="Closed Won",1,0)</f>
        <v>1</v>
      </c>
    </row>
    <row r="725" customFormat="false" ht="15" hidden="false" customHeight="false" outlineLevel="0" collapsed="false">
      <c r="A725" s="0" t="str">
        <f aca="false">CRM_Raw!A725</f>
        <v>D-10721</v>
      </c>
      <c r="B725" s="0" t="str">
        <f aca="false">CRM_Raw!B725</f>
        <v>2025-01-05</v>
      </c>
      <c r="C725" s="0" t="n">
        <f aca="false">CRM_Raw!C725</f>
        <v>0</v>
      </c>
      <c r="D725" s="0" t="str">
        <f aca="false">IF(CRM_Raw!D725="DACH","DACH",IF(ISNUMBER(SEARCH("uk",CRM_Raw!D725)),"UK &amp; Ireland",PROPER(CRM_Raw!D725)))</f>
        <v>UK &amp; Ireland</v>
      </c>
      <c r="E725" s="0" t="str">
        <f aca="false">CRM_Raw!E725</f>
        <v>Dishwashers</v>
      </c>
      <c r="F725" s="0" t="str">
        <f aca="false">CRM_Raw!F725</f>
        <v>Retail Referral</v>
      </c>
      <c r="G725" s="0" t="str">
        <f aca="false">IF(TRIM(CRM_Raw!G725)="","Unassigned",CRM_Raw!G725)</f>
        <v>Unassigned</v>
      </c>
      <c r="H725" s="0" t="str">
        <f aca="false">CRM_Raw!H725</f>
        <v>Qualified</v>
      </c>
      <c r="I725" s="10" t="n">
        <f aca="false">CRM_Raw!I725</f>
        <v>2192.2</v>
      </c>
      <c r="J725" s="11" t="n">
        <f aca="false">CRM_Raw!J725</f>
        <v>0</v>
      </c>
      <c r="K725" s="10" t="n">
        <f aca="false">I725*(1-J725)</f>
        <v>2192.2</v>
      </c>
      <c r="L725" s="12" t="n">
        <f aca="false">CRM_Raw!K725</f>
        <v>0</v>
      </c>
      <c r="M725" s="12" t="n">
        <f aca="false">IF(H725="Closed Won",1,0)</f>
        <v>0</v>
      </c>
    </row>
    <row r="726" customFormat="false" ht="15" hidden="false" customHeight="false" outlineLevel="0" collapsed="false">
      <c r="A726" s="0" t="str">
        <f aca="false">CRM_Raw!A726</f>
        <v>D-10722</v>
      </c>
      <c r="B726" s="0" t="str">
        <f aca="false">CRM_Raw!B726</f>
        <v>2025-05-31</v>
      </c>
      <c r="C726" s="0" t="n">
        <f aca="false">CRM_Raw!C726</f>
        <v>0</v>
      </c>
      <c r="D726" s="0" t="str">
        <f aca="false">IF(CRM_Raw!D726="DACH","DACH",IF(ISNUMBER(SEARCH("uk",CRM_Raw!D726)),"UK &amp; Ireland",PROPER(CRM_Raw!D726)))</f>
        <v>Southern Europe</v>
      </c>
      <c r="E726" s="0" t="str">
        <f aca="false">CRM_Raw!E726</f>
        <v>Small Kitchen Appliances</v>
      </c>
      <c r="F726" s="0" t="str">
        <f aca="false">CRM_Raw!F726</f>
        <v>Paid Search</v>
      </c>
      <c r="G726" s="0" t="str">
        <f aca="false">IF(TRIM(CRM_Raw!G726)="","Unassigned",CRM_Raw!G726)</f>
        <v>J. Murphy</v>
      </c>
      <c r="H726" s="0" t="str">
        <f aca="false">CRM_Raw!H726</f>
        <v>Proposal Sent</v>
      </c>
      <c r="I726" s="10" t="n">
        <f aca="false">CRM_Raw!I726</f>
        <v>262.53</v>
      </c>
      <c r="J726" s="11" t="n">
        <f aca="false">CRM_Raw!J726</f>
        <v>0</v>
      </c>
      <c r="K726" s="10" t="n">
        <f aca="false">I726*(1-J726)</f>
        <v>262.53</v>
      </c>
      <c r="L726" s="12" t="n">
        <f aca="false">CRM_Raw!K726</f>
        <v>0</v>
      </c>
      <c r="M726" s="12" t="n">
        <f aca="false">IF(H726="Closed Won",1,0)</f>
        <v>0</v>
      </c>
    </row>
    <row r="727" customFormat="false" ht="15" hidden="false" customHeight="false" outlineLevel="0" collapsed="false">
      <c r="A727" s="0" t="str">
        <f aca="false">CRM_Raw!A727</f>
        <v>D-10723</v>
      </c>
      <c r="B727" s="0" t="str">
        <f aca="false">CRM_Raw!B727</f>
        <v>2025-05-23</v>
      </c>
      <c r="C727" s="0" t="n">
        <f aca="false">CRM_Raw!C727</f>
        <v>0</v>
      </c>
      <c r="D727" s="0" t="str">
        <f aca="false">IF(CRM_Raw!D727="DACH","DACH",IF(ISNUMBER(SEARCH("uk",CRM_Raw!D727)),"UK &amp; Ireland",PROPER(CRM_Raw!D727)))</f>
        <v>Southern Europe</v>
      </c>
      <c r="E727" s="0" t="str">
        <f aca="false">CRM_Raw!E727</f>
        <v>Smart Ovens</v>
      </c>
      <c r="F727" s="0" t="str">
        <f aca="false">CRM_Raw!F727</f>
        <v>Affiliate Partner</v>
      </c>
      <c r="G727" s="0" t="str">
        <f aca="false">IF(TRIM(CRM_Raw!G727)="","Unassigned",CRM_Raw!G727)</f>
        <v>A. Becker</v>
      </c>
      <c r="H727" s="0" t="str">
        <f aca="false">CRM_Raw!H727</f>
        <v>Negotiation</v>
      </c>
      <c r="I727" s="10" t="n">
        <f aca="false">CRM_Raw!I727</f>
        <v>788.32</v>
      </c>
      <c r="J727" s="11" t="n">
        <f aca="false">CRM_Raw!J727</f>
        <v>0.05</v>
      </c>
      <c r="K727" s="10" t="n">
        <f aca="false">I727*(1-J727)</f>
        <v>748.904</v>
      </c>
      <c r="L727" s="12" t="n">
        <f aca="false">CRM_Raw!K727</f>
        <v>0</v>
      </c>
      <c r="M727" s="12" t="n">
        <f aca="false">IF(H727="Closed Won",1,0)</f>
        <v>0</v>
      </c>
    </row>
    <row r="728" customFormat="false" ht="15" hidden="false" customHeight="false" outlineLevel="0" collapsed="false">
      <c r="A728" s="0" t="str">
        <f aca="false">CRM_Raw!A728</f>
        <v>D-10724</v>
      </c>
      <c r="B728" s="0" t="str">
        <f aca="false">CRM_Raw!B728</f>
        <v>2025-12-01</v>
      </c>
      <c r="C728" s="0" t="str">
        <f aca="false">CRM_Raw!C728</f>
        <v>2025-12-14</v>
      </c>
      <c r="D728" s="0" t="str">
        <f aca="false">IF(CRM_Raw!D728="DACH","DACH",IF(ISNUMBER(SEARCH("uk",CRM_Raw!D728)),"UK &amp; Ireland",PROPER(CRM_Raw!D728)))</f>
        <v>Nordics</v>
      </c>
      <c r="E728" s="0" t="str">
        <f aca="false">CRM_Raw!E728</f>
        <v>Coffee Systems</v>
      </c>
      <c r="F728" s="0" t="str">
        <f aca="false">CRM_Raw!F728</f>
        <v>Paid Search</v>
      </c>
      <c r="G728" s="0" t="str">
        <f aca="false">IF(TRIM(CRM_Raw!G728)="","Unassigned",CRM_Raw!G728)</f>
        <v>L. Dubois</v>
      </c>
      <c r="H728" s="0" t="str">
        <f aca="false">CRM_Raw!H728</f>
        <v>Closed Won</v>
      </c>
      <c r="I728" s="10" t="n">
        <f aca="false">CRM_Raw!I728</f>
        <v>494.7</v>
      </c>
      <c r="J728" s="11" t="n">
        <f aca="false">CRM_Raw!J728</f>
        <v>0</v>
      </c>
      <c r="K728" s="10" t="n">
        <f aca="false">I728*(1-J728)</f>
        <v>494.7</v>
      </c>
      <c r="L728" s="12" t="n">
        <f aca="false">CRM_Raw!K728</f>
        <v>13</v>
      </c>
      <c r="M728" s="12" t="n">
        <f aca="false">IF(H728="Closed Won",1,0)</f>
        <v>1</v>
      </c>
    </row>
    <row r="729" customFormat="false" ht="15" hidden="false" customHeight="false" outlineLevel="0" collapsed="false">
      <c r="A729" s="0" t="str">
        <f aca="false">CRM_Raw!A729</f>
        <v>D-10725</v>
      </c>
      <c r="B729" s="0" t="str">
        <f aca="false">CRM_Raw!B729</f>
        <v>2025-03-31</v>
      </c>
      <c r="C729" s="0" t="n">
        <f aca="false">CRM_Raw!C729</f>
        <v>0</v>
      </c>
      <c r="D729" s="0" t="str">
        <f aca="false">IF(CRM_Raw!D729="DACH","DACH",IF(ISNUMBER(SEARCH("uk",CRM_Raw!D729)),"UK &amp; Ireland",PROPER(CRM_Raw!D729)))</f>
        <v>DACH</v>
      </c>
      <c r="E729" s="0" t="str">
        <f aca="false">CRM_Raw!E729</f>
        <v>Smart Ovens</v>
      </c>
      <c r="F729" s="0" t="str">
        <f aca="false">CRM_Raw!F729</f>
        <v>Social Media Ads</v>
      </c>
      <c r="G729" s="0" t="str">
        <f aca="false">IF(TRIM(CRM_Raw!G729)="","Unassigned",CRM_Raw!G729)</f>
        <v>T. Wagner</v>
      </c>
      <c r="H729" s="0" t="str">
        <f aca="false">CRM_Raw!H729</f>
        <v>Qualified</v>
      </c>
      <c r="I729" s="10" t="n">
        <f aca="false">CRM_Raw!I729</f>
        <v>1691.41</v>
      </c>
      <c r="J729" s="11" t="n">
        <f aca="false">CRM_Raw!J729</f>
        <v>0</v>
      </c>
      <c r="K729" s="10" t="n">
        <f aca="false">I729*(1-J729)</f>
        <v>1691.41</v>
      </c>
      <c r="L729" s="12" t="n">
        <f aca="false">CRM_Raw!K729</f>
        <v>0</v>
      </c>
      <c r="M729" s="12" t="n">
        <f aca="false">IF(H729="Closed Won",1,0)</f>
        <v>0</v>
      </c>
    </row>
    <row r="730" customFormat="false" ht="15" hidden="false" customHeight="false" outlineLevel="0" collapsed="false">
      <c r="A730" s="0" t="str">
        <f aca="false">CRM_Raw!A730</f>
        <v>D-10726</v>
      </c>
      <c r="B730" s="0" t="str">
        <f aca="false">CRM_Raw!B730</f>
        <v>2026-01-05</v>
      </c>
      <c r="C730" s="0" t="str">
        <f aca="false">CRM_Raw!C730</f>
        <v>2026-01-16</v>
      </c>
      <c r="D730" s="0" t="str">
        <f aca="false">IF(CRM_Raw!D730="DACH","DACH",IF(ISNUMBER(SEARCH("uk",CRM_Raw!D730)),"UK &amp; Ireland",PROPER(CRM_Raw!D730)))</f>
        <v>Nordics</v>
      </c>
      <c r="E730" s="0" t="str">
        <f aca="false">CRM_Raw!E730</f>
        <v>Washing Machines</v>
      </c>
      <c r="F730" s="0" t="str">
        <f aca="false">CRM_Raw!F730</f>
        <v>Social Media Ads</v>
      </c>
      <c r="G730" s="0" t="str">
        <f aca="false">IF(TRIM(CRM_Raw!G730)="","Unassigned",CRM_Raw!G730)</f>
        <v>A. Becker</v>
      </c>
      <c r="H730" s="0" t="str">
        <f aca="false">CRM_Raw!H730</f>
        <v>Closed Lost</v>
      </c>
      <c r="I730" s="10" t="n">
        <f aca="false">CRM_Raw!I730</f>
        <v>1418.51</v>
      </c>
      <c r="J730" s="11" t="n">
        <f aca="false">CRM_Raw!J730</f>
        <v>0</v>
      </c>
      <c r="K730" s="10" t="n">
        <f aca="false">I730*(1-J730)</f>
        <v>1418.51</v>
      </c>
      <c r="L730" s="12" t="n">
        <f aca="false">CRM_Raw!K730</f>
        <v>11</v>
      </c>
      <c r="M730" s="12" t="n">
        <f aca="false">IF(H730="Closed Won",1,0)</f>
        <v>0</v>
      </c>
    </row>
    <row r="731" customFormat="false" ht="15" hidden="false" customHeight="false" outlineLevel="0" collapsed="false">
      <c r="A731" s="0" t="str">
        <f aca="false">CRM_Raw!A731</f>
        <v>D-10727</v>
      </c>
      <c r="B731" s="0" t="str">
        <f aca="false">CRM_Raw!B731</f>
        <v>2025-12-26</v>
      </c>
      <c r="C731" s="0" t="str">
        <f aca="false">CRM_Raw!C731</f>
        <v>2026-01-05</v>
      </c>
      <c r="D731" s="0" t="str">
        <f aca="false">IF(CRM_Raw!D731="DACH","DACH",IF(ISNUMBER(SEARCH("uk",CRM_Raw!D731)),"UK &amp; Ireland",PROPER(CRM_Raw!D731)))</f>
        <v>Benelux</v>
      </c>
      <c r="E731" s="0" t="str">
        <f aca="false">CRM_Raw!E731</f>
        <v>Cordless Vacuums</v>
      </c>
      <c r="F731" s="0" t="str">
        <f aca="false">CRM_Raw!F731</f>
        <v>Web-shop Organic</v>
      </c>
      <c r="G731" s="0" t="str">
        <f aca="false">IF(TRIM(CRM_Raw!G731)="","Unassigned",CRM_Raw!G731)</f>
        <v>P. Rossi</v>
      </c>
      <c r="H731" s="0" t="str">
        <f aca="false">CRM_Raw!H731</f>
        <v>Closed Won</v>
      </c>
      <c r="I731" s="10" t="n">
        <f aca="false">CRM_Raw!I731</f>
        <v>681.9</v>
      </c>
      <c r="J731" s="11" t="n">
        <f aca="false">CRM_Raw!J731</f>
        <v>0.15</v>
      </c>
      <c r="K731" s="10" t="n">
        <f aca="false">I731*(1-J731)</f>
        <v>579.615</v>
      </c>
      <c r="L731" s="12" t="n">
        <f aca="false">CRM_Raw!K731</f>
        <v>10</v>
      </c>
      <c r="M731" s="12" t="n">
        <f aca="false">IF(H731="Closed Won",1,0)</f>
        <v>1</v>
      </c>
    </row>
    <row r="732" customFormat="false" ht="15" hidden="false" customHeight="false" outlineLevel="0" collapsed="false">
      <c r="A732" s="0" t="str">
        <f aca="false">CRM_Raw!A732</f>
        <v>D-10728</v>
      </c>
      <c r="B732" s="0" t="str">
        <f aca="false">CRM_Raw!B732</f>
        <v>2026-03-01</v>
      </c>
      <c r="C732" s="0" t="str">
        <f aca="false">CRM_Raw!C732</f>
        <v>2026-03-25</v>
      </c>
      <c r="D732" s="0" t="str">
        <f aca="false">IF(CRM_Raw!D732="DACH","DACH",IF(ISNUMBER(SEARCH("uk",CRM_Raw!D732)),"UK &amp; Ireland",PROPER(CRM_Raw!D732)))</f>
        <v>Benelux</v>
      </c>
      <c r="E732" s="0" t="str">
        <f aca="false">CRM_Raw!E732</f>
        <v>Dishwashers</v>
      </c>
      <c r="F732" s="0" t="str">
        <f aca="false">CRM_Raw!F732</f>
        <v>Paid Search</v>
      </c>
      <c r="G732" s="0" t="str">
        <f aca="false">IF(TRIM(CRM_Raw!G732)="","Unassigned",CRM_Raw!G732)</f>
        <v>Unassigned</v>
      </c>
      <c r="H732" s="0" t="str">
        <f aca="false">CRM_Raw!H732</f>
        <v>Closed Won</v>
      </c>
      <c r="I732" s="10" t="n">
        <f aca="false">CRM_Raw!I732</f>
        <v>737.8</v>
      </c>
      <c r="J732" s="11" t="n">
        <f aca="false">CRM_Raw!J732</f>
        <v>0</v>
      </c>
      <c r="K732" s="10" t="n">
        <f aca="false">I732*(1-J732)</f>
        <v>737.8</v>
      </c>
      <c r="L732" s="12" t="n">
        <f aca="false">CRM_Raw!K732</f>
        <v>24</v>
      </c>
      <c r="M732" s="12" t="n">
        <f aca="false">IF(H732="Closed Won",1,0)</f>
        <v>1</v>
      </c>
    </row>
    <row r="733" customFormat="false" ht="15" hidden="false" customHeight="false" outlineLevel="0" collapsed="false">
      <c r="A733" s="0" t="str">
        <f aca="false">CRM_Raw!A733</f>
        <v>D-10729</v>
      </c>
      <c r="B733" s="0" t="str">
        <f aca="false">CRM_Raw!B733</f>
        <v>2025-03-09</v>
      </c>
      <c r="C733" s="0" t="n">
        <f aca="false">CRM_Raw!C733</f>
        <v>0</v>
      </c>
      <c r="D733" s="0" t="str">
        <f aca="false">IF(CRM_Raw!D733="DACH","DACH",IF(ISNUMBER(SEARCH("uk",CRM_Raw!D733)),"UK &amp; Ireland",PROPER(CRM_Raw!D733)))</f>
        <v>UK &amp; Ireland</v>
      </c>
      <c r="E733" s="0" t="str">
        <f aca="false">CRM_Raw!E733</f>
        <v>Cordless Vacuums</v>
      </c>
      <c r="F733" s="0" t="str">
        <f aca="false">CRM_Raw!F733</f>
        <v>Social Media Ads</v>
      </c>
      <c r="G733" s="0" t="str">
        <f aca="false">IF(TRIM(CRM_Raw!G733)="","Unassigned",CRM_Raw!G733)</f>
        <v>P. Rossi</v>
      </c>
      <c r="H733" s="0" t="str">
        <f aca="false">CRM_Raw!H733</f>
        <v>Qualified</v>
      </c>
      <c r="I733" s="10" t="n">
        <f aca="false">CRM_Raw!I733</f>
        <v>747.28</v>
      </c>
      <c r="J733" s="11" t="n">
        <f aca="false">CRM_Raw!J733</f>
        <v>0</v>
      </c>
      <c r="K733" s="10" t="n">
        <f aca="false">I733*(1-J733)</f>
        <v>747.28</v>
      </c>
      <c r="L733" s="12" t="n">
        <f aca="false">CRM_Raw!K733</f>
        <v>0</v>
      </c>
      <c r="M733" s="12" t="n">
        <f aca="false">IF(H733="Closed Won",1,0)</f>
        <v>0</v>
      </c>
    </row>
    <row r="734" customFormat="false" ht="15" hidden="false" customHeight="false" outlineLevel="0" collapsed="false">
      <c r="A734" s="0" t="str">
        <f aca="false">CRM_Raw!A734</f>
        <v>D-10730</v>
      </c>
      <c r="B734" s="0" t="str">
        <f aca="false">CRM_Raw!B734</f>
        <v>2026-03-01</v>
      </c>
      <c r="C734" s="0" t="str">
        <f aca="false">CRM_Raw!C734</f>
        <v>2026-03-10</v>
      </c>
      <c r="D734" s="0" t="str">
        <f aca="false">IF(CRM_Raw!D734="DACH","DACH",IF(ISNUMBER(SEARCH("uk",CRM_Raw!D734)),"UK &amp; Ireland",PROPER(CRM_Raw!D734)))</f>
        <v>DACH</v>
      </c>
      <c r="E734" s="0" t="str">
        <f aca="false">CRM_Raw!E734</f>
        <v>Dishwashers</v>
      </c>
      <c r="F734" s="0" t="str">
        <f aca="false">CRM_Raw!F734</f>
        <v>Affiliate Partner</v>
      </c>
      <c r="G734" s="0" t="str">
        <f aca="false">IF(TRIM(CRM_Raw!G734)="","Unassigned",CRM_Raw!G734)</f>
        <v>J. Murphy</v>
      </c>
      <c r="H734" s="0" t="str">
        <f aca="false">CRM_Raw!H734</f>
        <v>Closed Won</v>
      </c>
      <c r="I734" s="10" t="n">
        <f aca="false">CRM_Raw!I734</f>
        <v>794.26</v>
      </c>
      <c r="J734" s="11" t="n">
        <f aca="false">CRM_Raw!J734</f>
        <v>0</v>
      </c>
      <c r="K734" s="10" t="n">
        <f aca="false">I734*(1-J734)</f>
        <v>794.26</v>
      </c>
      <c r="L734" s="12" t="n">
        <f aca="false">CRM_Raw!K734</f>
        <v>9</v>
      </c>
      <c r="M734" s="12" t="n">
        <f aca="false">IF(H734="Closed Won",1,0)</f>
        <v>1</v>
      </c>
    </row>
    <row r="735" customFormat="false" ht="15" hidden="false" customHeight="false" outlineLevel="0" collapsed="false">
      <c r="A735" s="0" t="str">
        <f aca="false">CRM_Raw!A735</f>
        <v>D-10731</v>
      </c>
      <c r="B735" s="0" t="str">
        <f aca="false">CRM_Raw!B735</f>
        <v>2025-02-13</v>
      </c>
      <c r="C735" s="0" t="n">
        <f aca="false">CRM_Raw!C735</f>
        <v>0</v>
      </c>
      <c r="D735" s="0" t="str">
        <f aca="false">IF(CRM_Raw!D735="DACH","DACH",IF(ISNUMBER(SEARCH("uk",CRM_Raw!D735)),"UK &amp; Ireland",PROPER(CRM_Raw!D735)))</f>
        <v>North America</v>
      </c>
      <c r="E735" s="0" t="str">
        <f aca="false">CRM_Raw!E735</f>
        <v>Dishwashers</v>
      </c>
      <c r="F735" s="0" t="str">
        <f aca="false">CRM_Raw!F735</f>
        <v>Paid Search</v>
      </c>
      <c r="G735" s="0" t="str">
        <f aca="false">IF(TRIM(CRM_Raw!G735)="","Unassigned",CRM_Raw!G735)</f>
        <v>T. Wagner</v>
      </c>
      <c r="H735" s="0" t="str">
        <f aca="false">CRM_Raw!H735</f>
        <v>Proposal Sent</v>
      </c>
      <c r="I735" s="10" t="n">
        <f aca="false">CRM_Raw!I735</f>
        <v>2066.02</v>
      </c>
      <c r="J735" s="11" t="n">
        <f aca="false">CRM_Raw!J735</f>
        <v>0</v>
      </c>
      <c r="K735" s="10" t="n">
        <f aca="false">I735*(1-J735)</f>
        <v>2066.02</v>
      </c>
      <c r="L735" s="12" t="n">
        <f aca="false">CRM_Raw!K735</f>
        <v>0</v>
      </c>
      <c r="M735" s="12" t="n">
        <f aca="false">IF(H735="Closed Won",1,0)</f>
        <v>0</v>
      </c>
    </row>
    <row r="736" customFormat="false" ht="15" hidden="false" customHeight="false" outlineLevel="0" collapsed="false">
      <c r="A736" s="0" t="str">
        <f aca="false">CRM_Raw!A736</f>
        <v>D-10732</v>
      </c>
      <c r="B736" s="0" t="str">
        <f aca="false">CRM_Raw!B736</f>
        <v>2025-01-28</v>
      </c>
      <c r="C736" s="0" t="n">
        <f aca="false">CRM_Raw!C736</f>
        <v>0</v>
      </c>
      <c r="D736" s="0" t="str">
        <f aca="false">IF(CRM_Raw!D736="DACH","DACH",IF(ISNUMBER(SEARCH("uk",CRM_Raw!D736)),"UK &amp; Ireland",PROPER(CRM_Raw!D736)))</f>
        <v>Benelux</v>
      </c>
      <c r="E736" s="0" t="str">
        <f aca="false">CRM_Raw!E736</f>
        <v>Washing Machines</v>
      </c>
      <c r="F736" s="0" t="str">
        <f aca="false">CRM_Raw!F736</f>
        <v>Affiliate Partner</v>
      </c>
      <c r="G736" s="0" t="str">
        <f aca="false">IF(TRIM(CRM_Raw!G736)="","Unassigned",CRM_Raw!G736)</f>
        <v>S. Andersson</v>
      </c>
      <c r="H736" s="0" t="str">
        <f aca="false">CRM_Raw!H736</f>
        <v>Proposal Sent</v>
      </c>
      <c r="I736" s="10" t="n">
        <f aca="false">CRM_Raw!I736</f>
        <v>618.91</v>
      </c>
      <c r="J736" s="11" t="n">
        <f aca="false">CRM_Raw!J736</f>
        <v>0.15</v>
      </c>
      <c r="K736" s="10" t="n">
        <f aca="false">I736*(1-J736)</f>
        <v>526.0735</v>
      </c>
      <c r="L736" s="12" t="n">
        <f aca="false">CRM_Raw!K736</f>
        <v>0</v>
      </c>
      <c r="M736" s="12" t="n">
        <f aca="false">IF(H736="Closed Won",1,0)</f>
        <v>0</v>
      </c>
    </row>
    <row r="737" customFormat="false" ht="15" hidden="false" customHeight="false" outlineLevel="0" collapsed="false">
      <c r="A737" s="0" t="str">
        <f aca="false">CRM_Raw!A737</f>
        <v>D-10733</v>
      </c>
      <c r="B737" s="0" t="str">
        <f aca="false">CRM_Raw!B737</f>
        <v>2026-03-04</v>
      </c>
      <c r="C737" s="0" t="str">
        <f aca="false">CRM_Raw!C737</f>
        <v>2026-03-27</v>
      </c>
      <c r="D737" s="0" t="str">
        <f aca="false">IF(CRM_Raw!D737="DACH","DACH",IF(ISNUMBER(SEARCH("uk",CRM_Raw!D737)),"UK &amp; Ireland",PROPER(CRM_Raw!D737)))</f>
        <v>North America</v>
      </c>
      <c r="E737" s="0" t="str">
        <f aca="false">CRM_Raw!E737</f>
        <v>Small Kitchen Appliances</v>
      </c>
      <c r="F737" s="0" t="str">
        <f aca="false">CRM_Raw!F737</f>
        <v>Social Media Ads</v>
      </c>
      <c r="G737" s="0" t="str">
        <f aca="false">IF(TRIM(CRM_Raw!G737)="","Unassigned",CRM_Raw!G737)</f>
        <v>J. Murphy</v>
      </c>
      <c r="H737" s="0" t="str">
        <f aca="false">CRM_Raw!H737</f>
        <v>Closed Won</v>
      </c>
      <c r="I737" s="10" t="n">
        <f aca="false">CRM_Raw!I737</f>
        <v>136.55</v>
      </c>
      <c r="J737" s="11" t="n">
        <f aca="false">CRM_Raw!J737</f>
        <v>0</v>
      </c>
      <c r="K737" s="10" t="n">
        <f aca="false">I737*(1-J737)</f>
        <v>136.55</v>
      </c>
      <c r="L737" s="12" t="n">
        <f aca="false">CRM_Raw!K737</f>
        <v>23</v>
      </c>
      <c r="M737" s="12" t="n">
        <f aca="false">IF(H737="Closed Won",1,0)</f>
        <v>1</v>
      </c>
    </row>
    <row r="738" customFormat="false" ht="15" hidden="false" customHeight="false" outlineLevel="0" collapsed="false">
      <c r="A738" s="0" t="str">
        <f aca="false">CRM_Raw!A738</f>
        <v>D-10734</v>
      </c>
      <c r="B738" s="0" t="str">
        <f aca="false">CRM_Raw!B738</f>
        <v>2026-01-06</v>
      </c>
      <c r="C738" s="0" t="str">
        <f aca="false">CRM_Raw!C738</f>
        <v>2026-01-10</v>
      </c>
      <c r="D738" s="0" t="str">
        <f aca="false">IF(CRM_Raw!D738="DACH","DACH",IF(ISNUMBER(SEARCH("uk",CRM_Raw!D738)),"UK &amp; Ireland",PROPER(CRM_Raw!D738)))</f>
        <v>DACH</v>
      </c>
      <c r="E738" s="0" t="str">
        <f aca="false">CRM_Raw!E738</f>
        <v>Cordless Vacuums</v>
      </c>
      <c r="F738" s="0" t="str">
        <f aca="false">CRM_Raw!F738</f>
        <v>Social Media Ads</v>
      </c>
      <c r="G738" s="0" t="str">
        <f aca="false">IF(TRIM(CRM_Raw!G738)="","Unassigned",CRM_Raw!G738)</f>
        <v>L. Dubois</v>
      </c>
      <c r="H738" s="0" t="str">
        <f aca="false">CRM_Raw!H738</f>
        <v>Closed Lost</v>
      </c>
      <c r="I738" s="10" t="n">
        <f aca="false">CRM_Raw!I738</f>
        <v>753.78</v>
      </c>
      <c r="J738" s="11" t="n">
        <f aca="false">CRM_Raw!J738</f>
        <v>0.15</v>
      </c>
      <c r="K738" s="10" t="n">
        <f aca="false">I738*(1-J738)</f>
        <v>640.713</v>
      </c>
      <c r="L738" s="12" t="n">
        <f aca="false">CRM_Raw!K738</f>
        <v>4</v>
      </c>
      <c r="M738" s="12" t="n">
        <f aca="false">IF(H738="Closed Won",1,0)</f>
        <v>0</v>
      </c>
    </row>
    <row r="739" customFormat="false" ht="15" hidden="false" customHeight="false" outlineLevel="0" collapsed="false">
      <c r="A739" s="0" t="str">
        <f aca="false">CRM_Raw!A739</f>
        <v>D-10735</v>
      </c>
      <c r="B739" s="0" t="str">
        <f aca="false">CRM_Raw!B739</f>
        <v>2025-09-23</v>
      </c>
      <c r="C739" s="0" t="str">
        <f aca="false">CRM_Raw!C739</f>
        <v>2025-10-06</v>
      </c>
      <c r="D739" s="0" t="str">
        <f aca="false">IF(CRM_Raw!D739="DACH","DACH",IF(ISNUMBER(SEARCH("uk",CRM_Raw!D739)),"UK &amp; Ireland",PROPER(CRM_Raw!D739)))</f>
        <v>North America</v>
      </c>
      <c r="E739" s="0" t="str">
        <f aca="false">CRM_Raw!E739</f>
        <v>Smart Ovens</v>
      </c>
      <c r="F739" s="0" t="str">
        <f aca="false">CRM_Raw!F739</f>
        <v>Paid Search</v>
      </c>
      <c r="G739" s="0" t="str">
        <f aca="false">IF(TRIM(CRM_Raw!G739)="","Unassigned",CRM_Raw!G739)</f>
        <v>A. Becker</v>
      </c>
      <c r="H739" s="0" t="str">
        <f aca="false">CRM_Raw!H739</f>
        <v>Closed Won</v>
      </c>
      <c r="I739" s="10" t="n">
        <f aca="false">CRM_Raw!I739</f>
        <v>776.25</v>
      </c>
      <c r="J739" s="11" t="n">
        <f aca="false">CRM_Raw!J739</f>
        <v>0.05</v>
      </c>
      <c r="K739" s="10" t="n">
        <f aca="false">I739*(1-J739)</f>
        <v>737.4375</v>
      </c>
      <c r="L739" s="12" t="n">
        <f aca="false">CRM_Raw!K739</f>
        <v>13</v>
      </c>
      <c r="M739" s="12" t="n">
        <f aca="false">IF(H739="Closed Won",1,0)</f>
        <v>1</v>
      </c>
    </row>
    <row r="740" customFormat="false" ht="15" hidden="false" customHeight="false" outlineLevel="0" collapsed="false">
      <c r="A740" s="0" t="str">
        <f aca="false">CRM_Raw!A740</f>
        <v>D-10736</v>
      </c>
      <c r="B740" s="0" t="str">
        <f aca="false">CRM_Raw!B740</f>
        <v>2025-10-07</v>
      </c>
      <c r="C740" s="0" t="str">
        <f aca="false">CRM_Raw!C740</f>
        <v>2025-10-13</v>
      </c>
      <c r="D740" s="0" t="str">
        <f aca="false">IF(CRM_Raw!D740="DACH","DACH",IF(ISNUMBER(SEARCH("uk",CRM_Raw!D740)),"UK &amp; Ireland",PROPER(CRM_Raw!D740)))</f>
        <v>Southern Europe</v>
      </c>
      <c r="E740" s="0" t="str">
        <f aca="false">CRM_Raw!E740</f>
        <v>Coffee Systems</v>
      </c>
      <c r="F740" s="0" t="str">
        <f aca="false">CRM_Raw!F740</f>
        <v>Paid Search</v>
      </c>
      <c r="G740" s="0" t="str">
        <f aca="false">IF(TRIM(CRM_Raw!G740)="","Unassigned",CRM_Raw!G740)</f>
        <v>A. Becker</v>
      </c>
      <c r="H740" s="0" t="str">
        <f aca="false">CRM_Raw!H740</f>
        <v>Closed Won</v>
      </c>
      <c r="I740" s="10" t="n">
        <f aca="false">CRM_Raw!I740</f>
        <v>472.8</v>
      </c>
      <c r="J740" s="11" t="n">
        <f aca="false">CRM_Raw!J740</f>
        <v>0.1</v>
      </c>
      <c r="K740" s="10" t="n">
        <f aca="false">I740*(1-J740)</f>
        <v>425.52</v>
      </c>
      <c r="L740" s="12" t="n">
        <f aca="false">CRM_Raw!K740</f>
        <v>6</v>
      </c>
      <c r="M740" s="12" t="n">
        <f aca="false">IF(H740="Closed Won",1,0)</f>
        <v>1</v>
      </c>
    </row>
    <row r="741" customFormat="false" ht="15" hidden="false" customHeight="false" outlineLevel="0" collapsed="false">
      <c r="A741" s="0" t="str">
        <f aca="false">CRM_Raw!A741</f>
        <v>D-10737</v>
      </c>
      <c r="B741" s="0" t="str">
        <f aca="false">CRM_Raw!B741</f>
        <v>2025-04-07</v>
      </c>
      <c r="C741" s="0" t="str">
        <f aca="false">CRM_Raw!C741</f>
        <v>2025-04-11</v>
      </c>
      <c r="D741" s="0" t="str">
        <f aca="false">IF(CRM_Raw!D741="DACH","DACH",IF(ISNUMBER(SEARCH("uk",CRM_Raw!D741)),"UK &amp; Ireland",PROPER(CRM_Raw!D741)))</f>
        <v>Southern Europe</v>
      </c>
      <c r="E741" s="0" t="str">
        <f aca="false">CRM_Raw!E741</f>
        <v>Smart Ovens</v>
      </c>
      <c r="F741" s="0" t="str">
        <f aca="false">CRM_Raw!F741</f>
        <v>Social Media Ads</v>
      </c>
      <c r="G741" s="0" t="str">
        <f aca="false">IF(TRIM(CRM_Raw!G741)="","Unassigned",CRM_Raw!G741)</f>
        <v>M. Hoffmann</v>
      </c>
      <c r="H741" s="0" t="str">
        <f aca="false">CRM_Raw!H741</f>
        <v>Closed Lost</v>
      </c>
      <c r="I741" s="10" t="n">
        <f aca="false">CRM_Raw!I741</f>
        <v>798.71</v>
      </c>
      <c r="J741" s="11" t="n">
        <f aca="false">CRM_Raw!J741</f>
        <v>0.2</v>
      </c>
      <c r="K741" s="10" t="n">
        <f aca="false">I741*(1-J741)</f>
        <v>638.968</v>
      </c>
      <c r="L741" s="12" t="n">
        <f aca="false">CRM_Raw!K741</f>
        <v>4</v>
      </c>
      <c r="M741" s="12" t="n">
        <f aca="false">IF(H741="Closed Won",1,0)</f>
        <v>0</v>
      </c>
    </row>
    <row r="742" customFormat="false" ht="15" hidden="false" customHeight="false" outlineLevel="0" collapsed="false">
      <c r="A742" s="0" t="str">
        <f aca="false">CRM_Raw!A742</f>
        <v>D-10738</v>
      </c>
      <c r="B742" s="0" t="str">
        <f aca="false">CRM_Raw!B742</f>
        <v>2026-01-07</v>
      </c>
      <c r="C742" s="0" t="str">
        <f aca="false">CRM_Raw!C742</f>
        <v>2026-01-13</v>
      </c>
      <c r="D742" s="0" t="str">
        <f aca="false">IF(CRM_Raw!D742="DACH","DACH",IF(ISNUMBER(SEARCH("uk",CRM_Raw!D742)),"UK &amp; Ireland",PROPER(CRM_Raw!D742)))</f>
        <v>France</v>
      </c>
      <c r="E742" s="0" t="str">
        <f aca="false">CRM_Raw!E742</f>
        <v>Small Kitchen Appliances</v>
      </c>
      <c r="F742" s="0" t="str">
        <f aca="false">CRM_Raw!F742</f>
        <v>Email Campaign</v>
      </c>
      <c r="G742" s="0" t="str">
        <f aca="false">IF(TRIM(CRM_Raw!G742)="","Unassigned",CRM_Raw!G742)</f>
        <v>J. Murphy</v>
      </c>
      <c r="H742" s="0" t="str">
        <f aca="false">CRM_Raw!H742</f>
        <v>Closed Won</v>
      </c>
      <c r="I742" s="10" t="n">
        <f aca="false">CRM_Raw!I742</f>
        <v>330.1</v>
      </c>
      <c r="J742" s="11" t="n">
        <f aca="false">CRM_Raw!J742</f>
        <v>0</v>
      </c>
      <c r="K742" s="10" t="n">
        <f aca="false">I742*(1-J742)</f>
        <v>330.1</v>
      </c>
      <c r="L742" s="12" t="n">
        <f aca="false">CRM_Raw!K742</f>
        <v>6</v>
      </c>
      <c r="M742" s="12" t="n">
        <f aca="false">IF(H742="Closed Won",1,0)</f>
        <v>1</v>
      </c>
    </row>
    <row r="743" customFormat="false" ht="15" hidden="false" customHeight="false" outlineLevel="0" collapsed="false">
      <c r="A743" s="0" t="str">
        <f aca="false">CRM_Raw!A743</f>
        <v>D-10739</v>
      </c>
      <c r="B743" s="0" t="str">
        <f aca="false">CRM_Raw!B743</f>
        <v>2025-04-15</v>
      </c>
      <c r="C743" s="0" t="str">
        <f aca="false">CRM_Raw!C743</f>
        <v>2025-04-27</v>
      </c>
      <c r="D743" s="0" t="str">
        <f aca="false">IF(CRM_Raw!D743="DACH","DACH",IF(ISNUMBER(SEARCH("uk",CRM_Raw!D743)),"UK &amp; Ireland",PROPER(CRM_Raw!D743)))</f>
        <v>France</v>
      </c>
      <c r="E743" s="0" t="str">
        <f aca="false">CRM_Raw!E743</f>
        <v>Dishwashers</v>
      </c>
      <c r="F743" s="0" t="str">
        <f aca="false">CRM_Raw!F743</f>
        <v>Paid Search</v>
      </c>
      <c r="G743" s="0" t="str">
        <f aca="false">IF(TRIM(CRM_Raw!G743)="","Unassigned",CRM_Raw!G743)</f>
        <v>M. Hoffmann</v>
      </c>
      <c r="H743" s="0" t="str">
        <f aca="false">CRM_Raw!H743</f>
        <v>Closed Won</v>
      </c>
      <c r="I743" s="10" t="n">
        <f aca="false">CRM_Raw!I743</f>
        <v>723.37</v>
      </c>
      <c r="J743" s="11" t="n">
        <f aca="false">CRM_Raw!J743</f>
        <v>0.2</v>
      </c>
      <c r="K743" s="10" t="n">
        <f aca="false">I743*(1-J743)</f>
        <v>578.696</v>
      </c>
      <c r="L743" s="12" t="n">
        <f aca="false">CRM_Raw!K743</f>
        <v>12</v>
      </c>
      <c r="M743" s="12" t="n">
        <f aca="false">IF(H743="Closed Won",1,0)</f>
        <v>1</v>
      </c>
    </row>
    <row r="744" customFormat="false" ht="15" hidden="false" customHeight="false" outlineLevel="0" collapsed="false">
      <c r="A744" s="0" t="str">
        <f aca="false">CRM_Raw!A744</f>
        <v>D-10740</v>
      </c>
      <c r="B744" s="0" t="str">
        <f aca="false">CRM_Raw!B744</f>
        <v>2026-03-04</v>
      </c>
      <c r="C744" s="0" t="str">
        <f aca="false">CRM_Raw!C744</f>
        <v>2026-04-08</v>
      </c>
      <c r="D744" s="0" t="str">
        <f aca="false">IF(CRM_Raw!D744="DACH","DACH",IF(ISNUMBER(SEARCH("uk",CRM_Raw!D744)),"UK &amp; Ireland",PROPER(CRM_Raw!D744)))</f>
        <v>Nordics</v>
      </c>
      <c r="E744" s="0" t="str">
        <f aca="false">CRM_Raw!E744</f>
        <v>Washing Machines</v>
      </c>
      <c r="F744" s="0" t="str">
        <f aca="false">CRM_Raw!F744</f>
        <v>Affiliate Partner</v>
      </c>
      <c r="G744" s="0" t="str">
        <f aca="false">IF(TRIM(CRM_Raw!G744)="","Unassigned",CRM_Raw!G744)</f>
        <v>L. Dubois</v>
      </c>
      <c r="H744" s="0" t="str">
        <f aca="false">CRM_Raw!H744</f>
        <v>Closed Lost</v>
      </c>
      <c r="I744" s="10" t="n">
        <f aca="false">CRM_Raw!I744</f>
        <v>1485.21</v>
      </c>
      <c r="J744" s="11" t="n">
        <f aca="false">CRM_Raw!J744</f>
        <v>0</v>
      </c>
      <c r="K744" s="10" t="n">
        <f aca="false">I744*(1-J744)</f>
        <v>1485.21</v>
      </c>
      <c r="L744" s="12" t="n">
        <f aca="false">CRM_Raw!K744</f>
        <v>35</v>
      </c>
      <c r="M744" s="12" t="n">
        <f aca="false">IF(H744="Closed Won",1,0)</f>
        <v>0</v>
      </c>
    </row>
    <row r="745" customFormat="false" ht="15" hidden="false" customHeight="false" outlineLevel="0" collapsed="false">
      <c r="A745" s="0" t="str">
        <f aca="false">CRM_Raw!A745</f>
        <v>D-10741</v>
      </c>
      <c r="B745" s="0" t="str">
        <f aca="false">CRM_Raw!B745</f>
        <v>2025-12-17</v>
      </c>
      <c r="C745" s="0" t="str">
        <f aca="false">CRM_Raw!C745</f>
        <v>2026-01-14</v>
      </c>
      <c r="D745" s="0" t="str">
        <f aca="false">IF(CRM_Raw!D745="DACH","DACH",IF(ISNUMBER(SEARCH("uk",CRM_Raw!D745)),"UK &amp; Ireland",PROPER(CRM_Raw!D745)))</f>
        <v>France</v>
      </c>
      <c r="E745" s="0" t="str">
        <f aca="false">CRM_Raw!E745</f>
        <v>Small Kitchen Appliances</v>
      </c>
      <c r="F745" s="0" t="str">
        <f aca="false">CRM_Raw!F745</f>
        <v>Paid Search</v>
      </c>
      <c r="G745" s="0" t="str">
        <f aca="false">IF(TRIM(CRM_Raw!G745)="","Unassigned",CRM_Raw!G745)</f>
        <v>T. Wagner</v>
      </c>
      <c r="H745" s="0" t="str">
        <f aca="false">CRM_Raw!H745</f>
        <v>Closed Won</v>
      </c>
      <c r="I745" s="10" t="n">
        <f aca="false">CRM_Raw!I745</f>
        <v>118.69</v>
      </c>
      <c r="J745" s="11" t="n">
        <f aca="false">CRM_Raw!J745</f>
        <v>0</v>
      </c>
      <c r="K745" s="10" t="n">
        <f aca="false">I745*(1-J745)</f>
        <v>118.69</v>
      </c>
      <c r="L745" s="12" t="n">
        <f aca="false">CRM_Raw!K745</f>
        <v>28</v>
      </c>
      <c r="M745" s="12" t="n">
        <f aca="false">IF(H745="Closed Won",1,0)</f>
        <v>1</v>
      </c>
    </row>
    <row r="746" customFormat="false" ht="15" hidden="false" customHeight="false" outlineLevel="0" collapsed="false">
      <c r="A746" s="0" t="str">
        <f aca="false">CRM_Raw!A746</f>
        <v>D-10742</v>
      </c>
      <c r="B746" s="0" t="str">
        <f aca="false">CRM_Raw!B746</f>
        <v>2025-11-11</v>
      </c>
      <c r="C746" s="0" t="str">
        <f aca="false">CRM_Raw!C746</f>
        <v>2025-12-04</v>
      </c>
      <c r="D746" s="0" t="str">
        <f aca="false">IF(CRM_Raw!D746="DACH","DACH",IF(ISNUMBER(SEARCH("uk",CRM_Raw!D746)),"UK &amp; Ireland",PROPER(CRM_Raw!D746)))</f>
        <v>UK &amp; Ireland</v>
      </c>
      <c r="E746" s="0" t="str">
        <f aca="false">CRM_Raw!E746</f>
        <v>Small Kitchen Appliances</v>
      </c>
      <c r="F746" s="0" t="str">
        <f aca="false">CRM_Raw!F746</f>
        <v>Web-shop Organic</v>
      </c>
      <c r="G746" s="0" t="str">
        <f aca="false">IF(TRIM(CRM_Raw!G746)="","Unassigned",CRM_Raw!G746)</f>
        <v>S. Andersson</v>
      </c>
      <c r="H746" s="0" t="str">
        <f aca="false">CRM_Raw!H746</f>
        <v>Closed Won</v>
      </c>
      <c r="I746" s="10" t="n">
        <f aca="false">CRM_Raw!I746</f>
        <v>130.15</v>
      </c>
      <c r="J746" s="11" t="n">
        <f aca="false">CRM_Raw!J746</f>
        <v>0</v>
      </c>
      <c r="K746" s="10" t="n">
        <f aca="false">I746*(1-J746)</f>
        <v>130.15</v>
      </c>
      <c r="L746" s="12" t="n">
        <f aca="false">CRM_Raw!K746</f>
        <v>23</v>
      </c>
      <c r="M746" s="12" t="n">
        <f aca="false">IF(H746="Closed Won",1,0)</f>
        <v>1</v>
      </c>
    </row>
    <row r="747" customFormat="false" ht="15" hidden="false" customHeight="false" outlineLevel="0" collapsed="false">
      <c r="A747" s="0" t="str">
        <f aca="false">CRM_Raw!A747</f>
        <v>D-10743</v>
      </c>
      <c r="B747" s="0" t="str">
        <f aca="false">CRM_Raw!B747</f>
        <v>2025-07-21</v>
      </c>
      <c r="C747" s="0" t="str">
        <f aca="false">CRM_Raw!C747</f>
        <v>2025-08-13</v>
      </c>
      <c r="D747" s="0" t="str">
        <f aca="false">IF(CRM_Raw!D747="DACH","DACH",IF(ISNUMBER(SEARCH("uk",CRM_Raw!D747)),"UK &amp; Ireland",PROPER(CRM_Raw!D747)))</f>
        <v>DACH</v>
      </c>
      <c r="E747" s="0" t="str">
        <f aca="false">CRM_Raw!E747</f>
        <v>Dishwashers</v>
      </c>
      <c r="F747" s="0" t="str">
        <f aca="false">CRM_Raw!F747</f>
        <v>Email Campaign</v>
      </c>
      <c r="G747" s="0" t="str">
        <f aca="false">IF(TRIM(CRM_Raw!G747)="","Unassigned",CRM_Raw!G747)</f>
        <v>A. Becker</v>
      </c>
      <c r="H747" s="0" t="str">
        <f aca="false">CRM_Raw!H747</f>
        <v>Closed Won</v>
      </c>
      <c r="I747" s="10" t="n">
        <f aca="false">CRM_Raw!I747</f>
        <v>2319.81</v>
      </c>
      <c r="J747" s="11" t="n">
        <f aca="false">CRM_Raw!J747</f>
        <v>0.1</v>
      </c>
      <c r="K747" s="10" t="n">
        <f aca="false">I747*(1-J747)</f>
        <v>2087.829</v>
      </c>
      <c r="L747" s="12" t="n">
        <f aca="false">CRM_Raw!K747</f>
        <v>23</v>
      </c>
      <c r="M747" s="12" t="n">
        <f aca="false">IF(H747="Closed Won",1,0)</f>
        <v>1</v>
      </c>
    </row>
    <row r="748" customFormat="false" ht="15" hidden="false" customHeight="false" outlineLevel="0" collapsed="false">
      <c r="A748" s="0" t="str">
        <f aca="false">CRM_Raw!A748</f>
        <v>D-10744</v>
      </c>
      <c r="B748" s="0" t="str">
        <f aca="false">CRM_Raw!B748</f>
        <v>2025-02-14</v>
      </c>
      <c r="C748" s="0" t="str">
        <f aca="false">CRM_Raw!C748</f>
        <v>2025-02-27</v>
      </c>
      <c r="D748" s="0" t="str">
        <f aca="false">IF(CRM_Raw!D748="DACH","DACH",IF(ISNUMBER(SEARCH("uk",CRM_Raw!D748)),"UK &amp; Ireland",PROPER(CRM_Raw!D748)))</f>
        <v>DACH</v>
      </c>
      <c r="E748" s="0" t="str">
        <f aca="false">CRM_Raw!E748</f>
        <v>Dishwashers</v>
      </c>
      <c r="F748" s="0" t="str">
        <f aca="false">CRM_Raw!F748</f>
        <v>Web-shop Organic</v>
      </c>
      <c r="G748" s="0" t="str">
        <f aca="false">IF(TRIM(CRM_Raw!G748)="","Unassigned",CRM_Raw!G748)</f>
        <v>J. Murphy</v>
      </c>
      <c r="H748" s="0" t="str">
        <f aca="false">CRM_Raw!H748</f>
        <v>Closed Won</v>
      </c>
      <c r="I748" s="10" t="n">
        <f aca="false">CRM_Raw!I748</f>
        <v>2314.29</v>
      </c>
      <c r="J748" s="11" t="n">
        <f aca="false">CRM_Raw!J748</f>
        <v>0</v>
      </c>
      <c r="K748" s="10" t="n">
        <f aca="false">I748*(1-J748)</f>
        <v>2314.29</v>
      </c>
      <c r="L748" s="12" t="n">
        <f aca="false">CRM_Raw!K748</f>
        <v>13</v>
      </c>
      <c r="M748" s="12" t="n">
        <f aca="false">IF(H748="Closed Won",1,0)</f>
        <v>1</v>
      </c>
    </row>
    <row r="749" customFormat="false" ht="15" hidden="false" customHeight="false" outlineLevel="0" collapsed="false">
      <c r="A749" s="0" t="str">
        <f aca="false">CRM_Raw!A749</f>
        <v>D-10745</v>
      </c>
      <c r="B749" s="0" t="str">
        <f aca="false">CRM_Raw!B749</f>
        <v>2025-01-30</v>
      </c>
      <c r="C749" s="0" t="str">
        <f aca="false">CRM_Raw!C749</f>
        <v>2025-02-06</v>
      </c>
      <c r="D749" s="0" t="str">
        <f aca="false">IF(CRM_Raw!D749="DACH","DACH",IF(ISNUMBER(SEARCH("uk",CRM_Raw!D749)),"UK &amp; Ireland",PROPER(CRM_Raw!D749)))</f>
        <v>Nordics</v>
      </c>
      <c r="E749" s="0" t="str">
        <f aca="false">CRM_Raw!E749</f>
        <v>Coffee Systems</v>
      </c>
      <c r="F749" s="0" t="str">
        <f aca="false">CRM_Raw!F749</f>
        <v>Web-shop Organic</v>
      </c>
      <c r="G749" s="0" t="str">
        <f aca="false">IF(TRIM(CRM_Raw!G749)="","Unassigned",CRM_Raw!G749)</f>
        <v>P. Rossi</v>
      </c>
      <c r="H749" s="0" t="str">
        <f aca="false">CRM_Raw!H749</f>
        <v>Closed Won</v>
      </c>
      <c r="I749" s="10" t="n">
        <f aca="false">CRM_Raw!I749</f>
        <v>573.46</v>
      </c>
      <c r="J749" s="11" t="n">
        <f aca="false">CRM_Raw!J749</f>
        <v>0.1</v>
      </c>
      <c r="K749" s="10" t="n">
        <f aca="false">I749*(1-J749)</f>
        <v>516.114</v>
      </c>
      <c r="L749" s="12" t="n">
        <f aca="false">CRM_Raw!K749</f>
        <v>7</v>
      </c>
      <c r="M749" s="12" t="n">
        <f aca="false">IF(H749="Closed Won",1,0)</f>
        <v>1</v>
      </c>
    </row>
    <row r="750" customFormat="false" ht="15" hidden="false" customHeight="false" outlineLevel="0" collapsed="false">
      <c r="A750" s="0" t="str">
        <f aca="false">CRM_Raw!A750</f>
        <v>D-10746</v>
      </c>
      <c r="B750" s="0" t="str">
        <f aca="false">CRM_Raw!B750</f>
        <v>2025-03-11</v>
      </c>
      <c r="C750" s="0" t="str">
        <f aca="false">CRM_Raw!C750</f>
        <v>2025-03-30</v>
      </c>
      <c r="D750" s="0" t="str">
        <f aca="false">IF(CRM_Raw!D750="DACH","DACH",IF(ISNUMBER(SEARCH("uk",CRM_Raw!D750)),"UK &amp; Ireland",PROPER(CRM_Raw!D750)))</f>
        <v>France</v>
      </c>
      <c r="E750" s="0" t="str">
        <f aca="false">CRM_Raw!E750</f>
        <v>Cordless Vacuums</v>
      </c>
      <c r="F750" s="0" t="str">
        <f aca="false">CRM_Raw!F750</f>
        <v>Web-shop Organic</v>
      </c>
      <c r="G750" s="0" t="str">
        <f aca="false">IF(TRIM(CRM_Raw!G750)="","Unassigned",CRM_Raw!G750)</f>
        <v>S. Andersson</v>
      </c>
      <c r="H750" s="0" t="str">
        <f aca="false">CRM_Raw!H750</f>
        <v>Closed Won</v>
      </c>
      <c r="I750" s="10" t="n">
        <f aca="false">CRM_Raw!I750</f>
        <v>341.07</v>
      </c>
      <c r="J750" s="11" t="n">
        <f aca="false">CRM_Raw!J750</f>
        <v>0</v>
      </c>
      <c r="K750" s="10" t="n">
        <f aca="false">I750*(1-J750)</f>
        <v>341.07</v>
      </c>
      <c r="L750" s="12" t="n">
        <f aca="false">CRM_Raw!K750</f>
        <v>19</v>
      </c>
      <c r="M750" s="12" t="n">
        <f aca="false">IF(H750="Closed Won",1,0)</f>
        <v>1</v>
      </c>
    </row>
    <row r="751" customFormat="false" ht="15" hidden="false" customHeight="false" outlineLevel="0" collapsed="false">
      <c r="A751" s="0" t="str">
        <f aca="false">CRM_Raw!A751</f>
        <v>D-10747</v>
      </c>
      <c r="B751" s="0" t="str">
        <f aca="false">CRM_Raw!B751</f>
        <v>2025-08-08</v>
      </c>
      <c r="C751" s="0" t="n">
        <f aca="false">CRM_Raw!C751</f>
        <v>0</v>
      </c>
      <c r="D751" s="0" t="str">
        <f aca="false">IF(CRM_Raw!D751="DACH","DACH",IF(ISNUMBER(SEARCH("uk",CRM_Raw!D751)),"UK &amp; Ireland",PROPER(CRM_Raw!D751)))</f>
        <v>UK &amp; Ireland</v>
      </c>
      <c r="E751" s="0" t="str">
        <f aca="false">CRM_Raw!E751</f>
        <v>Washing Machines</v>
      </c>
      <c r="F751" s="0" t="str">
        <f aca="false">CRM_Raw!F751</f>
        <v>Web-shop Organic</v>
      </c>
      <c r="G751" s="0" t="str">
        <f aca="false">IF(TRIM(CRM_Raw!G751)="","Unassigned",CRM_Raw!G751)</f>
        <v>L. Dubois</v>
      </c>
      <c r="H751" s="0" t="str">
        <f aca="false">CRM_Raw!H751</f>
        <v>Qualified</v>
      </c>
      <c r="I751" s="10" t="n">
        <f aca="false">CRM_Raw!I751</f>
        <v>1462.03</v>
      </c>
      <c r="J751" s="11" t="n">
        <f aca="false">CRM_Raw!J751</f>
        <v>0</v>
      </c>
      <c r="K751" s="10" t="n">
        <f aca="false">I751*(1-J751)</f>
        <v>1462.03</v>
      </c>
      <c r="L751" s="12" t="n">
        <f aca="false">CRM_Raw!K751</f>
        <v>0</v>
      </c>
      <c r="M751" s="12" t="n">
        <f aca="false">IF(H751="Closed Won",1,0)</f>
        <v>0</v>
      </c>
    </row>
    <row r="752" customFormat="false" ht="15" hidden="false" customHeight="false" outlineLevel="0" collapsed="false">
      <c r="A752" s="0" t="str">
        <f aca="false">CRM_Raw!A752</f>
        <v>D-10748</v>
      </c>
      <c r="B752" s="0" t="str">
        <f aca="false">CRM_Raw!B752</f>
        <v>2025-07-05</v>
      </c>
      <c r="C752" s="0" t="n">
        <f aca="false">CRM_Raw!C752</f>
        <v>0</v>
      </c>
      <c r="D752" s="0" t="str">
        <f aca="false">IF(CRM_Raw!D752="DACH","DACH",IF(ISNUMBER(SEARCH("uk",CRM_Raw!D752)),"UK &amp; Ireland",PROPER(CRM_Raw!D752)))</f>
        <v>Southern Europe</v>
      </c>
      <c r="E752" s="0" t="str">
        <f aca="false">CRM_Raw!E752</f>
        <v>Washing Machines</v>
      </c>
      <c r="F752" s="0" t="str">
        <f aca="false">CRM_Raw!F752</f>
        <v>Web-shop Organic</v>
      </c>
      <c r="G752" s="0" t="str">
        <f aca="false">IF(TRIM(CRM_Raw!G752)="","Unassigned",CRM_Raw!G752)</f>
        <v>L. Dubois</v>
      </c>
      <c r="H752" s="0" t="str">
        <f aca="false">CRM_Raw!H752</f>
        <v>Proposal Sent</v>
      </c>
      <c r="I752" s="10" t="n">
        <f aca="false">CRM_Raw!I752</f>
        <v>1503.83</v>
      </c>
      <c r="J752" s="11" t="n">
        <f aca="false">CRM_Raw!J752</f>
        <v>0</v>
      </c>
      <c r="K752" s="10" t="n">
        <f aca="false">I752*(1-J752)</f>
        <v>1503.83</v>
      </c>
      <c r="L752" s="12" t="n">
        <f aca="false">CRM_Raw!K752</f>
        <v>0</v>
      </c>
      <c r="M752" s="12" t="n">
        <f aca="false">IF(H752="Closed Won",1,0)</f>
        <v>0</v>
      </c>
    </row>
    <row r="753" customFormat="false" ht="15" hidden="false" customHeight="false" outlineLevel="0" collapsed="false">
      <c r="A753" s="0" t="str">
        <f aca="false">CRM_Raw!A753</f>
        <v>D-10749</v>
      </c>
      <c r="B753" s="0" t="str">
        <f aca="false">CRM_Raw!B753</f>
        <v>2025-05-07</v>
      </c>
      <c r="C753" s="0" t="str">
        <f aca="false">CRM_Raw!C753</f>
        <v>2025-05-27</v>
      </c>
      <c r="D753" s="0" t="str">
        <f aca="false">IF(CRM_Raw!D753="DACH","DACH",IF(ISNUMBER(SEARCH("uk",CRM_Raw!D753)),"UK &amp; Ireland",PROPER(CRM_Raw!D753)))</f>
        <v>Nordics</v>
      </c>
      <c r="E753" s="0" t="str">
        <f aca="false">CRM_Raw!E753</f>
        <v>Coffee Systems</v>
      </c>
      <c r="F753" s="0" t="str">
        <f aca="false">CRM_Raw!F753</f>
        <v>Paid Search</v>
      </c>
      <c r="G753" s="0" t="str">
        <f aca="false">IF(TRIM(CRM_Raw!G753)="","Unassigned",CRM_Raw!G753)</f>
        <v>P. Rossi</v>
      </c>
      <c r="H753" s="0" t="str">
        <f aca="false">CRM_Raw!H753</f>
        <v>Closed Lost</v>
      </c>
      <c r="I753" s="10" t="n">
        <f aca="false">CRM_Raw!I753</f>
        <v>1064.55</v>
      </c>
      <c r="J753" s="11" t="n">
        <f aca="false">CRM_Raw!J753</f>
        <v>0.2</v>
      </c>
      <c r="K753" s="10" t="n">
        <f aca="false">I753*(1-J753)</f>
        <v>851.64</v>
      </c>
      <c r="L753" s="12" t="n">
        <f aca="false">CRM_Raw!K753</f>
        <v>20</v>
      </c>
      <c r="M753" s="12" t="n">
        <f aca="false">IF(H753="Closed Won",1,0)</f>
        <v>0</v>
      </c>
    </row>
    <row r="754" customFormat="false" ht="15" hidden="false" customHeight="false" outlineLevel="0" collapsed="false">
      <c r="A754" s="0" t="str">
        <f aca="false">CRM_Raw!A754</f>
        <v>D-10750</v>
      </c>
      <c r="B754" s="0" t="str">
        <f aca="false">CRM_Raw!B754</f>
        <v>2025-03-26</v>
      </c>
      <c r="C754" s="0" t="str">
        <f aca="false">CRM_Raw!C754</f>
        <v>2025-04-21</v>
      </c>
      <c r="D754" s="0" t="str">
        <f aca="false">IF(CRM_Raw!D754="DACH","DACH",IF(ISNUMBER(SEARCH("uk",CRM_Raw!D754)),"UK &amp; Ireland",PROPER(CRM_Raw!D754)))</f>
        <v>France</v>
      </c>
      <c r="E754" s="0" t="str">
        <f aca="false">CRM_Raw!E754</f>
        <v>Small Kitchen Appliances</v>
      </c>
      <c r="F754" s="0" t="str">
        <f aca="false">CRM_Raw!F754</f>
        <v>Paid Search</v>
      </c>
      <c r="G754" s="0" t="str">
        <f aca="false">IF(TRIM(CRM_Raw!G754)="","Unassigned",CRM_Raw!G754)</f>
        <v>A. Becker</v>
      </c>
      <c r="H754" s="0" t="str">
        <f aca="false">CRM_Raw!H754</f>
        <v>Closed Won</v>
      </c>
      <c r="I754" s="10" t="n">
        <f aca="false">CRM_Raw!I754</f>
        <v>127.46</v>
      </c>
      <c r="J754" s="11" t="n">
        <f aca="false">CRM_Raw!J754</f>
        <v>0.15</v>
      </c>
      <c r="K754" s="10" t="n">
        <f aca="false">I754*(1-J754)</f>
        <v>108.341</v>
      </c>
      <c r="L754" s="12" t="n">
        <f aca="false">CRM_Raw!K754</f>
        <v>26</v>
      </c>
      <c r="M754" s="12" t="n">
        <f aca="false">IF(H754="Closed Won",1,0)</f>
        <v>1</v>
      </c>
    </row>
    <row r="755" customFormat="false" ht="15" hidden="false" customHeight="false" outlineLevel="0" collapsed="false">
      <c r="A755" s="0" t="str">
        <f aca="false">CRM_Raw!A755</f>
        <v>D-10751</v>
      </c>
      <c r="B755" s="0" t="str">
        <f aca="false">CRM_Raw!B755</f>
        <v>2025-10-25</v>
      </c>
      <c r="C755" s="0" t="n">
        <f aca="false">CRM_Raw!C755</f>
        <v>0</v>
      </c>
      <c r="D755" s="0" t="str">
        <f aca="false">IF(CRM_Raw!D755="DACH","DACH",IF(ISNUMBER(SEARCH("uk",CRM_Raw!D755)),"UK &amp; Ireland",PROPER(CRM_Raw!D755)))</f>
        <v>North America</v>
      </c>
      <c r="E755" s="0" t="str">
        <f aca="false">CRM_Raw!E755</f>
        <v>Dishwashers</v>
      </c>
      <c r="F755" s="0" t="str">
        <f aca="false">CRM_Raw!F755</f>
        <v>Web-shop Organic</v>
      </c>
      <c r="G755" s="0" t="str">
        <f aca="false">IF(TRIM(CRM_Raw!G755)="","Unassigned",CRM_Raw!G755)</f>
        <v>K. Nilsson</v>
      </c>
      <c r="H755" s="0" t="str">
        <f aca="false">CRM_Raw!H755</f>
        <v>Qualified</v>
      </c>
      <c r="I755" s="10" t="n">
        <f aca="false">CRM_Raw!I755</f>
        <v>710.37</v>
      </c>
      <c r="J755" s="11" t="n">
        <f aca="false">CRM_Raw!J755</f>
        <v>0.2</v>
      </c>
      <c r="K755" s="10" t="n">
        <f aca="false">I755*(1-J755)</f>
        <v>568.296</v>
      </c>
      <c r="L755" s="12" t="n">
        <f aca="false">CRM_Raw!K755</f>
        <v>0</v>
      </c>
      <c r="M755" s="12" t="n">
        <f aca="false">IF(H755="Closed Won",1,0)</f>
        <v>0</v>
      </c>
    </row>
    <row r="756" customFormat="false" ht="15" hidden="false" customHeight="false" outlineLevel="0" collapsed="false">
      <c r="A756" s="0" t="str">
        <f aca="false">CRM_Raw!A756</f>
        <v>D-10752</v>
      </c>
      <c r="B756" s="0" t="str">
        <f aca="false">CRM_Raw!B756</f>
        <v>2025-07-03</v>
      </c>
      <c r="C756" s="0" t="str">
        <f aca="false">CRM_Raw!C756</f>
        <v>2025-07-28</v>
      </c>
      <c r="D756" s="0" t="str">
        <f aca="false">IF(CRM_Raw!D756="DACH","DACH",IF(ISNUMBER(SEARCH("uk",CRM_Raw!D756)),"UK &amp; Ireland",PROPER(CRM_Raw!D756)))</f>
        <v>North America</v>
      </c>
      <c r="E756" s="0" t="str">
        <f aca="false">CRM_Raw!E756</f>
        <v>Dishwashers</v>
      </c>
      <c r="F756" s="0" t="str">
        <f aca="false">CRM_Raw!F756</f>
        <v>Retail Referral</v>
      </c>
      <c r="G756" s="0" t="str">
        <f aca="false">IF(TRIM(CRM_Raw!G756)="","Unassigned",CRM_Raw!G756)</f>
        <v>P. Rossi</v>
      </c>
      <c r="H756" s="0" t="str">
        <f aca="false">CRM_Raw!H756</f>
        <v>Closed Won</v>
      </c>
      <c r="I756" s="10" t="n">
        <f aca="false">CRM_Raw!I756</f>
        <v>752.79</v>
      </c>
      <c r="J756" s="11" t="n">
        <f aca="false">CRM_Raw!J756</f>
        <v>0.05</v>
      </c>
      <c r="K756" s="10" t="n">
        <f aca="false">I756*(1-J756)</f>
        <v>715.1505</v>
      </c>
      <c r="L756" s="12" t="n">
        <f aca="false">CRM_Raw!K756</f>
        <v>25</v>
      </c>
      <c r="M756" s="12" t="n">
        <f aca="false">IF(H756="Closed Won",1,0)</f>
        <v>1</v>
      </c>
    </row>
    <row r="757" customFormat="false" ht="15" hidden="false" customHeight="false" outlineLevel="0" collapsed="false">
      <c r="A757" s="0" t="str">
        <f aca="false">CRM_Raw!A757</f>
        <v>D-10753</v>
      </c>
      <c r="B757" s="0" t="str">
        <f aca="false">CRM_Raw!B757</f>
        <v>2025-05-03</v>
      </c>
      <c r="C757" s="0" t="str">
        <f aca="false">CRM_Raw!C757</f>
        <v>2025-05-14</v>
      </c>
      <c r="D757" s="0" t="str">
        <f aca="false">IF(CRM_Raw!D757="DACH","DACH",IF(ISNUMBER(SEARCH("uk",CRM_Raw!D757)),"UK &amp; Ireland",PROPER(CRM_Raw!D757)))</f>
        <v>Benelux</v>
      </c>
      <c r="E757" s="0" t="str">
        <f aca="false">CRM_Raw!E757</f>
        <v>Washing Machines</v>
      </c>
      <c r="F757" s="0" t="str">
        <f aca="false">CRM_Raw!F757</f>
        <v>Affiliate Partner</v>
      </c>
      <c r="G757" s="0" t="str">
        <f aca="false">IF(TRIM(CRM_Raw!G757)="","Unassigned",CRM_Raw!G757)</f>
        <v>L. Dubois</v>
      </c>
      <c r="H757" s="0" t="str">
        <f aca="false">CRM_Raw!H757</f>
        <v>Closed Won</v>
      </c>
      <c r="I757" s="10" t="n">
        <f aca="false">CRM_Raw!I757</f>
        <v>610.5</v>
      </c>
      <c r="J757" s="11" t="n">
        <f aca="false">CRM_Raw!J757</f>
        <v>0</v>
      </c>
      <c r="K757" s="10" t="n">
        <f aca="false">I757*(1-J757)</f>
        <v>610.5</v>
      </c>
      <c r="L757" s="12" t="n">
        <f aca="false">CRM_Raw!K757</f>
        <v>11</v>
      </c>
      <c r="M757" s="12" t="n">
        <f aca="false">IF(H757="Closed Won",1,0)</f>
        <v>1</v>
      </c>
    </row>
    <row r="758" customFormat="false" ht="15" hidden="false" customHeight="false" outlineLevel="0" collapsed="false">
      <c r="A758" s="0" t="str">
        <f aca="false">CRM_Raw!A758</f>
        <v>D-10754</v>
      </c>
      <c r="B758" s="0" t="str">
        <f aca="false">CRM_Raw!B758</f>
        <v>2025-05-06</v>
      </c>
      <c r="C758" s="0" t="str">
        <f aca="false">CRM_Raw!C758</f>
        <v>2025-06-03</v>
      </c>
      <c r="D758" s="0" t="str">
        <f aca="false">IF(CRM_Raw!D758="DACH","DACH",IF(ISNUMBER(SEARCH("uk",CRM_Raw!D758)),"UK &amp; Ireland",PROPER(CRM_Raw!D758)))</f>
        <v>France</v>
      </c>
      <c r="E758" s="0" t="str">
        <f aca="false">CRM_Raw!E758</f>
        <v>Coffee Systems</v>
      </c>
      <c r="F758" s="0" t="str">
        <f aca="false">CRM_Raw!F758</f>
        <v>Paid Search</v>
      </c>
      <c r="G758" s="0" t="str">
        <f aca="false">IF(TRIM(CRM_Raw!G758)="","Unassigned",CRM_Raw!G758)</f>
        <v>K. Nilsson</v>
      </c>
      <c r="H758" s="0" t="str">
        <f aca="false">CRM_Raw!H758</f>
        <v>Closed Won</v>
      </c>
      <c r="I758" s="10" t="n">
        <f aca="false">CRM_Raw!I758</f>
        <v>1040.55</v>
      </c>
      <c r="J758" s="11" t="n">
        <f aca="false">CRM_Raw!J758</f>
        <v>0</v>
      </c>
      <c r="K758" s="10" t="n">
        <f aca="false">I758*(1-J758)</f>
        <v>1040.55</v>
      </c>
      <c r="L758" s="12" t="n">
        <f aca="false">CRM_Raw!K758</f>
        <v>28</v>
      </c>
      <c r="M758" s="12" t="n">
        <f aca="false">IF(H758="Closed Won",1,0)</f>
        <v>1</v>
      </c>
    </row>
    <row r="759" customFormat="false" ht="15" hidden="false" customHeight="false" outlineLevel="0" collapsed="false">
      <c r="A759" s="0" t="str">
        <f aca="false">CRM_Raw!A759</f>
        <v>D-10755</v>
      </c>
      <c r="B759" s="0" t="str">
        <f aca="false">CRM_Raw!B759</f>
        <v>2026-02-14</v>
      </c>
      <c r="C759" s="0" t="str">
        <f aca="false">CRM_Raw!C759</f>
        <v>2026-02-23</v>
      </c>
      <c r="D759" s="0" t="str">
        <f aca="false">IF(CRM_Raw!D759="DACH","DACH",IF(ISNUMBER(SEARCH("uk",CRM_Raw!D759)),"UK &amp; Ireland",PROPER(CRM_Raw!D759)))</f>
        <v>North America</v>
      </c>
      <c r="E759" s="0" t="str">
        <f aca="false">CRM_Raw!E759</f>
        <v>Small Kitchen Appliances</v>
      </c>
      <c r="F759" s="0" t="str">
        <f aca="false">CRM_Raw!F759</f>
        <v>Email Campaign</v>
      </c>
      <c r="G759" s="0" t="str">
        <f aca="false">IF(TRIM(CRM_Raw!G759)="","Unassigned",CRM_Raw!G759)</f>
        <v>J. Murphy</v>
      </c>
      <c r="H759" s="0" t="str">
        <f aca="false">CRM_Raw!H759</f>
        <v>Closed Won</v>
      </c>
      <c r="I759" s="10" t="n">
        <f aca="false">CRM_Raw!I759</f>
        <v>416.85</v>
      </c>
      <c r="J759" s="11" t="n">
        <f aca="false">CRM_Raw!J759</f>
        <v>0</v>
      </c>
      <c r="K759" s="10" t="n">
        <f aca="false">I759*(1-J759)</f>
        <v>416.85</v>
      </c>
      <c r="L759" s="12" t="n">
        <f aca="false">CRM_Raw!K759</f>
        <v>9</v>
      </c>
      <c r="M759" s="12" t="n">
        <f aca="false">IF(H759="Closed Won",1,0)</f>
        <v>1</v>
      </c>
    </row>
    <row r="760" customFormat="false" ht="15" hidden="false" customHeight="false" outlineLevel="0" collapsed="false">
      <c r="A760" s="0" t="str">
        <f aca="false">CRM_Raw!A760</f>
        <v>D-10756</v>
      </c>
      <c r="B760" s="0" t="str">
        <f aca="false">CRM_Raw!B760</f>
        <v>2026-05-17</v>
      </c>
      <c r="C760" s="0" t="str">
        <f aca="false">CRM_Raw!C760</f>
        <v>2026-05-20</v>
      </c>
      <c r="D760" s="0" t="str">
        <f aca="false">IF(CRM_Raw!D760="DACH","DACH",IF(ISNUMBER(SEARCH("uk",CRM_Raw!D760)),"UK &amp; Ireland",PROPER(CRM_Raw!D760)))</f>
        <v>UK &amp; Ireland</v>
      </c>
      <c r="E760" s="0" t="str">
        <f aca="false">CRM_Raw!E760</f>
        <v>Dishwashers</v>
      </c>
      <c r="F760" s="0" t="str">
        <f aca="false">CRM_Raw!F760</f>
        <v>Web-shop Organic</v>
      </c>
      <c r="G760" s="0" t="str">
        <f aca="false">IF(TRIM(CRM_Raw!G760)="","Unassigned",CRM_Raw!G760)</f>
        <v>J. Murphy</v>
      </c>
      <c r="H760" s="0" t="str">
        <f aca="false">CRM_Raw!H760</f>
        <v>Closed Lost</v>
      </c>
      <c r="I760" s="10" t="n">
        <f aca="false">CRM_Raw!I760</f>
        <v>744.9</v>
      </c>
      <c r="J760" s="11" t="n">
        <f aca="false">CRM_Raw!J760</f>
        <v>0</v>
      </c>
      <c r="K760" s="10" t="n">
        <f aca="false">I760*(1-J760)</f>
        <v>744.9</v>
      </c>
      <c r="L760" s="12" t="n">
        <f aca="false">CRM_Raw!K760</f>
        <v>3</v>
      </c>
      <c r="M760" s="12" t="n">
        <f aca="false">IF(H760="Closed Won",1,0)</f>
        <v>0</v>
      </c>
    </row>
    <row r="761" customFormat="false" ht="15" hidden="false" customHeight="false" outlineLevel="0" collapsed="false">
      <c r="A761" s="0" t="str">
        <f aca="false">CRM_Raw!A761</f>
        <v>D-10757</v>
      </c>
      <c r="B761" s="0" t="str">
        <f aca="false">CRM_Raw!B761</f>
        <v>2026-05-26</v>
      </c>
      <c r="C761" s="0" t="n">
        <f aca="false">CRM_Raw!C761</f>
        <v>0</v>
      </c>
      <c r="D761" s="0" t="str">
        <f aca="false">IF(CRM_Raw!D761="DACH","DACH",IF(ISNUMBER(SEARCH("uk",CRM_Raw!D761)),"UK &amp; Ireland",PROPER(CRM_Raw!D761)))</f>
        <v>DACH</v>
      </c>
      <c r="E761" s="0" t="str">
        <f aca="false">CRM_Raw!E761</f>
        <v>Small Kitchen Appliances</v>
      </c>
      <c r="F761" s="0" t="str">
        <f aca="false">CRM_Raw!F761</f>
        <v>Web-shop Organic</v>
      </c>
      <c r="G761" s="0" t="str">
        <f aca="false">IF(TRIM(CRM_Raw!G761)="","Unassigned",CRM_Raw!G761)</f>
        <v>L. Dubois</v>
      </c>
      <c r="H761" s="0" t="str">
        <f aca="false">CRM_Raw!H761</f>
        <v>Negotiation</v>
      </c>
      <c r="I761" s="10" t="n">
        <f aca="false">CRM_Raw!I761</f>
        <v>276.98</v>
      </c>
      <c r="J761" s="11" t="n">
        <f aca="false">CRM_Raw!J761</f>
        <v>0.1</v>
      </c>
      <c r="K761" s="10" t="n">
        <f aca="false">I761*(1-J761)</f>
        <v>249.282</v>
      </c>
      <c r="L761" s="12" t="n">
        <f aca="false">CRM_Raw!K761</f>
        <v>0</v>
      </c>
      <c r="M761" s="12" t="n">
        <f aca="false">IF(H761="Closed Won",1,0)</f>
        <v>0</v>
      </c>
    </row>
    <row r="762" customFormat="false" ht="15" hidden="false" customHeight="false" outlineLevel="0" collapsed="false">
      <c r="A762" s="0" t="str">
        <f aca="false">CRM_Raw!A762</f>
        <v>D-10758</v>
      </c>
      <c r="B762" s="0" t="str">
        <f aca="false">CRM_Raw!B762</f>
        <v>2025-03-20</v>
      </c>
      <c r="C762" s="0" t="n">
        <f aca="false">CRM_Raw!C762</f>
        <v>0</v>
      </c>
      <c r="D762" s="0" t="str">
        <f aca="false">IF(CRM_Raw!D762="DACH","DACH",IF(ISNUMBER(SEARCH("uk",CRM_Raw!D762)),"UK &amp; Ireland",PROPER(CRM_Raw!D762)))</f>
        <v>Southern Europe</v>
      </c>
      <c r="E762" s="0" t="str">
        <f aca="false">CRM_Raw!E762</f>
        <v>Cordless Vacuums</v>
      </c>
      <c r="F762" s="0" t="str">
        <f aca="false">CRM_Raw!F762</f>
        <v>Web-shop Organic</v>
      </c>
      <c r="G762" s="0" t="str">
        <f aca="false">IF(TRIM(CRM_Raw!G762)="","Unassigned",CRM_Raw!G762)</f>
        <v>L. Dubois</v>
      </c>
      <c r="H762" s="0" t="str">
        <f aca="false">CRM_Raw!H762</f>
        <v>Negotiation</v>
      </c>
      <c r="I762" s="10" t="n">
        <f aca="false">CRM_Raw!I762</f>
        <v>734.95</v>
      </c>
      <c r="J762" s="11" t="n">
        <f aca="false">CRM_Raw!J762</f>
        <v>0.2</v>
      </c>
      <c r="K762" s="10" t="n">
        <f aca="false">I762*(1-J762)</f>
        <v>587.96</v>
      </c>
      <c r="L762" s="12" t="n">
        <f aca="false">CRM_Raw!K762</f>
        <v>0</v>
      </c>
      <c r="M762" s="12" t="n">
        <f aca="false">IF(H762="Closed Won",1,0)</f>
        <v>0</v>
      </c>
    </row>
    <row r="763" customFormat="false" ht="15" hidden="false" customHeight="false" outlineLevel="0" collapsed="false">
      <c r="A763" s="0" t="str">
        <f aca="false">CRM_Raw!A763</f>
        <v>D-10759</v>
      </c>
      <c r="B763" s="0" t="str">
        <f aca="false">CRM_Raw!B763</f>
        <v>2026-05-18</v>
      </c>
      <c r="C763" s="0" t="str">
        <f aca="false">CRM_Raw!C763</f>
        <v>2026-05-23</v>
      </c>
      <c r="D763" s="0" t="str">
        <f aca="false">IF(CRM_Raw!D763="DACH","DACH",IF(ISNUMBER(SEARCH("uk",CRM_Raw!D763)),"UK &amp; Ireland",PROPER(CRM_Raw!D763)))</f>
        <v>Benelux</v>
      </c>
      <c r="E763" s="0" t="str">
        <f aca="false">CRM_Raw!E763</f>
        <v>Coffee Systems</v>
      </c>
      <c r="F763" s="0" t="str">
        <f aca="false">CRM_Raw!F763</f>
        <v>Paid Search</v>
      </c>
      <c r="G763" s="0" t="str">
        <f aca="false">IF(TRIM(CRM_Raw!G763)="","Unassigned",CRM_Raw!G763)</f>
        <v>T. Wagner</v>
      </c>
      <c r="H763" s="0" t="str">
        <f aca="false">CRM_Raw!H763</f>
        <v>Closed Lost</v>
      </c>
      <c r="I763" s="10" t="n">
        <f aca="false">CRM_Raw!I763</f>
        <v>534.9</v>
      </c>
      <c r="J763" s="11" t="n">
        <f aca="false">CRM_Raw!J763</f>
        <v>0.2</v>
      </c>
      <c r="K763" s="10" t="n">
        <f aca="false">I763*(1-J763)</f>
        <v>427.92</v>
      </c>
      <c r="L763" s="12" t="n">
        <f aca="false">CRM_Raw!K763</f>
        <v>5</v>
      </c>
      <c r="M763" s="12" t="n">
        <f aca="false">IF(H763="Closed Won",1,0)</f>
        <v>0</v>
      </c>
    </row>
    <row r="764" customFormat="false" ht="15" hidden="false" customHeight="false" outlineLevel="0" collapsed="false">
      <c r="A764" s="0" t="str">
        <f aca="false">CRM_Raw!A764</f>
        <v>D-10760</v>
      </c>
      <c r="B764" s="0" t="str">
        <f aca="false">CRM_Raw!B764</f>
        <v>2026-01-28</v>
      </c>
      <c r="C764" s="0" t="str">
        <f aca="false">CRM_Raw!C764</f>
        <v>2026-02-13</v>
      </c>
      <c r="D764" s="0" t="str">
        <f aca="false">IF(CRM_Raw!D764="DACH","DACH",IF(ISNUMBER(SEARCH("uk",CRM_Raw!D764)),"UK &amp; Ireland",PROPER(CRM_Raw!D764)))</f>
        <v>DACH</v>
      </c>
      <c r="E764" s="0" t="str">
        <f aca="false">CRM_Raw!E764</f>
        <v>Dishwashers</v>
      </c>
      <c r="F764" s="0" t="str">
        <f aca="false">CRM_Raw!F764</f>
        <v>Retail Referral</v>
      </c>
      <c r="G764" s="0" t="str">
        <f aca="false">IF(TRIM(CRM_Raw!G764)="","Unassigned",CRM_Raw!G764)</f>
        <v>L. Dubois</v>
      </c>
      <c r="H764" s="0" t="str">
        <f aca="false">CRM_Raw!H764</f>
        <v>Closed Lost</v>
      </c>
      <c r="I764" s="10" t="n">
        <f aca="false">CRM_Raw!I764</f>
        <v>1567.15</v>
      </c>
      <c r="J764" s="11" t="n">
        <f aca="false">CRM_Raw!J764</f>
        <v>0.05</v>
      </c>
      <c r="K764" s="10" t="n">
        <f aca="false">I764*(1-J764)</f>
        <v>1488.7925</v>
      </c>
      <c r="L764" s="12" t="n">
        <f aca="false">CRM_Raw!K764</f>
        <v>16</v>
      </c>
      <c r="M764" s="12" t="n">
        <f aca="false">IF(H764="Closed Won",1,0)</f>
        <v>0</v>
      </c>
    </row>
    <row r="765" customFormat="false" ht="15" hidden="false" customHeight="false" outlineLevel="0" collapsed="false">
      <c r="A765" s="0" t="str">
        <f aca="false">CRM_Raw!A765</f>
        <v>D-10761</v>
      </c>
      <c r="B765" s="0" t="str">
        <f aca="false">CRM_Raw!B765</f>
        <v>2025-06-18</v>
      </c>
      <c r="C765" s="0" t="str">
        <f aca="false">CRM_Raw!C765</f>
        <v>2025-07-18</v>
      </c>
      <c r="D765" s="0" t="str">
        <f aca="false">IF(CRM_Raw!D765="DACH","DACH",IF(ISNUMBER(SEARCH("uk",CRM_Raw!D765)),"UK &amp; Ireland",PROPER(CRM_Raw!D765)))</f>
        <v>DACH</v>
      </c>
      <c r="E765" s="0" t="str">
        <f aca="false">CRM_Raw!E765</f>
        <v>Smart Ovens</v>
      </c>
      <c r="F765" s="0" t="str">
        <f aca="false">CRM_Raw!F765</f>
        <v>Web-shop Organic</v>
      </c>
      <c r="G765" s="0" t="str">
        <f aca="false">IF(TRIM(CRM_Raw!G765)="","Unassigned",CRM_Raw!G765)</f>
        <v>J. Murphy</v>
      </c>
      <c r="H765" s="0" t="str">
        <f aca="false">CRM_Raw!H765</f>
        <v>Closed Lost</v>
      </c>
      <c r="I765" s="10" t="n">
        <f aca="false">CRM_Raw!I765</f>
        <v>864.94</v>
      </c>
      <c r="J765" s="11" t="n">
        <f aca="false">CRM_Raw!J765</f>
        <v>0.1</v>
      </c>
      <c r="K765" s="10" t="n">
        <f aca="false">I765*(1-J765)</f>
        <v>778.446</v>
      </c>
      <c r="L765" s="12" t="n">
        <f aca="false">CRM_Raw!K765</f>
        <v>30</v>
      </c>
      <c r="M765" s="12" t="n">
        <f aca="false">IF(H765="Closed Won",1,0)</f>
        <v>0</v>
      </c>
    </row>
    <row r="766" customFormat="false" ht="15" hidden="false" customHeight="false" outlineLevel="0" collapsed="false">
      <c r="A766" s="0" t="str">
        <f aca="false">CRM_Raw!A766</f>
        <v>D-10762</v>
      </c>
      <c r="B766" s="0" t="str">
        <f aca="false">CRM_Raw!B766</f>
        <v>2026-05-03</v>
      </c>
      <c r="C766" s="0" t="str">
        <f aca="false">CRM_Raw!C766</f>
        <v>2026-06-01</v>
      </c>
      <c r="D766" s="0" t="str">
        <f aca="false">IF(CRM_Raw!D766="DACH","DACH",IF(ISNUMBER(SEARCH("uk",CRM_Raw!D766)),"UK &amp; Ireland",PROPER(CRM_Raw!D766)))</f>
        <v>Southern Europe</v>
      </c>
      <c r="E766" s="0" t="str">
        <f aca="false">CRM_Raw!E766</f>
        <v>Dishwashers</v>
      </c>
      <c r="F766" s="0" t="str">
        <f aca="false">CRM_Raw!F766</f>
        <v>Affiliate Partner</v>
      </c>
      <c r="G766" s="0" t="str">
        <f aca="false">IF(TRIM(CRM_Raw!G766)="","Unassigned",CRM_Raw!G766)</f>
        <v>T. Wagner</v>
      </c>
      <c r="H766" s="0" t="str">
        <f aca="false">CRM_Raw!H766</f>
        <v>Closed Lost</v>
      </c>
      <c r="I766" s="10" t="n">
        <f aca="false">CRM_Raw!I766</f>
        <v>663.58</v>
      </c>
      <c r="J766" s="11" t="n">
        <f aca="false">CRM_Raw!J766</f>
        <v>0.05</v>
      </c>
      <c r="K766" s="10" t="n">
        <f aca="false">I766*(1-J766)</f>
        <v>630.401</v>
      </c>
      <c r="L766" s="12" t="n">
        <f aca="false">CRM_Raw!K766</f>
        <v>31</v>
      </c>
      <c r="M766" s="12" t="n">
        <f aca="false">IF(H766="Closed Won",1,0)</f>
        <v>0</v>
      </c>
    </row>
    <row r="767" customFormat="false" ht="15" hidden="false" customHeight="false" outlineLevel="0" collapsed="false">
      <c r="A767" s="0" t="str">
        <f aca="false">CRM_Raw!A767</f>
        <v>D-10763</v>
      </c>
      <c r="B767" s="0" t="str">
        <f aca="false">CRM_Raw!B767</f>
        <v>2025-12-28</v>
      </c>
      <c r="C767" s="0" t="n">
        <f aca="false">CRM_Raw!C767</f>
        <v>0</v>
      </c>
      <c r="D767" s="0" t="str">
        <f aca="false">IF(CRM_Raw!D767="DACH","DACH",IF(ISNUMBER(SEARCH("uk",CRM_Raw!D767)),"UK &amp; Ireland",PROPER(CRM_Raw!D767)))</f>
        <v>France</v>
      </c>
      <c r="E767" s="0" t="str">
        <f aca="false">CRM_Raw!E767</f>
        <v>Dishwashers</v>
      </c>
      <c r="F767" s="0" t="str">
        <f aca="false">CRM_Raw!F767</f>
        <v>Social Media Ads</v>
      </c>
      <c r="G767" s="0" t="str">
        <f aca="false">IF(TRIM(CRM_Raw!G767)="","Unassigned",CRM_Raw!G767)</f>
        <v>K. Nilsson</v>
      </c>
      <c r="H767" s="0" t="str">
        <f aca="false">CRM_Raw!H767</f>
        <v>Proposal Sent</v>
      </c>
      <c r="I767" s="10" t="n">
        <f aca="false">CRM_Raw!I767</f>
        <v>685.65</v>
      </c>
      <c r="J767" s="11" t="n">
        <f aca="false">CRM_Raw!J767</f>
        <v>0</v>
      </c>
      <c r="K767" s="10" t="n">
        <f aca="false">I767*(1-J767)</f>
        <v>685.65</v>
      </c>
      <c r="L767" s="12" t="n">
        <f aca="false">CRM_Raw!K767</f>
        <v>0</v>
      </c>
      <c r="M767" s="12" t="n">
        <f aca="false">IF(H767="Closed Won",1,0)</f>
        <v>0</v>
      </c>
    </row>
    <row r="768" customFormat="false" ht="15" hidden="false" customHeight="false" outlineLevel="0" collapsed="false">
      <c r="A768" s="0" t="str">
        <f aca="false">CRM_Raw!A768</f>
        <v>D-10764</v>
      </c>
      <c r="B768" s="0" t="str">
        <f aca="false">CRM_Raw!B768</f>
        <v>2025-12-24</v>
      </c>
      <c r="C768" s="0" t="n">
        <f aca="false">CRM_Raw!C768</f>
        <v>0</v>
      </c>
      <c r="D768" s="0" t="str">
        <f aca="false">IF(CRM_Raw!D768="DACH","DACH",IF(ISNUMBER(SEARCH("uk",CRM_Raw!D768)),"UK &amp; Ireland",PROPER(CRM_Raw!D768)))</f>
        <v>Nordics</v>
      </c>
      <c r="E768" s="0" t="str">
        <f aca="false">CRM_Raw!E768</f>
        <v>Smart Ovens</v>
      </c>
      <c r="F768" s="0" t="str">
        <f aca="false">CRM_Raw!F768</f>
        <v>Web-shop Organic</v>
      </c>
      <c r="G768" s="0" t="str">
        <f aca="false">IF(TRIM(CRM_Raw!G768)="","Unassigned",CRM_Raw!G768)</f>
        <v>P. Rossi</v>
      </c>
      <c r="H768" s="0" t="str">
        <f aca="false">CRM_Raw!H768</f>
        <v>Proposal Sent</v>
      </c>
      <c r="I768" s="10" t="n">
        <f aca="false">CRM_Raw!I768</f>
        <v>884.9</v>
      </c>
      <c r="J768" s="11" t="n">
        <f aca="false">CRM_Raw!J768</f>
        <v>0.05</v>
      </c>
      <c r="K768" s="10" t="n">
        <f aca="false">I768*(1-J768)</f>
        <v>840.655</v>
      </c>
      <c r="L768" s="12" t="n">
        <f aca="false">CRM_Raw!K768</f>
        <v>0</v>
      </c>
      <c r="M768" s="12" t="n">
        <f aca="false">IF(H768="Closed Won",1,0)</f>
        <v>0</v>
      </c>
    </row>
    <row r="769" customFormat="false" ht="15" hidden="false" customHeight="false" outlineLevel="0" collapsed="false">
      <c r="A769" s="0" t="str">
        <f aca="false">CRM_Raw!A769</f>
        <v>D-10765</v>
      </c>
      <c r="B769" s="0" t="str">
        <f aca="false">CRM_Raw!B769</f>
        <v>2026-02-26</v>
      </c>
      <c r="C769" s="0" t="str">
        <f aca="false">CRM_Raw!C769</f>
        <v>2026-03-15</v>
      </c>
      <c r="D769" s="0" t="str">
        <f aca="false">IF(CRM_Raw!D769="DACH","DACH",IF(ISNUMBER(SEARCH("uk",CRM_Raw!D769)),"UK &amp; Ireland",PROPER(CRM_Raw!D769)))</f>
        <v>DACH</v>
      </c>
      <c r="E769" s="0" t="str">
        <f aca="false">CRM_Raw!E769</f>
        <v>Dishwashers</v>
      </c>
      <c r="F769" s="0" t="str">
        <f aca="false">CRM_Raw!F769</f>
        <v>Paid Search</v>
      </c>
      <c r="G769" s="0" t="str">
        <f aca="false">IF(TRIM(CRM_Raw!G769)="","Unassigned",CRM_Raw!G769)</f>
        <v>P. Rossi</v>
      </c>
      <c r="H769" s="0" t="str">
        <f aca="false">CRM_Raw!H769</f>
        <v>Closed Won</v>
      </c>
      <c r="I769" s="10" t="n">
        <f aca="false">CRM_Raw!I769</f>
        <v>2244.89</v>
      </c>
      <c r="J769" s="11" t="n">
        <f aca="false">CRM_Raw!J769</f>
        <v>0</v>
      </c>
      <c r="K769" s="10" t="n">
        <f aca="false">I769*(1-J769)</f>
        <v>2244.89</v>
      </c>
      <c r="L769" s="12" t="n">
        <f aca="false">CRM_Raw!K769</f>
        <v>17</v>
      </c>
      <c r="M769" s="12" t="n">
        <f aca="false">IF(H769="Closed Won",1,0)</f>
        <v>1</v>
      </c>
    </row>
    <row r="770" customFormat="false" ht="15" hidden="false" customHeight="false" outlineLevel="0" collapsed="false">
      <c r="A770" s="0" t="str">
        <f aca="false">CRM_Raw!A770</f>
        <v>D-10766</v>
      </c>
      <c r="B770" s="0" t="str">
        <f aca="false">CRM_Raw!B770</f>
        <v>2025-12-12</v>
      </c>
      <c r="C770" s="0" t="str">
        <f aca="false">CRM_Raw!C770</f>
        <v>2025-12-27</v>
      </c>
      <c r="D770" s="0" t="str">
        <f aca="false">IF(CRM_Raw!D770="DACH","DACH",IF(ISNUMBER(SEARCH("uk",CRM_Raw!D770)),"UK &amp; Ireland",PROPER(CRM_Raw!D770)))</f>
        <v>Southern Europe</v>
      </c>
      <c r="E770" s="0" t="str">
        <f aca="false">CRM_Raw!E770</f>
        <v>Smart Ovens</v>
      </c>
      <c r="F770" s="0" t="str">
        <f aca="false">CRM_Raw!F770</f>
        <v>Retail Referral</v>
      </c>
      <c r="G770" s="0" t="str">
        <f aca="false">IF(TRIM(CRM_Raw!G770)="","Unassigned",CRM_Raw!G770)</f>
        <v>L. Dubois</v>
      </c>
      <c r="H770" s="0" t="str">
        <f aca="false">CRM_Raw!H770</f>
        <v>Closed Won</v>
      </c>
      <c r="I770" s="10" t="n">
        <f aca="false">CRM_Raw!I770</f>
        <v>875.48</v>
      </c>
      <c r="J770" s="11" t="n">
        <f aca="false">CRM_Raw!J770</f>
        <v>0.05</v>
      </c>
      <c r="K770" s="10" t="n">
        <f aca="false">I770*(1-J770)</f>
        <v>831.706</v>
      </c>
      <c r="L770" s="12" t="n">
        <f aca="false">CRM_Raw!K770</f>
        <v>15</v>
      </c>
      <c r="M770" s="12" t="n">
        <f aca="false">IF(H770="Closed Won",1,0)</f>
        <v>1</v>
      </c>
    </row>
    <row r="771" customFormat="false" ht="15" hidden="false" customHeight="false" outlineLevel="0" collapsed="false">
      <c r="A771" s="0" t="str">
        <f aca="false">CRM_Raw!A771</f>
        <v>D-10767</v>
      </c>
      <c r="B771" s="0" t="str">
        <f aca="false">CRM_Raw!B771</f>
        <v>2025-10-01</v>
      </c>
      <c r="C771" s="0" t="str">
        <f aca="false">CRM_Raw!C771</f>
        <v>2025-10-20</v>
      </c>
      <c r="D771" s="0" t="str">
        <f aca="false">IF(CRM_Raw!D771="DACH","DACH",IF(ISNUMBER(SEARCH("uk",CRM_Raw!D771)),"UK &amp; Ireland",PROPER(CRM_Raw!D771)))</f>
        <v>Southern Europe</v>
      </c>
      <c r="E771" s="0" t="str">
        <f aca="false">CRM_Raw!E771</f>
        <v>Dishwashers</v>
      </c>
      <c r="F771" s="0" t="str">
        <f aca="false">CRM_Raw!F771</f>
        <v>Social Media Ads</v>
      </c>
      <c r="G771" s="0" t="str">
        <f aca="false">IF(TRIM(CRM_Raw!G771)="","Unassigned",CRM_Raw!G771)</f>
        <v>K. Nilsson</v>
      </c>
      <c r="H771" s="0" t="str">
        <f aca="false">CRM_Raw!H771</f>
        <v>Closed Won</v>
      </c>
      <c r="I771" s="10" t="n">
        <f aca="false">CRM_Raw!I771</f>
        <v>2073.53</v>
      </c>
      <c r="J771" s="11" t="n">
        <f aca="false">CRM_Raw!J771</f>
        <v>0.05</v>
      </c>
      <c r="K771" s="10" t="n">
        <f aca="false">I771*(1-J771)</f>
        <v>1969.8535</v>
      </c>
      <c r="L771" s="12" t="n">
        <f aca="false">CRM_Raw!K771</f>
        <v>19</v>
      </c>
      <c r="M771" s="12" t="n">
        <f aca="false">IF(H771="Closed Won",1,0)</f>
        <v>1</v>
      </c>
    </row>
    <row r="772" customFormat="false" ht="15" hidden="false" customHeight="false" outlineLevel="0" collapsed="false">
      <c r="A772" s="0" t="str">
        <f aca="false">CRM_Raw!A772</f>
        <v>D-10768</v>
      </c>
      <c r="B772" s="0" t="str">
        <f aca="false">CRM_Raw!B772</f>
        <v>2025-04-13</v>
      </c>
      <c r="C772" s="0" t="n">
        <f aca="false">CRM_Raw!C772</f>
        <v>0</v>
      </c>
      <c r="D772" s="0" t="str">
        <f aca="false">IF(CRM_Raw!D772="DACH","DACH",IF(ISNUMBER(SEARCH("uk",CRM_Raw!D772)),"UK &amp; Ireland",PROPER(CRM_Raw!D772)))</f>
        <v>France</v>
      </c>
      <c r="E772" s="0" t="str">
        <f aca="false">CRM_Raw!E772</f>
        <v>Washing Machines</v>
      </c>
      <c r="F772" s="0" t="str">
        <f aca="false">CRM_Raw!F772</f>
        <v>Web-shop Organic</v>
      </c>
      <c r="G772" s="0" t="str">
        <f aca="false">IF(TRIM(CRM_Raw!G772)="","Unassigned",CRM_Raw!G772)</f>
        <v>T. Wagner</v>
      </c>
      <c r="H772" s="0" t="str">
        <f aca="false">CRM_Raw!H772</f>
        <v>Negotiation</v>
      </c>
      <c r="I772" s="10" t="n">
        <f aca="false">CRM_Raw!I772</f>
        <v>1254.51</v>
      </c>
      <c r="J772" s="11" t="n">
        <f aca="false">CRM_Raw!J772</f>
        <v>0.1</v>
      </c>
      <c r="K772" s="10" t="n">
        <f aca="false">I772*(1-J772)</f>
        <v>1129.059</v>
      </c>
      <c r="L772" s="12" t="n">
        <f aca="false">CRM_Raw!K772</f>
        <v>0</v>
      </c>
      <c r="M772" s="12" t="n">
        <f aca="false">IF(H772="Closed Won",1,0)</f>
        <v>0</v>
      </c>
    </row>
    <row r="773" customFormat="false" ht="15" hidden="false" customHeight="false" outlineLevel="0" collapsed="false">
      <c r="A773" s="0" t="str">
        <f aca="false">CRM_Raw!A773</f>
        <v>D-10769</v>
      </c>
      <c r="B773" s="0" t="str">
        <f aca="false">CRM_Raw!B773</f>
        <v>2026-01-08</v>
      </c>
      <c r="C773" s="0" t="n">
        <f aca="false">CRM_Raw!C773</f>
        <v>0</v>
      </c>
      <c r="D773" s="0" t="str">
        <f aca="false">IF(CRM_Raw!D773="DACH","DACH",IF(ISNUMBER(SEARCH("uk",CRM_Raw!D773)),"UK &amp; Ireland",PROPER(CRM_Raw!D773)))</f>
        <v>North America</v>
      </c>
      <c r="E773" s="0" t="str">
        <f aca="false">CRM_Raw!E773</f>
        <v>Small Kitchen Appliances</v>
      </c>
      <c r="F773" s="0" t="str">
        <f aca="false">CRM_Raw!F773</f>
        <v>Paid Search</v>
      </c>
      <c r="G773" s="0" t="str">
        <f aca="false">IF(TRIM(CRM_Raw!G773)="","Unassigned",CRM_Raw!G773)</f>
        <v>J. Murphy</v>
      </c>
      <c r="H773" s="0" t="str">
        <f aca="false">CRM_Raw!H773</f>
        <v>Qualified</v>
      </c>
      <c r="I773" s="10" t="n">
        <f aca="false">CRM_Raw!I773</f>
        <v>115.64</v>
      </c>
      <c r="J773" s="11" t="n">
        <f aca="false">CRM_Raw!J773</f>
        <v>0.2</v>
      </c>
      <c r="K773" s="10" t="n">
        <f aca="false">I773*(1-J773)</f>
        <v>92.512</v>
      </c>
      <c r="L773" s="12" t="n">
        <f aca="false">CRM_Raw!K773</f>
        <v>0</v>
      </c>
      <c r="M773" s="12" t="n">
        <f aca="false">IF(H773="Closed Won",1,0)</f>
        <v>0</v>
      </c>
    </row>
    <row r="774" customFormat="false" ht="15" hidden="false" customHeight="false" outlineLevel="0" collapsed="false">
      <c r="A774" s="0" t="str">
        <f aca="false">CRM_Raw!A774</f>
        <v>D-10770</v>
      </c>
      <c r="B774" s="0" t="str">
        <f aca="false">CRM_Raw!B774</f>
        <v>2025-02-18</v>
      </c>
      <c r="C774" s="0" t="str">
        <f aca="false">CRM_Raw!C774</f>
        <v>2025-03-11</v>
      </c>
      <c r="D774" s="0" t="str">
        <f aca="false">IF(CRM_Raw!D774="DACH","DACH",IF(ISNUMBER(SEARCH("uk",CRM_Raw!D774)),"UK &amp; Ireland",PROPER(CRM_Raw!D774)))</f>
        <v>North America</v>
      </c>
      <c r="E774" s="0" t="str">
        <f aca="false">CRM_Raw!E774</f>
        <v>Washing Machines</v>
      </c>
      <c r="F774" s="0" t="str">
        <f aca="false">CRM_Raw!F774</f>
        <v>Web-shop Organic</v>
      </c>
      <c r="G774" s="0" t="str">
        <f aca="false">IF(TRIM(CRM_Raw!G774)="","Unassigned",CRM_Raw!G774)</f>
        <v>J. Murphy</v>
      </c>
      <c r="H774" s="0" t="str">
        <f aca="false">CRM_Raw!H774</f>
        <v>Closed Won</v>
      </c>
      <c r="I774" s="10" t="n">
        <f aca="false">CRM_Raw!I774</f>
        <v>686.35</v>
      </c>
      <c r="J774" s="11" t="n">
        <f aca="false">CRM_Raw!J774</f>
        <v>0.1</v>
      </c>
      <c r="K774" s="10" t="n">
        <f aca="false">I774*(1-J774)</f>
        <v>617.715</v>
      </c>
      <c r="L774" s="12" t="n">
        <f aca="false">CRM_Raw!K774</f>
        <v>21</v>
      </c>
      <c r="M774" s="12" t="n">
        <f aca="false">IF(H774="Closed Won",1,0)</f>
        <v>1</v>
      </c>
    </row>
    <row r="775" customFormat="false" ht="15" hidden="false" customHeight="false" outlineLevel="0" collapsed="false">
      <c r="A775" s="0" t="str">
        <f aca="false">CRM_Raw!A775</f>
        <v>D-10771</v>
      </c>
      <c r="B775" s="0" t="str">
        <f aca="false">CRM_Raw!B775</f>
        <v>2025-12-11</v>
      </c>
      <c r="C775" s="0" t="str">
        <f aca="false">CRM_Raw!C775</f>
        <v>2025-12-21</v>
      </c>
      <c r="D775" s="0" t="str">
        <f aca="false">IF(CRM_Raw!D775="DACH","DACH",IF(ISNUMBER(SEARCH("uk",CRM_Raw!D775)),"UK &amp; Ireland",PROPER(CRM_Raw!D775)))</f>
        <v>Southern Europe</v>
      </c>
      <c r="E775" s="0" t="str">
        <f aca="false">CRM_Raw!E775</f>
        <v>Smart Ovens</v>
      </c>
      <c r="F775" s="0" t="str">
        <f aca="false">CRM_Raw!F775</f>
        <v>Affiliate Partner</v>
      </c>
      <c r="G775" s="0" t="str">
        <f aca="false">IF(TRIM(CRM_Raw!G775)="","Unassigned",CRM_Raw!G775)</f>
        <v>L. Dubois</v>
      </c>
      <c r="H775" s="0" t="str">
        <f aca="false">CRM_Raw!H775</f>
        <v>Closed Won</v>
      </c>
      <c r="I775" s="10" t="n">
        <f aca="false">CRM_Raw!I775</f>
        <v>852.46</v>
      </c>
      <c r="J775" s="11" t="n">
        <f aca="false">CRM_Raw!J775</f>
        <v>0.2</v>
      </c>
      <c r="K775" s="10" t="n">
        <f aca="false">I775*(1-J775)</f>
        <v>681.968</v>
      </c>
      <c r="L775" s="12" t="n">
        <f aca="false">CRM_Raw!K775</f>
        <v>10</v>
      </c>
      <c r="M775" s="12" t="n">
        <f aca="false">IF(H775="Closed Won",1,0)</f>
        <v>1</v>
      </c>
    </row>
    <row r="776" customFormat="false" ht="15" hidden="false" customHeight="false" outlineLevel="0" collapsed="false">
      <c r="A776" s="0" t="str">
        <f aca="false">CRM_Raw!A776</f>
        <v>D-10772</v>
      </c>
      <c r="B776" s="0" t="str">
        <f aca="false">CRM_Raw!B776</f>
        <v>2026-03-20</v>
      </c>
      <c r="C776" s="0" t="n">
        <f aca="false">CRM_Raw!C776</f>
        <v>0</v>
      </c>
      <c r="D776" s="0" t="str">
        <f aca="false">IF(CRM_Raw!D776="DACH","DACH",IF(ISNUMBER(SEARCH("uk",CRM_Raw!D776)),"UK &amp; Ireland",PROPER(CRM_Raw!D776)))</f>
        <v>DACH</v>
      </c>
      <c r="E776" s="0" t="str">
        <f aca="false">CRM_Raw!E776</f>
        <v>Small Kitchen Appliances</v>
      </c>
      <c r="F776" s="0" t="str">
        <f aca="false">CRM_Raw!F776</f>
        <v>Email Campaign</v>
      </c>
      <c r="G776" s="0" t="str">
        <f aca="false">IF(TRIM(CRM_Raw!G776)="","Unassigned",CRM_Raw!G776)</f>
        <v>J. Murphy</v>
      </c>
      <c r="H776" s="0" t="str">
        <f aca="false">CRM_Raw!H776</f>
        <v>Negotiation</v>
      </c>
      <c r="I776" s="10" t="n">
        <f aca="false">CRM_Raw!I776</f>
        <v>237.89</v>
      </c>
      <c r="J776" s="11" t="n">
        <f aca="false">CRM_Raw!J776</f>
        <v>0.05</v>
      </c>
      <c r="K776" s="10" t="n">
        <f aca="false">I776*(1-J776)</f>
        <v>225.9955</v>
      </c>
      <c r="L776" s="12" t="n">
        <f aca="false">CRM_Raw!K776</f>
        <v>0</v>
      </c>
      <c r="M776" s="12" t="n">
        <f aca="false">IF(H776="Closed Won",1,0)</f>
        <v>0</v>
      </c>
    </row>
    <row r="777" customFormat="false" ht="15" hidden="false" customHeight="false" outlineLevel="0" collapsed="false">
      <c r="A777" s="0" t="str">
        <f aca="false">CRM_Raw!A777</f>
        <v>D-10773</v>
      </c>
      <c r="B777" s="0" t="str">
        <f aca="false">CRM_Raw!B777</f>
        <v>2025-01-20</v>
      </c>
      <c r="C777" s="0" t="str">
        <f aca="false">CRM_Raw!C777</f>
        <v>2025-02-05</v>
      </c>
      <c r="D777" s="0" t="str">
        <f aca="false">IF(CRM_Raw!D777="DACH","DACH",IF(ISNUMBER(SEARCH("uk",CRM_Raw!D777)),"UK &amp; Ireland",PROPER(CRM_Raw!D777)))</f>
        <v>France</v>
      </c>
      <c r="E777" s="0" t="str">
        <f aca="false">CRM_Raw!E777</f>
        <v>Washing Machines</v>
      </c>
      <c r="F777" s="0" t="str">
        <f aca="false">CRM_Raw!F777</f>
        <v>Social Media Ads</v>
      </c>
      <c r="G777" s="0" t="str">
        <f aca="false">IF(TRIM(CRM_Raw!G777)="","Unassigned",CRM_Raw!G777)</f>
        <v>M. Hoffmann</v>
      </c>
      <c r="H777" s="0" t="str">
        <f aca="false">CRM_Raw!H777</f>
        <v>Closed Lost</v>
      </c>
      <c r="I777" s="10" t="n">
        <f aca="false">CRM_Raw!I777</f>
        <v>677.14</v>
      </c>
      <c r="J777" s="11" t="n">
        <f aca="false">CRM_Raw!J777</f>
        <v>0.1</v>
      </c>
      <c r="K777" s="10" t="n">
        <f aca="false">I777*(1-J777)</f>
        <v>609.426</v>
      </c>
      <c r="L777" s="12" t="n">
        <f aca="false">CRM_Raw!K777</f>
        <v>16</v>
      </c>
      <c r="M777" s="12" t="n">
        <f aca="false">IF(H777="Closed Won",1,0)</f>
        <v>0</v>
      </c>
    </row>
    <row r="778" customFormat="false" ht="15" hidden="false" customHeight="false" outlineLevel="0" collapsed="false">
      <c r="A778" s="0" t="str">
        <f aca="false">CRM_Raw!A778</f>
        <v>D-10774</v>
      </c>
      <c r="B778" s="0" t="str">
        <f aca="false">CRM_Raw!B778</f>
        <v>2025-10-02</v>
      </c>
      <c r="C778" s="0" t="n">
        <f aca="false">CRM_Raw!C778</f>
        <v>0</v>
      </c>
      <c r="D778" s="0" t="str">
        <f aca="false">IF(CRM_Raw!D778="DACH","DACH",IF(ISNUMBER(SEARCH("uk",CRM_Raw!D778)),"UK &amp; Ireland",PROPER(CRM_Raw!D778)))</f>
        <v>Benelux</v>
      </c>
      <c r="E778" s="0" t="str">
        <f aca="false">CRM_Raw!E778</f>
        <v>Coffee Systems</v>
      </c>
      <c r="F778" s="0" t="str">
        <f aca="false">CRM_Raw!F778</f>
        <v>Affiliate Partner</v>
      </c>
      <c r="G778" s="0" t="str">
        <f aca="false">IF(TRIM(CRM_Raw!G778)="","Unassigned",CRM_Raw!G778)</f>
        <v>T. Wagner</v>
      </c>
      <c r="H778" s="0" t="str">
        <f aca="false">CRM_Raw!H778</f>
        <v>Qualified</v>
      </c>
      <c r="I778" s="10" t="n">
        <f aca="false">CRM_Raw!I778</f>
        <v>1601.75</v>
      </c>
      <c r="J778" s="11" t="n">
        <f aca="false">CRM_Raw!J778</f>
        <v>0.2</v>
      </c>
      <c r="K778" s="10" t="n">
        <f aca="false">I778*(1-J778)</f>
        <v>1281.4</v>
      </c>
      <c r="L778" s="12" t="n">
        <f aca="false">CRM_Raw!K778</f>
        <v>0</v>
      </c>
      <c r="M778" s="12" t="n">
        <f aca="false">IF(H778="Closed Won",1,0)</f>
        <v>0</v>
      </c>
    </row>
    <row r="779" customFormat="false" ht="15" hidden="false" customHeight="false" outlineLevel="0" collapsed="false">
      <c r="A779" s="0" t="str">
        <f aca="false">CRM_Raw!A779</f>
        <v>D-10775</v>
      </c>
      <c r="B779" s="0" t="str">
        <f aca="false">CRM_Raw!B779</f>
        <v>2025-07-25</v>
      </c>
      <c r="C779" s="0" t="str">
        <f aca="false">CRM_Raw!C779</f>
        <v>2025-08-18</v>
      </c>
      <c r="D779" s="0" t="str">
        <f aca="false">IF(CRM_Raw!D779="DACH","DACH",IF(ISNUMBER(SEARCH("uk",CRM_Raw!D779)),"UK &amp; Ireland",PROPER(CRM_Raw!D779)))</f>
        <v>North America</v>
      </c>
      <c r="E779" s="0" t="str">
        <f aca="false">CRM_Raw!E779</f>
        <v>Dishwashers</v>
      </c>
      <c r="F779" s="0" t="str">
        <f aca="false">CRM_Raw!F779</f>
        <v>Retail Referral</v>
      </c>
      <c r="G779" s="0" t="str">
        <f aca="false">IF(TRIM(CRM_Raw!G779)="","Unassigned",CRM_Raw!G779)</f>
        <v>A. Becker</v>
      </c>
      <c r="H779" s="0" t="str">
        <f aca="false">CRM_Raw!H779</f>
        <v>Closed Won</v>
      </c>
      <c r="I779" s="10" t="n">
        <f aca="false">CRM_Raw!I779</f>
        <v>754.71</v>
      </c>
      <c r="J779" s="11" t="n">
        <f aca="false">CRM_Raw!J779</f>
        <v>0.2</v>
      </c>
      <c r="K779" s="10" t="n">
        <f aca="false">I779*(1-J779)</f>
        <v>603.768</v>
      </c>
      <c r="L779" s="12" t="n">
        <f aca="false">CRM_Raw!K779</f>
        <v>24</v>
      </c>
      <c r="M779" s="12" t="n">
        <f aca="false">IF(H779="Closed Won",1,0)</f>
        <v>1</v>
      </c>
    </row>
    <row r="780" customFormat="false" ht="15" hidden="false" customHeight="false" outlineLevel="0" collapsed="false">
      <c r="A780" s="0" t="str">
        <f aca="false">CRM_Raw!A780</f>
        <v>D-10776</v>
      </c>
      <c r="B780" s="0" t="str">
        <f aca="false">CRM_Raw!B780</f>
        <v>2025-07-28</v>
      </c>
      <c r="C780" s="0" t="n">
        <f aca="false">CRM_Raw!C780</f>
        <v>0</v>
      </c>
      <c r="D780" s="0" t="str">
        <f aca="false">IF(CRM_Raw!D780="DACH","DACH",IF(ISNUMBER(SEARCH("uk",CRM_Raw!D780)),"UK &amp; Ireland",PROPER(CRM_Raw!D780)))</f>
        <v>Benelux</v>
      </c>
      <c r="E780" s="0" t="str">
        <f aca="false">CRM_Raw!E780</f>
        <v>Dishwashers</v>
      </c>
      <c r="F780" s="0" t="str">
        <f aca="false">CRM_Raw!F780</f>
        <v>Paid Search</v>
      </c>
      <c r="G780" s="0" t="str">
        <f aca="false">IF(TRIM(CRM_Raw!G780)="","Unassigned",CRM_Raw!G780)</f>
        <v>L. Dubois</v>
      </c>
      <c r="H780" s="0" t="str">
        <f aca="false">CRM_Raw!H780</f>
        <v>Proposal Sent</v>
      </c>
      <c r="I780" s="10" t="n">
        <f aca="false">CRM_Raw!I780</f>
        <v>682.63</v>
      </c>
      <c r="J780" s="11" t="n">
        <f aca="false">CRM_Raw!J780</f>
        <v>0.15</v>
      </c>
      <c r="K780" s="10" t="n">
        <f aca="false">I780*(1-J780)</f>
        <v>580.2355</v>
      </c>
      <c r="L780" s="12" t="n">
        <f aca="false">CRM_Raw!K780</f>
        <v>0</v>
      </c>
      <c r="M780" s="12" t="n">
        <f aca="false">IF(H780="Closed Won",1,0)</f>
        <v>0</v>
      </c>
    </row>
    <row r="781" customFormat="false" ht="15" hidden="false" customHeight="false" outlineLevel="0" collapsed="false">
      <c r="A781" s="0" t="str">
        <f aca="false">CRM_Raw!A781</f>
        <v>D-10777</v>
      </c>
      <c r="B781" s="0" t="str">
        <f aca="false">CRM_Raw!B781</f>
        <v>2026-02-20</v>
      </c>
      <c r="C781" s="0" t="str">
        <f aca="false">CRM_Raw!C781</f>
        <v>2026-03-17</v>
      </c>
      <c r="D781" s="0" t="str">
        <f aca="false">IF(CRM_Raw!D781="DACH","DACH",IF(ISNUMBER(SEARCH("uk",CRM_Raw!D781)),"UK &amp; Ireland",PROPER(CRM_Raw!D781)))</f>
        <v>UK &amp; Ireland</v>
      </c>
      <c r="E781" s="0" t="str">
        <f aca="false">CRM_Raw!E781</f>
        <v>Cordless Vacuums</v>
      </c>
      <c r="F781" s="0" t="str">
        <f aca="false">CRM_Raw!F781</f>
        <v>Affiliate Partner</v>
      </c>
      <c r="G781" s="0" t="str">
        <f aca="false">IF(TRIM(CRM_Raw!G781)="","Unassigned",CRM_Raw!G781)</f>
        <v>S. Andersson</v>
      </c>
      <c r="H781" s="0" t="str">
        <f aca="false">CRM_Raw!H781</f>
        <v>Closed Won</v>
      </c>
      <c r="I781" s="10" t="n">
        <f aca="false">CRM_Raw!I781</f>
        <v>335.22</v>
      </c>
      <c r="J781" s="11" t="n">
        <f aca="false">CRM_Raw!J781</f>
        <v>0</v>
      </c>
      <c r="K781" s="10" t="n">
        <f aca="false">I781*(1-J781)</f>
        <v>335.22</v>
      </c>
      <c r="L781" s="12" t="n">
        <f aca="false">CRM_Raw!K781</f>
        <v>25</v>
      </c>
      <c r="M781" s="12" t="n">
        <f aca="false">IF(H781="Closed Won",1,0)</f>
        <v>1</v>
      </c>
    </row>
    <row r="782" customFormat="false" ht="15" hidden="false" customHeight="false" outlineLevel="0" collapsed="false">
      <c r="A782" s="0" t="str">
        <f aca="false">CRM_Raw!A782</f>
        <v>D-10778</v>
      </c>
      <c r="B782" s="0" t="str">
        <f aca="false">CRM_Raw!B782</f>
        <v>2026-03-09</v>
      </c>
      <c r="C782" s="0" t="n">
        <f aca="false">CRM_Raw!C782</f>
        <v>0</v>
      </c>
      <c r="D782" s="0" t="str">
        <f aca="false">IF(CRM_Raw!D782="DACH","DACH",IF(ISNUMBER(SEARCH("uk",CRM_Raw!D782)),"UK &amp; Ireland",PROPER(CRM_Raw!D782)))</f>
        <v>North America</v>
      </c>
      <c r="E782" s="0" t="str">
        <f aca="false">CRM_Raw!E782</f>
        <v>Cordless Vacuums</v>
      </c>
      <c r="F782" s="0" t="str">
        <f aca="false">CRM_Raw!F782</f>
        <v>Social Media Ads</v>
      </c>
      <c r="G782" s="0" t="str">
        <f aca="false">IF(TRIM(CRM_Raw!G782)="","Unassigned",CRM_Raw!G782)</f>
        <v>K. Nilsson</v>
      </c>
      <c r="H782" s="0" t="str">
        <f aca="false">CRM_Raw!H782</f>
        <v>Negotiation</v>
      </c>
      <c r="I782" s="10" t="n">
        <f aca="false">CRM_Raw!I782</f>
        <v>325.38</v>
      </c>
      <c r="J782" s="11" t="n">
        <f aca="false">CRM_Raw!J782</f>
        <v>0</v>
      </c>
      <c r="K782" s="10" t="n">
        <f aca="false">I782*(1-J782)</f>
        <v>325.38</v>
      </c>
      <c r="L782" s="12" t="n">
        <f aca="false">CRM_Raw!K782</f>
        <v>0</v>
      </c>
      <c r="M782" s="12" t="n">
        <f aca="false">IF(H782="Closed Won",1,0)</f>
        <v>0</v>
      </c>
    </row>
    <row r="783" customFormat="false" ht="15" hidden="false" customHeight="false" outlineLevel="0" collapsed="false">
      <c r="A783" s="0" t="str">
        <f aca="false">CRM_Raw!A783</f>
        <v>D-10779</v>
      </c>
      <c r="B783" s="0" t="str">
        <f aca="false">CRM_Raw!B783</f>
        <v>2025-06-30</v>
      </c>
      <c r="C783" s="0" t="n">
        <f aca="false">CRM_Raw!C783</f>
        <v>0</v>
      </c>
      <c r="D783" s="0" t="str">
        <f aca="false">IF(CRM_Raw!D783="DACH","DACH",IF(ISNUMBER(SEARCH("uk",CRM_Raw!D783)),"UK &amp; Ireland",PROPER(CRM_Raw!D783)))</f>
        <v>UK &amp; Ireland</v>
      </c>
      <c r="E783" s="0" t="str">
        <f aca="false">CRM_Raw!E783</f>
        <v>Smart Ovens</v>
      </c>
      <c r="F783" s="0" t="str">
        <f aca="false">CRM_Raw!F783</f>
        <v>Paid Search</v>
      </c>
      <c r="G783" s="0" t="str">
        <f aca="false">IF(TRIM(CRM_Raw!G783)="","Unassigned",CRM_Raw!G783)</f>
        <v>J. Murphy</v>
      </c>
      <c r="H783" s="0" t="str">
        <f aca="false">CRM_Raw!H783</f>
        <v>Negotiation</v>
      </c>
      <c r="I783" s="10" t="n">
        <f aca="false">CRM_Raw!I783</f>
        <v>1545.76</v>
      </c>
      <c r="J783" s="11" t="n">
        <f aca="false">CRM_Raw!J783</f>
        <v>0.2</v>
      </c>
      <c r="K783" s="10" t="n">
        <f aca="false">I783*(1-J783)</f>
        <v>1236.608</v>
      </c>
      <c r="L783" s="12" t="n">
        <f aca="false">CRM_Raw!K783</f>
        <v>0</v>
      </c>
      <c r="M783" s="12" t="n">
        <f aca="false">IF(H783="Closed Won",1,0)</f>
        <v>0</v>
      </c>
    </row>
    <row r="784" customFormat="false" ht="15" hidden="false" customHeight="false" outlineLevel="0" collapsed="false">
      <c r="A784" s="0" t="str">
        <f aca="false">CRM_Raw!A784</f>
        <v>D-10780</v>
      </c>
      <c r="B784" s="0" t="str">
        <f aca="false">CRM_Raw!B784</f>
        <v>2025-11-18</v>
      </c>
      <c r="C784" s="0" t="str">
        <f aca="false">CRM_Raw!C784</f>
        <v>2025-12-21</v>
      </c>
      <c r="D784" s="0" t="str">
        <f aca="false">IF(CRM_Raw!D784="DACH","DACH",IF(ISNUMBER(SEARCH("uk",CRM_Raw!D784)),"UK &amp; Ireland",PROPER(CRM_Raw!D784)))</f>
        <v>DACH</v>
      </c>
      <c r="E784" s="0" t="str">
        <f aca="false">CRM_Raw!E784</f>
        <v>Smart Ovens</v>
      </c>
      <c r="F784" s="0" t="str">
        <f aca="false">CRM_Raw!F784</f>
        <v>Retail Referral</v>
      </c>
      <c r="G784" s="0" t="str">
        <f aca="false">IF(TRIM(CRM_Raw!G784)="","Unassigned",CRM_Raw!G784)</f>
        <v>L. Dubois</v>
      </c>
      <c r="H784" s="0" t="str">
        <f aca="false">CRM_Raw!H784</f>
        <v>Closed Lost</v>
      </c>
      <c r="I784" s="10" t="n">
        <f aca="false">CRM_Raw!I784</f>
        <v>848.31</v>
      </c>
      <c r="J784" s="11" t="n">
        <f aca="false">CRM_Raw!J784</f>
        <v>0.15</v>
      </c>
      <c r="K784" s="10" t="n">
        <f aca="false">I784*(1-J784)</f>
        <v>721.0635</v>
      </c>
      <c r="L784" s="12" t="n">
        <f aca="false">CRM_Raw!K784</f>
        <v>33</v>
      </c>
      <c r="M784" s="12" t="n">
        <f aca="false">IF(H784="Closed Won",1,0)</f>
        <v>0</v>
      </c>
    </row>
    <row r="785" customFormat="false" ht="15" hidden="false" customHeight="false" outlineLevel="0" collapsed="false">
      <c r="A785" s="0" t="str">
        <f aca="false">CRM_Raw!A785</f>
        <v>D-10781</v>
      </c>
      <c r="B785" s="0" t="str">
        <f aca="false">CRM_Raw!B785</f>
        <v>2025-08-30</v>
      </c>
      <c r="C785" s="0" t="str">
        <f aca="false">CRM_Raw!C785</f>
        <v>2025-09-05</v>
      </c>
      <c r="D785" s="0" t="str">
        <f aca="false">IF(CRM_Raw!D785="DACH","DACH",IF(ISNUMBER(SEARCH("uk",CRM_Raw!D785)),"UK &amp; Ireland",PROPER(CRM_Raw!D785)))</f>
        <v>Southern Europe</v>
      </c>
      <c r="E785" s="0" t="str">
        <f aca="false">CRM_Raw!E785</f>
        <v>Smart Ovens</v>
      </c>
      <c r="F785" s="0" t="str">
        <f aca="false">CRM_Raw!F785</f>
        <v>Paid Search</v>
      </c>
      <c r="G785" s="0" t="str">
        <f aca="false">IF(TRIM(CRM_Raw!G785)="","Unassigned",CRM_Raw!G785)</f>
        <v>M. Hoffmann</v>
      </c>
      <c r="H785" s="0" t="str">
        <f aca="false">CRM_Raw!H785</f>
        <v>Closed Won</v>
      </c>
      <c r="I785" s="10" t="n">
        <f aca="false">CRM_Raw!I785</f>
        <v>916.02</v>
      </c>
      <c r="J785" s="11" t="n">
        <f aca="false">CRM_Raw!J785</f>
        <v>0.1</v>
      </c>
      <c r="K785" s="10" t="n">
        <f aca="false">I785*(1-J785)</f>
        <v>824.418</v>
      </c>
      <c r="L785" s="12" t="n">
        <f aca="false">CRM_Raw!K785</f>
        <v>6</v>
      </c>
      <c r="M785" s="12" t="n">
        <f aca="false">IF(H785="Closed Won",1,0)</f>
        <v>1</v>
      </c>
    </row>
    <row r="786" customFormat="false" ht="15" hidden="false" customHeight="false" outlineLevel="0" collapsed="false">
      <c r="A786" s="0" t="str">
        <f aca="false">CRM_Raw!A786</f>
        <v>D-10782</v>
      </c>
      <c r="B786" s="0" t="str">
        <f aca="false">CRM_Raw!B786</f>
        <v>2026-05-24</v>
      </c>
      <c r="C786" s="0" t="n">
        <f aca="false">CRM_Raw!C786</f>
        <v>0</v>
      </c>
      <c r="D786" s="0" t="str">
        <f aca="false">IF(CRM_Raw!D786="DACH","DACH",IF(ISNUMBER(SEARCH("uk",CRM_Raw!D786)),"UK &amp; Ireland",PROPER(CRM_Raw!D786)))</f>
        <v>Southern Europe</v>
      </c>
      <c r="E786" s="0" t="str">
        <f aca="false">CRM_Raw!E786</f>
        <v>Washing Machines</v>
      </c>
      <c r="F786" s="0" t="str">
        <f aca="false">CRM_Raw!F786</f>
        <v>Retail Referral</v>
      </c>
      <c r="G786" s="0" t="str">
        <f aca="false">IF(TRIM(CRM_Raw!G786)="","Unassigned",CRM_Raw!G786)</f>
        <v>J. Murphy</v>
      </c>
      <c r="H786" s="0" t="str">
        <f aca="false">CRM_Raw!H786</f>
        <v>Qualified</v>
      </c>
      <c r="I786" s="10" t="n">
        <f aca="false">CRM_Raw!I786</f>
        <v>632.43</v>
      </c>
      <c r="J786" s="11" t="n">
        <f aca="false">CRM_Raw!J786</f>
        <v>0.2</v>
      </c>
      <c r="K786" s="10" t="n">
        <f aca="false">I786*(1-J786)</f>
        <v>505.944</v>
      </c>
      <c r="L786" s="12" t="n">
        <f aca="false">CRM_Raw!K786</f>
        <v>0</v>
      </c>
      <c r="M786" s="12" t="n">
        <f aca="false">IF(H786="Closed Won",1,0)</f>
        <v>0</v>
      </c>
    </row>
    <row r="787" customFormat="false" ht="15" hidden="false" customHeight="false" outlineLevel="0" collapsed="false">
      <c r="A787" s="0" t="str">
        <f aca="false">CRM_Raw!A787</f>
        <v>D-10783</v>
      </c>
      <c r="B787" s="0" t="str">
        <f aca="false">CRM_Raw!B787</f>
        <v>2025-08-30</v>
      </c>
      <c r="C787" s="0" t="n">
        <f aca="false">CRM_Raw!C787</f>
        <v>0</v>
      </c>
      <c r="D787" s="0" t="str">
        <f aca="false">IF(CRM_Raw!D787="DACH","DACH",IF(ISNUMBER(SEARCH("uk",CRM_Raw!D787)),"UK &amp; Ireland",PROPER(CRM_Raw!D787)))</f>
        <v>North America</v>
      </c>
      <c r="E787" s="0" t="str">
        <f aca="false">CRM_Raw!E787</f>
        <v>Cordless Vacuums</v>
      </c>
      <c r="F787" s="0" t="str">
        <f aca="false">CRM_Raw!F787</f>
        <v>Paid Search</v>
      </c>
      <c r="G787" s="0" t="str">
        <f aca="false">IF(TRIM(CRM_Raw!G787)="","Unassigned",CRM_Raw!G787)</f>
        <v>K. Nilsson</v>
      </c>
      <c r="H787" s="0" t="str">
        <f aca="false">CRM_Raw!H787</f>
        <v>Qualified</v>
      </c>
      <c r="I787" s="10" t="n">
        <f aca="false">CRM_Raw!I787</f>
        <v>341.15</v>
      </c>
      <c r="J787" s="11" t="n">
        <f aca="false">CRM_Raw!J787</f>
        <v>0</v>
      </c>
      <c r="K787" s="10" t="n">
        <f aca="false">I787*(1-J787)</f>
        <v>341.15</v>
      </c>
      <c r="L787" s="12" t="n">
        <f aca="false">CRM_Raw!K787</f>
        <v>0</v>
      </c>
      <c r="M787" s="12" t="n">
        <f aca="false">IF(H787="Closed Won",1,0)</f>
        <v>0</v>
      </c>
    </row>
    <row r="788" customFormat="false" ht="15" hidden="false" customHeight="false" outlineLevel="0" collapsed="false">
      <c r="A788" s="0" t="str">
        <f aca="false">CRM_Raw!A788</f>
        <v>D-10784</v>
      </c>
      <c r="B788" s="0" t="str">
        <f aca="false">CRM_Raw!B788</f>
        <v>2025-02-27</v>
      </c>
      <c r="C788" s="0" t="str">
        <f aca="false">CRM_Raw!C788</f>
        <v>2025-03-04</v>
      </c>
      <c r="D788" s="0" t="str">
        <f aca="false">IF(CRM_Raw!D788="DACH","DACH",IF(ISNUMBER(SEARCH("uk",CRM_Raw!D788)),"UK &amp; Ireland",PROPER(CRM_Raw!D788)))</f>
        <v>UK &amp; Ireland</v>
      </c>
      <c r="E788" s="0" t="str">
        <f aca="false">CRM_Raw!E788</f>
        <v>Cordless Vacuums</v>
      </c>
      <c r="F788" s="0" t="str">
        <f aca="false">CRM_Raw!F788</f>
        <v>Paid Search</v>
      </c>
      <c r="G788" s="0" t="str">
        <f aca="false">IF(TRIM(CRM_Raw!G788)="","Unassigned",CRM_Raw!G788)</f>
        <v>J. Murphy</v>
      </c>
      <c r="H788" s="0" t="str">
        <f aca="false">CRM_Raw!H788</f>
        <v>Closed Lost</v>
      </c>
      <c r="I788" s="10" t="n">
        <f aca="false">CRM_Raw!I788</f>
        <v>699.48</v>
      </c>
      <c r="J788" s="11" t="n">
        <f aca="false">CRM_Raw!J788</f>
        <v>0.05</v>
      </c>
      <c r="K788" s="10" t="n">
        <f aca="false">I788*(1-J788)</f>
        <v>664.506</v>
      </c>
      <c r="L788" s="12" t="n">
        <f aca="false">CRM_Raw!K788</f>
        <v>5</v>
      </c>
      <c r="M788" s="12" t="n">
        <f aca="false">IF(H788="Closed Won",1,0)</f>
        <v>0</v>
      </c>
    </row>
    <row r="789" customFormat="false" ht="15" hidden="false" customHeight="false" outlineLevel="0" collapsed="false">
      <c r="A789" s="0" t="str">
        <f aca="false">CRM_Raw!A789</f>
        <v>D-10785</v>
      </c>
      <c r="B789" s="0" t="str">
        <f aca="false">CRM_Raw!B789</f>
        <v>2026-01-07</v>
      </c>
      <c r="C789" s="0" t="str">
        <f aca="false">CRM_Raw!C789</f>
        <v>2026-02-12</v>
      </c>
      <c r="D789" s="0" t="str">
        <f aca="false">IF(CRM_Raw!D789="DACH","DACH",IF(ISNUMBER(SEARCH("uk",CRM_Raw!D789)),"UK &amp; Ireland",PROPER(CRM_Raw!D789)))</f>
        <v>Southern Europe</v>
      </c>
      <c r="E789" s="0" t="str">
        <f aca="false">CRM_Raw!E789</f>
        <v>Coffee Systems</v>
      </c>
      <c r="F789" s="0" t="str">
        <f aca="false">CRM_Raw!F789</f>
        <v>Trade Show</v>
      </c>
      <c r="G789" s="0" t="str">
        <f aca="false">IF(TRIM(CRM_Raw!G789)="","Unassigned",CRM_Raw!G789)</f>
        <v>M. Hoffmann</v>
      </c>
      <c r="H789" s="0" t="str">
        <f aca="false">CRM_Raw!H789</f>
        <v>Closed Lost</v>
      </c>
      <c r="I789" s="10" t="n">
        <f aca="false">CRM_Raw!I789</f>
        <v>513.08</v>
      </c>
      <c r="J789" s="11" t="n">
        <f aca="false">CRM_Raw!J789</f>
        <v>0</v>
      </c>
      <c r="K789" s="10" t="n">
        <f aca="false">I789*(1-J789)</f>
        <v>513.08</v>
      </c>
      <c r="L789" s="12" t="n">
        <f aca="false">CRM_Raw!K789</f>
        <v>36</v>
      </c>
      <c r="M789" s="12" t="n">
        <f aca="false">IF(H789="Closed Won",1,0)</f>
        <v>0</v>
      </c>
    </row>
    <row r="790" customFormat="false" ht="15" hidden="false" customHeight="false" outlineLevel="0" collapsed="false">
      <c r="A790" s="0" t="str">
        <f aca="false">CRM_Raw!A790</f>
        <v>D-10786</v>
      </c>
      <c r="B790" s="0" t="str">
        <f aca="false">CRM_Raw!B790</f>
        <v>2025-09-03</v>
      </c>
      <c r="C790" s="0" t="str">
        <f aca="false">CRM_Raw!C790</f>
        <v>2025-09-14</v>
      </c>
      <c r="D790" s="0" t="str">
        <f aca="false">IF(CRM_Raw!D790="DACH","DACH",IF(ISNUMBER(SEARCH("uk",CRM_Raw!D790)),"UK &amp; Ireland",PROPER(CRM_Raw!D790)))</f>
        <v>Southern Europe</v>
      </c>
      <c r="E790" s="0" t="str">
        <f aca="false">CRM_Raw!E790</f>
        <v>Washing Machines</v>
      </c>
      <c r="F790" s="0" t="str">
        <f aca="false">CRM_Raw!F790</f>
        <v>Web-shop Organic</v>
      </c>
      <c r="G790" s="0" t="str">
        <f aca="false">IF(TRIM(CRM_Raw!G790)="","Unassigned",CRM_Raw!G790)</f>
        <v>A. Becker</v>
      </c>
      <c r="H790" s="0" t="str">
        <f aca="false">CRM_Raw!H790</f>
        <v>Closed Won</v>
      </c>
      <c r="I790" s="10" t="n">
        <f aca="false">CRM_Raw!I790</f>
        <v>706.79</v>
      </c>
      <c r="J790" s="11" t="n">
        <f aca="false">CRM_Raw!J790</f>
        <v>0.1</v>
      </c>
      <c r="K790" s="10" t="n">
        <f aca="false">I790*(1-J790)</f>
        <v>636.111</v>
      </c>
      <c r="L790" s="12" t="n">
        <f aca="false">CRM_Raw!K790</f>
        <v>11</v>
      </c>
      <c r="M790" s="12" t="n">
        <f aca="false">IF(H790="Closed Won",1,0)</f>
        <v>1</v>
      </c>
    </row>
    <row r="791" customFormat="false" ht="15" hidden="false" customHeight="false" outlineLevel="0" collapsed="false">
      <c r="A791" s="0" t="str">
        <f aca="false">CRM_Raw!A791</f>
        <v>D-10787</v>
      </c>
      <c r="B791" s="0" t="str">
        <f aca="false">CRM_Raw!B791</f>
        <v>2025-01-09</v>
      </c>
      <c r="C791" s="0" t="n">
        <f aca="false">CRM_Raw!C791</f>
        <v>0</v>
      </c>
      <c r="D791" s="0" t="str">
        <f aca="false">IF(CRM_Raw!D791="DACH","DACH",IF(ISNUMBER(SEARCH("uk",CRM_Raw!D791)),"UK &amp; Ireland",PROPER(CRM_Raw!D791)))</f>
        <v>North America</v>
      </c>
      <c r="E791" s="0" t="str">
        <f aca="false">CRM_Raw!E791</f>
        <v>Coffee Systems</v>
      </c>
      <c r="F791" s="0" t="str">
        <f aca="false">CRM_Raw!F791</f>
        <v>Retail Referral</v>
      </c>
      <c r="G791" s="0" t="str">
        <f aca="false">IF(TRIM(CRM_Raw!G791)="","Unassigned",CRM_Raw!G791)</f>
        <v>K. Nilsson</v>
      </c>
      <c r="H791" s="0" t="str">
        <f aca="false">CRM_Raw!H791</f>
        <v>Qualified</v>
      </c>
      <c r="I791" s="10" t="n">
        <f aca="false">CRM_Raw!I791</f>
        <v>516.27</v>
      </c>
      <c r="J791" s="11" t="n">
        <f aca="false">CRM_Raw!J791</f>
        <v>0</v>
      </c>
      <c r="K791" s="10" t="n">
        <f aca="false">I791*(1-J791)</f>
        <v>516.27</v>
      </c>
      <c r="L791" s="12" t="n">
        <f aca="false">CRM_Raw!K791</f>
        <v>0</v>
      </c>
      <c r="M791" s="12" t="n">
        <f aca="false">IF(H791="Closed Won",1,0)</f>
        <v>0</v>
      </c>
    </row>
    <row r="792" customFormat="false" ht="15" hidden="false" customHeight="false" outlineLevel="0" collapsed="false">
      <c r="A792" s="0" t="str">
        <f aca="false">CRM_Raw!A792</f>
        <v>D-10788</v>
      </c>
      <c r="B792" s="0" t="str">
        <f aca="false">CRM_Raw!B792</f>
        <v>2026-03-26</v>
      </c>
      <c r="C792" s="0" t="n">
        <f aca="false">CRM_Raw!C792</f>
        <v>0</v>
      </c>
      <c r="D792" s="0" t="str">
        <f aca="false">IF(CRM_Raw!D792="DACH","DACH",IF(ISNUMBER(SEARCH("uk",CRM_Raw!D792)),"UK &amp; Ireland",PROPER(CRM_Raw!D792)))</f>
        <v>DACH</v>
      </c>
      <c r="E792" s="0" t="str">
        <f aca="false">CRM_Raw!E792</f>
        <v>Coffee Systems</v>
      </c>
      <c r="F792" s="0" t="str">
        <f aca="false">CRM_Raw!F792</f>
        <v>Paid Search</v>
      </c>
      <c r="G792" s="0" t="str">
        <f aca="false">IF(TRIM(CRM_Raw!G792)="","Unassigned",CRM_Raw!G792)</f>
        <v>M. Hoffmann</v>
      </c>
      <c r="H792" s="0" t="str">
        <f aca="false">CRM_Raw!H792</f>
        <v>Negotiation</v>
      </c>
      <c r="I792" s="10" t="n">
        <f aca="false">CRM_Raw!I792</f>
        <v>1155.4</v>
      </c>
      <c r="J792" s="11" t="n">
        <f aca="false">CRM_Raw!J792</f>
        <v>0.2</v>
      </c>
      <c r="K792" s="10" t="n">
        <f aca="false">I792*(1-J792)</f>
        <v>924.32</v>
      </c>
      <c r="L792" s="12" t="n">
        <f aca="false">CRM_Raw!K792</f>
        <v>0</v>
      </c>
      <c r="M792" s="12" t="n">
        <f aca="false">IF(H792="Closed Won",1,0)</f>
        <v>0</v>
      </c>
    </row>
    <row r="793" customFormat="false" ht="15" hidden="false" customHeight="false" outlineLevel="0" collapsed="false">
      <c r="A793" s="0" t="str">
        <f aca="false">CRM_Raw!A793</f>
        <v>D-10789</v>
      </c>
      <c r="B793" s="0" t="str">
        <f aca="false">CRM_Raw!B793</f>
        <v>2026-04-28</v>
      </c>
      <c r="C793" s="0" t="n">
        <f aca="false">CRM_Raw!C793</f>
        <v>0</v>
      </c>
      <c r="D793" s="0" t="str">
        <f aca="false">IF(CRM_Raw!D793="DACH","DACH",IF(ISNUMBER(SEARCH("uk",CRM_Raw!D793)),"UK &amp; Ireland",PROPER(CRM_Raw!D793)))</f>
        <v>DACH</v>
      </c>
      <c r="E793" s="0" t="str">
        <f aca="false">CRM_Raw!E793</f>
        <v>Cordless Vacuums</v>
      </c>
      <c r="F793" s="0" t="str">
        <f aca="false">CRM_Raw!F793</f>
        <v>Retail Referral</v>
      </c>
      <c r="G793" s="0" t="str">
        <f aca="false">IF(TRIM(CRM_Raw!G793)="","Unassigned",CRM_Raw!G793)</f>
        <v>T. Wagner</v>
      </c>
      <c r="H793" s="0" t="str">
        <f aca="false">CRM_Raw!H793</f>
        <v>Negotiation</v>
      </c>
      <c r="I793" s="10" t="n">
        <f aca="false">CRM_Raw!I793</f>
        <v>402.91</v>
      </c>
      <c r="J793" s="11" t="n">
        <f aca="false">CRM_Raw!J793</f>
        <v>0.15</v>
      </c>
      <c r="K793" s="10" t="n">
        <f aca="false">I793*(1-J793)</f>
        <v>342.4735</v>
      </c>
      <c r="L793" s="12" t="n">
        <f aca="false">CRM_Raw!K793</f>
        <v>0</v>
      </c>
      <c r="M793" s="12" t="n">
        <f aca="false">IF(H793="Closed Won",1,0)</f>
        <v>0</v>
      </c>
    </row>
    <row r="794" customFormat="false" ht="15" hidden="false" customHeight="false" outlineLevel="0" collapsed="false">
      <c r="A794" s="0" t="str">
        <f aca="false">CRM_Raw!A794</f>
        <v>D-10790</v>
      </c>
      <c r="B794" s="0" t="str">
        <f aca="false">CRM_Raw!B794</f>
        <v>2025-03-09</v>
      </c>
      <c r="C794" s="0" t="str">
        <f aca="false">CRM_Raw!C794</f>
        <v>2025-04-07</v>
      </c>
      <c r="D794" s="0" t="str">
        <f aca="false">IF(CRM_Raw!D794="DACH","DACH",IF(ISNUMBER(SEARCH("uk",CRM_Raw!D794)),"UK &amp; Ireland",PROPER(CRM_Raw!D794)))</f>
        <v>Benelux</v>
      </c>
      <c r="E794" s="0" t="str">
        <f aca="false">CRM_Raw!E794</f>
        <v>Smart Ovens</v>
      </c>
      <c r="F794" s="0" t="str">
        <f aca="false">CRM_Raw!F794</f>
        <v>Email Campaign</v>
      </c>
      <c r="G794" s="0" t="str">
        <f aca="false">IF(TRIM(CRM_Raw!G794)="","Unassigned",CRM_Raw!G794)</f>
        <v>J. Murphy</v>
      </c>
      <c r="H794" s="0" t="str">
        <f aca="false">CRM_Raw!H794</f>
        <v>Closed Won</v>
      </c>
      <c r="I794" s="10" t="n">
        <f aca="false">CRM_Raw!I794</f>
        <v>2665.95</v>
      </c>
      <c r="J794" s="11" t="n">
        <f aca="false">CRM_Raw!J794</f>
        <v>0.15</v>
      </c>
      <c r="K794" s="10" t="n">
        <f aca="false">I794*(1-J794)</f>
        <v>2266.0575</v>
      </c>
      <c r="L794" s="12" t="n">
        <f aca="false">CRM_Raw!K794</f>
        <v>29</v>
      </c>
      <c r="M794" s="12" t="n">
        <f aca="false">IF(H794="Closed Won",1,0)</f>
        <v>1</v>
      </c>
    </row>
    <row r="795" customFormat="false" ht="15" hidden="false" customHeight="false" outlineLevel="0" collapsed="false">
      <c r="A795" s="0" t="str">
        <f aca="false">CRM_Raw!A795</f>
        <v>D-10791</v>
      </c>
      <c r="B795" s="0" t="str">
        <f aca="false">CRM_Raw!B795</f>
        <v>2025-07-08</v>
      </c>
      <c r="C795" s="0" t="n">
        <f aca="false">CRM_Raw!C795</f>
        <v>0</v>
      </c>
      <c r="D795" s="0" t="str">
        <f aca="false">IF(CRM_Raw!D795="DACH","DACH",IF(ISNUMBER(SEARCH("uk",CRM_Raw!D795)),"UK &amp; Ireland",PROPER(CRM_Raw!D795)))</f>
        <v>France</v>
      </c>
      <c r="E795" s="0" t="str">
        <f aca="false">CRM_Raw!E795</f>
        <v>Dishwashers</v>
      </c>
      <c r="F795" s="0" t="str">
        <f aca="false">CRM_Raw!F795</f>
        <v>Affiliate Partner</v>
      </c>
      <c r="G795" s="0" t="str">
        <f aca="false">IF(TRIM(CRM_Raw!G795)="","Unassigned",CRM_Raw!G795)</f>
        <v>Unassigned</v>
      </c>
      <c r="H795" s="0" t="str">
        <f aca="false">CRM_Raw!H795</f>
        <v>Negotiation</v>
      </c>
      <c r="I795" s="10" t="n">
        <f aca="false">CRM_Raw!I795</f>
        <v>772.92</v>
      </c>
      <c r="J795" s="11" t="n">
        <f aca="false">CRM_Raw!J795</f>
        <v>0</v>
      </c>
      <c r="K795" s="10" t="n">
        <f aca="false">I795*(1-J795)</f>
        <v>772.92</v>
      </c>
      <c r="L795" s="12" t="n">
        <f aca="false">CRM_Raw!K795</f>
        <v>0</v>
      </c>
      <c r="M795" s="12" t="n">
        <f aca="false">IF(H795="Closed Won",1,0)</f>
        <v>0</v>
      </c>
    </row>
    <row r="796" customFormat="false" ht="15" hidden="false" customHeight="false" outlineLevel="0" collapsed="false">
      <c r="A796" s="0" t="str">
        <f aca="false">CRM_Raw!A796</f>
        <v>D-10792</v>
      </c>
      <c r="B796" s="0" t="str">
        <f aca="false">CRM_Raw!B796</f>
        <v>2025-03-26</v>
      </c>
      <c r="C796" s="0" t="str">
        <f aca="false">CRM_Raw!C796</f>
        <v>2025-04-16</v>
      </c>
      <c r="D796" s="0" t="str">
        <f aca="false">IF(CRM_Raw!D796="DACH","DACH",IF(ISNUMBER(SEARCH("uk",CRM_Raw!D796)),"UK &amp; Ireland",PROPER(CRM_Raw!D796)))</f>
        <v>Benelux</v>
      </c>
      <c r="E796" s="0" t="str">
        <f aca="false">CRM_Raw!E796</f>
        <v>Coffee Systems</v>
      </c>
      <c r="F796" s="0" t="str">
        <f aca="false">CRM_Raw!F796</f>
        <v>Social Media Ads</v>
      </c>
      <c r="G796" s="0" t="str">
        <f aca="false">IF(TRIM(CRM_Raw!G796)="","Unassigned",CRM_Raw!G796)</f>
        <v>P. Rossi</v>
      </c>
      <c r="H796" s="0" t="str">
        <f aca="false">CRM_Raw!H796</f>
        <v>Closed Won</v>
      </c>
      <c r="I796" s="10" t="n">
        <f aca="false">CRM_Raw!I796</f>
        <v>563.58</v>
      </c>
      <c r="J796" s="11" t="n">
        <f aca="false">CRM_Raw!J796</f>
        <v>0.2</v>
      </c>
      <c r="K796" s="10" t="n">
        <f aca="false">I796*(1-J796)</f>
        <v>450.864</v>
      </c>
      <c r="L796" s="12" t="n">
        <f aca="false">CRM_Raw!K796</f>
        <v>21</v>
      </c>
      <c r="M796" s="12" t="n">
        <f aca="false">IF(H796="Closed Won",1,0)</f>
        <v>1</v>
      </c>
    </row>
    <row r="797" customFormat="false" ht="15" hidden="false" customHeight="false" outlineLevel="0" collapsed="false">
      <c r="A797" s="0" t="str">
        <f aca="false">CRM_Raw!A797</f>
        <v>D-10793</v>
      </c>
      <c r="B797" s="0" t="str">
        <f aca="false">CRM_Raw!B797</f>
        <v>2026-04-08</v>
      </c>
      <c r="C797" s="0" t="str">
        <f aca="false">CRM_Raw!C797</f>
        <v>2026-05-13</v>
      </c>
      <c r="D797" s="0" t="str">
        <f aca="false">IF(CRM_Raw!D797="DACH","DACH",IF(ISNUMBER(SEARCH("uk",CRM_Raw!D797)),"UK &amp; Ireland",PROPER(CRM_Raw!D797)))</f>
        <v>Nordics</v>
      </c>
      <c r="E797" s="0" t="str">
        <f aca="false">CRM_Raw!E797</f>
        <v>Small Kitchen Appliances</v>
      </c>
      <c r="F797" s="0" t="str">
        <f aca="false">CRM_Raw!F797</f>
        <v>Paid Search</v>
      </c>
      <c r="G797" s="0" t="str">
        <f aca="false">IF(TRIM(CRM_Raw!G797)="","Unassigned",CRM_Raw!G797)</f>
        <v>P. Rossi</v>
      </c>
      <c r="H797" s="0" t="str">
        <f aca="false">CRM_Raw!H797</f>
        <v>Closed Lost</v>
      </c>
      <c r="I797" s="10" t="n">
        <f aca="false">CRM_Raw!I797</f>
        <v>131.46</v>
      </c>
      <c r="J797" s="11" t="n">
        <f aca="false">CRM_Raw!J797</f>
        <v>0</v>
      </c>
      <c r="K797" s="10" t="n">
        <f aca="false">I797*(1-J797)</f>
        <v>131.46</v>
      </c>
      <c r="L797" s="12" t="n">
        <f aca="false">CRM_Raw!K797</f>
        <v>35</v>
      </c>
      <c r="M797" s="12" t="n">
        <f aca="false">IF(H797="Closed Won",1,0)</f>
        <v>0</v>
      </c>
    </row>
    <row r="798" customFormat="false" ht="15" hidden="false" customHeight="false" outlineLevel="0" collapsed="false">
      <c r="A798" s="0" t="str">
        <f aca="false">CRM_Raw!A798</f>
        <v>D-10794</v>
      </c>
      <c r="B798" s="0" t="str">
        <f aca="false">CRM_Raw!B798</f>
        <v>2025-07-23</v>
      </c>
      <c r="C798" s="0" t="str">
        <f aca="false">CRM_Raw!C798</f>
        <v>2025-08-06</v>
      </c>
      <c r="D798" s="0" t="str">
        <f aca="false">IF(CRM_Raw!D798="DACH","DACH",IF(ISNUMBER(SEARCH("uk",CRM_Raw!D798)),"UK &amp; Ireland",PROPER(CRM_Raw!D798)))</f>
        <v>Southern Europe</v>
      </c>
      <c r="E798" s="0" t="str">
        <f aca="false">CRM_Raw!E798</f>
        <v>Washing Machines</v>
      </c>
      <c r="F798" s="0" t="str">
        <f aca="false">CRM_Raw!F798</f>
        <v>Email Campaign</v>
      </c>
      <c r="G798" s="0" t="str">
        <f aca="false">IF(TRIM(CRM_Raw!G798)="","Unassigned",CRM_Raw!G798)</f>
        <v>J. Murphy</v>
      </c>
      <c r="H798" s="0" t="str">
        <f aca="false">CRM_Raw!H798</f>
        <v>Closed Won</v>
      </c>
      <c r="I798" s="10" t="n">
        <f aca="false">CRM_Raw!I798</f>
        <v>1964.44</v>
      </c>
      <c r="J798" s="11" t="n">
        <f aca="false">CRM_Raw!J798</f>
        <v>0</v>
      </c>
      <c r="K798" s="10" t="n">
        <f aca="false">I798*(1-J798)</f>
        <v>1964.44</v>
      </c>
      <c r="L798" s="12" t="n">
        <f aca="false">CRM_Raw!K798</f>
        <v>14</v>
      </c>
      <c r="M798" s="12" t="n">
        <f aca="false">IF(H798="Closed Won",1,0)</f>
        <v>1</v>
      </c>
    </row>
    <row r="799" customFormat="false" ht="15" hidden="false" customHeight="false" outlineLevel="0" collapsed="false">
      <c r="A799" s="0" t="str">
        <f aca="false">CRM_Raw!A799</f>
        <v>D-10795</v>
      </c>
      <c r="B799" s="0" t="str">
        <f aca="false">CRM_Raw!B799</f>
        <v>2025-04-02</v>
      </c>
      <c r="C799" s="0" t="n">
        <f aca="false">CRM_Raw!C799</f>
        <v>0</v>
      </c>
      <c r="D799" s="0" t="str">
        <f aca="false">IF(CRM_Raw!D799="DACH","DACH",IF(ISNUMBER(SEARCH("uk",CRM_Raw!D799)),"UK &amp; Ireland",PROPER(CRM_Raw!D799)))</f>
        <v>DACH</v>
      </c>
      <c r="E799" s="0" t="str">
        <f aca="false">CRM_Raw!E799</f>
        <v>Smart Ovens</v>
      </c>
      <c r="F799" s="0" t="str">
        <f aca="false">CRM_Raw!F799</f>
        <v>Retail Referral</v>
      </c>
      <c r="G799" s="0" t="str">
        <f aca="false">IF(TRIM(CRM_Raw!G799)="","Unassigned",CRM_Raw!G799)</f>
        <v>S. Andersson</v>
      </c>
      <c r="H799" s="0" t="str">
        <f aca="false">CRM_Raw!H799</f>
        <v>Qualified</v>
      </c>
      <c r="I799" s="10" t="n">
        <f aca="false">CRM_Raw!I799</f>
        <v>805.15</v>
      </c>
      <c r="J799" s="11" t="n">
        <f aca="false">CRM_Raw!J799</f>
        <v>0</v>
      </c>
      <c r="K799" s="10" t="n">
        <f aca="false">I799*(1-J799)</f>
        <v>805.15</v>
      </c>
      <c r="L799" s="12" t="n">
        <f aca="false">CRM_Raw!K799</f>
        <v>0</v>
      </c>
      <c r="M799" s="12" t="n">
        <f aca="false">IF(H799="Closed Won",1,0)</f>
        <v>0</v>
      </c>
    </row>
    <row r="800" customFormat="false" ht="15" hidden="false" customHeight="false" outlineLevel="0" collapsed="false">
      <c r="A800" s="0" t="str">
        <f aca="false">CRM_Raw!A800</f>
        <v>D-10796</v>
      </c>
      <c r="B800" s="0" t="str">
        <f aca="false">CRM_Raw!B800</f>
        <v>2025-06-02</v>
      </c>
      <c r="C800" s="0" t="str">
        <f aca="false">CRM_Raw!C800</f>
        <v>2025-06-29</v>
      </c>
      <c r="D800" s="0" t="str">
        <f aca="false">IF(CRM_Raw!D800="DACH","DACH",IF(ISNUMBER(SEARCH("uk",CRM_Raw!D800)),"UK &amp; Ireland",PROPER(CRM_Raw!D800)))</f>
        <v>Benelux</v>
      </c>
      <c r="E800" s="0" t="str">
        <f aca="false">CRM_Raw!E800</f>
        <v>Washing Machines</v>
      </c>
      <c r="F800" s="0" t="str">
        <f aca="false">CRM_Raw!F800</f>
        <v>Paid Search</v>
      </c>
      <c r="G800" s="0" t="str">
        <f aca="false">IF(TRIM(CRM_Raw!G800)="","Unassigned",CRM_Raw!G800)</f>
        <v>J. Murphy</v>
      </c>
      <c r="H800" s="0" t="str">
        <f aca="false">CRM_Raw!H800</f>
        <v>Closed Won</v>
      </c>
      <c r="I800" s="10" t="n">
        <f aca="false">CRM_Raw!I800</f>
        <v>1959.9</v>
      </c>
      <c r="J800" s="11" t="n">
        <f aca="false">CRM_Raw!J800</f>
        <v>0</v>
      </c>
      <c r="K800" s="10" t="n">
        <f aca="false">I800*(1-J800)</f>
        <v>1959.9</v>
      </c>
      <c r="L800" s="12" t="n">
        <f aca="false">CRM_Raw!K800</f>
        <v>27</v>
      </c>
      <c r="M800" s="12" t="n">
        <f aca="false">IF(H800="Closed Won",1,0)</f>
        <v>1</v>
      </c>
    </row>
    <row r="801" customFormat="false" ht="15" hidden="false" customHeight="false" outlineLevel="0" collapsed="false">
      <c r="A801" s="0" t="str">
        <f aca="false">CRM_Raw!A801</f>
        <v>D-10797</v>
      </c>
      <c r="B801" s="0" t="str">
        <f aca="false">CRM_Raw!B801</f>
        <v>2026-05-22</v>
      </c>
      <c r="C801" s="0" t="str">
        <f aca="false">CRM_Raw!C801</f>
        <v>2026-06-01</v>
      </c>
      <c r="D801" s="0" t="str">
        <f aca="false">IF(CRM_Raw!D801="DACH","DACH",IF(ISNUMBER(SEARCH("uk",CRM_Raw!D801)),"UK &amp; Ireland",PROPER(CRM_Raw!D801)))</f>
        <v>DACH</v>
      </c>
      <c r="E801" s="0" t="str">
        <f aca="false">CRM_Raw!E801</f>
        <v>Small Kitchen Appliances</v>
      </c>
      <c r="F801" s="0" t="str">
        <f aca="false">CRM_Raw!F801</f>
        <v>Social Media Ads</v>
      </c>
      <c r="G801" s="0" t="str">
        <f aca="false">IF(TRIM(CRM_Raw!G801)="","Unassigned",CRM_Raw!G801)</f>
        <v>T. Wagner</v>
      </c>
      <c r="H801" s="0" t="str">
        <f aca="false">CRM_Raw!H801</f>
        <v>Closed Won</v>
      </c>
      <c r="I801" s="10" t="n">
        <f aca="false">CRM_Raw!I801</f>
        <v>135.22</v>
      </c>
      <c r="J801" s="11" t="n">
        <f aca="false">CRM_Raw!J801</f>
        <v>0</v>
      </c>
      <c r="K801" s="10" t="n">
        <f aca="false">I801*(1-J801)</f>
        <v>135.22</v>
      </c>
      <c r="L801" s="12" t="n">
        <f aca="false">CRM_Raw!K801</f>
        <v>19</v>
      </c>
      <c r="M801" s="12" t="n">
        <f aca="false">IF(H801="Closed Won",1,0)</f>
        <v>1</v>
      </c>
    </row>
    <row r="802" customFormat="false" ht="15" hidden="false" customHeight="false" outlineLevel="0" collapsed="false">
      <c r="A802" s="0" t="str">
        <f aca="false">CRM_Raw!A802</f>
        <v>D-10798</v>
      </c>
      <c r="B802" s="0" t="str">
        <f aca="false">CRM_Raw!B802</f>
        <v>2025-07-31</v>
      </c>
      <c r="C802" s="0" t="str">
        <f aca="false">CRM_Raw!C802</f>
        <v>2025-08-15</v>
      </c>
      <c r="D802" s="0" t="str">
        <f aca="false">IF(CRM_Raw!D802="DACH","DACH",IF(ISNUMBER(SEARCH("uk",CRM_Raw!D802)),"UK &amp; Ireland",PROPER(CRM_Raw!D802)))</f>
        <v>Southern Europe</v>
      </c>
      <c r="E802" s="0" t="str">
        <f aca="false">CRM_Raw!E802</f>
        <v>Dishwashers</v>
      </c>
      <c r="F802" s="0" t="str">
        <f aca="false">CRM_Raw!F802</f>
        <v>Paid Search</v>
      </c>
      <c r="G802" s="0" t="str">
        <f aca="false">IF(TRIM(CRM_Raw!G802)="","Unassigned",CRM_Raw!G802)</f>
        <v>K. Nilsson</v>
      </c>
      <c r="H802" s="0" t="str">
        <f aca="false">CRM_Raw!H802</f>
        <v>Closed Lost</v>
      </c>
      <c r="I802" s="10" t="n">
        <f aca="false">CRM_Raw!I802</f>
        <v>808.09</v>
      </c>
      <c r="J802" s="11" t="n">
        <f aca="false">CRM_Raw!J802</f>
        <v>0.15</v>
      </c>
      <c r="K802" s="10" t="n">
        <f aca="false">I802*(1-J802)</f>
        <v>686.8765</v>
      </c>
      <c r="L802" s="12" t="n">
        <f aca="false">CRM_Raw!K802</f>
        <v>15</v>
      </c>
      <c r="M802" s="12" t="n">
        <f aca="false">IF(H802="Closed Won",1,0)</f>
        <v>0</v>
      </c>
    </row>
    <row r="803" customFormat="false" ht="15" hidden="false" customHeight="false" outlineLevel="0" collapsed="false">
      <c r="A803" s="0" t="str">
        <f aca="false">CRM_Raw!A803</f>
        <v>D-10799</v>
      </c>
      <c r="B803" s="0" t="str">
        <f aca="false">CRM_Raw!B803</f>
        <v>2025-05-30</v>
      </c>
      <c r="C803" s="0" t="str">
        <f aca="false">CRM_Raw!C803</f>
        <v>2025-06-26</v>
      </c>
      <c r="D803" s="0" t="str">
        <f aca="false">IF(CRM_Raw!D803="DACH","DACH",IF(ISNUMBER(SEARCH("uk",CRM_Raw!D803)),"UK &amp; Ireland",PROPER(CRM_Raw!D803)))</f>
        <v>Southern Europe</v>
      </c>
      <c r="E803" s="0" t="str">
        <f aca="false">CRM_Raw!E803</f>
        <v>Coffee Systems</v>
      </c>
      <c r="F803" s="0" t="str">
        <f aca="false">CRM_Raw!F803</f>
        <v>Paid Search</v>
      </c>
      <c r="G803" s="0" t="str">
        <f aca="false">IF(TRIM(CRM_Raw!G803)="","Unassigned",CRM_Raw!G803)</f>
        <v>K. Nilsson</v>
      </c>
      <c r="H803" s="0" t="str">
        <f aca="false">CRM_Raw!H803</f>
        <v>Closed Won</v>
      </c>
      <c r="I803" s="10" t="n">
        <f aca="false">CRM_Raw!I803</f>
        <v>523.59</v>
      </c>
      <c r="J803" s="11" t="n">
        <f aca="false">CRM_Raw!J803</f>
        <v>0</v>
      </c>
      <c r="K803" s="10" t="n">
        <f aca="false">I803*(1-J803)</f>
        <v>523.59</v>
      </c>
      <c r="L803" s="12" t="n">
        <f aca="false">CRM_Raw!K803</f>
        <v>27</v>
      </c>
      <c r="M803" s="12" t="n">
        <f aca="false">IF(H803="Closed Won",1,0)</f>
        <v>1</v>
      </c>
    </row>
    <row r="804" customFormat="false" ht="15" hidden="false" customHeight="false" outlineLevel="0" collapsed="false">
      <c r="A804" s="0" t="str">
        <f aca="false">CRM_Raw!A804</f>
        <v>D-10800</v>
      </c>
      <c r="B804" s="0" t="str">
        <f aca="false">CRM_Raw!B804</f>
        <v>2025-01-11</v>
      </c>
      <c r="C804" s="0" t="str">
        <f aca="false">CRM_Raw!C804</f>
        <v>2025-01-31</v>
      </c>
      <c r="D804" s="0" t="str">
        <f aca="false">IF(CRM_Raw!D804="DACH","DACH",IF(ISNUMBER(SEARCH("uk",CRM_Raw!D804)),"UK &amp; Ireland",PROPER(CRM_Raw!D804)))</f>
        <v>Nordics</v>
      </c>
      <c r="E804" s="0" t="str">
        <f aca="false">CRM_Raw!E804</f>
        <v>Small Kitchen Appliances</v>
      </c>
      <c r="F804" s="0" t="str">
        <f aca="false">CRM_Raw!F804</f>
        <v>Affiliate Partner</v>
      </c>
      <c r="G804" s="0" t="str">
        <f aca="false">IF(TRIM(CRM_Raw!G804)="","Unassigned",CRM_Raw!G804)</f>
        <v>L. Dubois</v>
      </c>
      <c r="H804" s="0" t="str">
        <f aca="false">CRM_Raw!H804</f>
        <v>Closed Lost</v>
      </c>
      <c r="I804" s="10" t="n">
        <f aca="false">CRM_Raw!I804</f>
        <v>271.01</v>
      </c>
      <c r="J804" s="11" t="n">
        <f aca="false">CRM_Raw!J804</f>
        <v>0.15</v>
      </c>
      <c r="K804" s="10" t="n">
        <f aca="false">I804*(1-J804)</f>
        <v>230.3585</v>
      </c>
      <c r="L804" s="12" t="n">
        <f aca="false">CRM_Raw!K804</f>
        <v>20</v>
      </c>
      <c r="M804" s="12" t="n">
        <f aca="false">IF(H804="Closed Won",1,0)</f>
        <v>0</v>
      </c>
    </row>
    <row r="805" customFormat="false" ht="15" hidden="false" customHeight="false" outlineLevel="0" collapsed="false">
      <c r="A805" s="0" t="str">
        <f aca="false">CRM_Raw!A805</f>
        <v>D-10801</v>
      </c>
      <c r="B805" s="0" t="str">
        <f aca="false">CRM_Raw!B805</f>
        <v>2025-09-20</v>
      </c>
      <c r="C805" s="0" t="str">
        <f aca="false">CRM_Raw!C805</f>
        <v>2025-10-08</v>
      </c>
      <c r="D805" s="0" t="str">
        <f aca="false">IF(CRM_Raw!D805="DACH","DACH",IF(ISNUMBER(SEARCH("uk",CRM_Raw!D805)),"UK &amp; Ireland",PROPER(CRM_Raw!D805)))</f>
        <v>UK &amp; Ireland</v>
      </c>
      <c r="E805" s="0" t="str">
        <f aca="false">CRM_Raw!E805</f>
        <v>Small Kitchen Appliances</v>
      </c>
      <c r="F805" s="0" t="str">
        <f aca="false">CRM_Raw!F805</f>
        <v>Paid Search</v>
      </c>
      <c r="G805" s="0" t="str">
        <f aca="false">IF(TRIM(CRM_Raw!G805)="","Unassigned",CRM_Raw!G805)</f>
        <v>K. Nilsson</v>
      </c>
      <c r="H805" s="0" t="str">
        <f aca="false">CRM_Raw!H805</f>
        <v>Closed Won</v>
      </c>
      <c r="I805" s="10" t="n">
        <f aca="false">CRM_Raw!I805</f>
        <v>274.55</v>
      </c>
      <c r="J805" s="11" t="n">
        <f aca="false">CRM_Raw!J805</f>
        <v>0</v>
      </c>
      <c r="K805" s="10" t="n">
        <f aca="false">I805*(1-J805)</f>
        <v>274.55</v>
      </c>
      <c r="L805" s="12" t="n">
        <f aca="false">CRM_Raw!K805</f>
        <v>18</v>
      </c>
      <c r="M805" s="12" t="n">
        <f aca="false">IF(H805="Closed Won",1,0)</f>
        <v>1</v>
      </c>
    </row>
    <row r="806" customFormat="false" ht="15" hidden="false" customHeight="false" outlineLevel="0" collapsed="false">
      <c r="A806" s="0" t="str">
        <f aca="false">CRM_Raw!A806</f>
        <v>D-10802</v>
      </c>
      <c r="B806" s="0" t="str">
        <f aca="false">CRM_Raw!B806</f>
        <v>2025-01-06</v>
      </c>
      <c r="C806" s="0" t="str">
        <f aca="false">CRM_Raw!C806</f>
        <v>2025-01-25</v>
      </c>
      <c r="D806" s="0" t="str">
        <f aca="false">IF(CRM_Raw!D806="DACH","DACH",IF(ISNUMBER(SEARCH("uk",CRM_Raw!D806)),"UK &amp; Ireland",PROPER(CRM_Raw!D806)))</f>
        <v>Nordics</v>
      </c>
      <c r="E806" s="0" t="str">
        <f aca="false">CRM_Raw!E806</f>
        <v>Small Kitchen Appliances</v>
      </c>
      <c r="F806" s="0" t="str">
        <f aca="false">CRM_Raw!F806</f>
        <v>Trade Show</v>
      </c>
      <c r="G806" s="0" t="str">
        <f aca="false">IF(TRIM(CRM_Raw!G806)="","Unassigned",CRM_Raw!G806)</f>
        <v>A. Becker</v>
      </c>
      <c r="H806" s="0" t="str">
        <f aca="false">CRM_Raw!H806</f>
        <v>Closed Won</v>
      </c>
      <c r="I806" s="10" t="n">
        <f aca="false">CRM_Raw!I806</f>
        <v>128.04</v>
      </c>
      <c r="J806" s="11" t="n">
        <f aca="false">CRM_Raw!J806</f>
        <v>0.05</v>
      </c>
      <c r="K806" s="10" t="n">
        <f aca="false">I806*(1-J806)</f>
        <v>121.638</v>
      </c>
      <c r="L806" s="12" t="n">
        <f aca="false">CRM_Raw!K806</f>
        <v>19</v>
      </c>
      <c r="M806" s="12" t="n">
        <f aca="false">IF(H806="Closed Won",1,0)</f>
        <v>1</v>
      </c>
    </row>
    <row r="807" customFormat="false" ht="15" hidden="false" customHeight="false" outlineLevel="0" collapsed="false">
      <c r="A807" s="0" t="str">
        <f aca="false">CRM_Raw!A807</f>
        <v>D-10803</v>
      </c>
      <c r="B807" s="0" t="str">
        <f aca="false">CRM_Raw!B807</f>
        <v>2025-07-03</v>
      </c>
      <c r="C807" s="0" t="str">
        <f aca="false">CRM_Raw!C807</f>
        <v>2025-07-06</v>
      </c>
      <c r="D807" s="0" t="str">
        <f aca="false">IF(CRM_Raw!D807="DACH","DACH",IF(ISNUMBER(SEARCH("uk",CRM_Raw!D807)),"UK &amp; Ireland",PROPER(CRM_Raw!D807)))</f>
        <v>Southern Europe</v>
      </c>
      <c r="E807" s="0" t="str">
        <f aca="false">CRM_Raw!E807</f>
        <v>Cordless Vacuums</v>
      </c>
      <c r="F807" s="0" t="str">
        <f aca="false">CRM_Raw!F807</f>
        <v>Web-shop Organic</v>
      </c>
      <c r="G807" s="0" t="str">
        <f aca="false">IF(TRIM(CRM_Raw!G807)="","Unassigned",CRM_Raw!G807)</f>
        <v>A. Becker</v>
      </c>
      <c r="H807" s="0" t="str">
        <f aca="false">CRM_Raw!H807</f>
        <v>Closed Won</v>
      </c>
      <c r="I807" s="10" t="n">
        <f aca="false">CRM_Raw!I807</f>
        <v>398.68</v>
      </c>
      <c r="J807" s="11" t="n">
        <f aca="false">CRM_Raw!J807</f>
        <v>0</v>
      </c>
      <c r="K807" s="10" t="n">
        <f aca="false">I807*(1-J807)</f>
        <v>398.68</v>
      </c>
      <c r="L807" s="12" t="n">
        <f aca="false">CRM_Raw!K807</f>
        <v>3</v>
      </c>
      <c r="M807" s="12" t="n">
        <f aca="false">IF(H807="Closed Won",1,0)</f>
        <v>1</v>
      </c>
    </row>
    <row r="808" customFormat="false" ht="15" hidden="false" customHeight="false" outlineLevel="0" collapsed="false">
      <c r="A808" s="0" t="str">
        <f aca="false">CRM_Raw!A808</f>
        <v>D-10804</v>
      </c>
      <c r="B808" s="0" t="str">
        <f aca="false">CRM_Raw!B808</f>
        <v>2025-09-24</v>
      </c>
      <c r="C808" s="0" t="str">
        <f aca="false">CRM_Raw!C808</f>
        <v>2025-10-14</v>
      </c>
      <c r="D808" s="0" t="str">
        <f aca="false">IF(CRM_Raw!D808="DACH","DACH",IF(ISNUMBER(SEARCH("uk",CRM_Raw!D808)),"UK &amp; Ireland",PROPER(CRM_Raw!D808)))</f>
        <v>France</v>
      </c>
      <c r="E808" s="0" t="str">
        <f aca="false">CRM_Raw!E808</f>
        <v>Small Kitchen Appliances</v>
      </c>
      <c r="F808" s="0" t="str">
        <f aca="false">CRM_Raw!F808</f>
        <v>Social Media Ads</v>
      </c>
      <c r="G808" s="0" t="str">
        <f aca="false">IF(TRIM(CRM_Raw!G808)="","Unassigned",CRM_Raw!G808)</f>
        <v>M. Hoffmann</v>
      </c>
      <c r="H808" s="0" t="str">
        <f aca="false">CRM_Raw!H808</f>
        <v>Closed Won</v>
      </c>
      <c r="I808" s="10" t="n">
        <f aca="false">CRM_Raw!I808</f>
        <v>110.96</v>
      </c>
      <c r="J808" s="11" t="n">
        <f aca="false">CRM_Raw!J808</f>
        <v>0.05</v>
      </c>
      <c r="K808" s="10" t="n">
        <f aca="false">I808*(1-J808)</f>
        <v>105.412</v>
      </c>
      <c r="L808" s="12" t="n">
        <f aca="false">CRM_Raw!K808</f>
        <v>20</v>
      </c>
      <c r="M808" s="12" t="n">
        <f aca="false">IF(H808="Closed Won",1,0)</f>
        <v>1</v>
      </c>
    </row>
    <row r="809" customFormat="false" ht="15" hidden="false" customHeight="false" outlineLevel="0" collapsed="false">
      <c r="A809" s="0" t="str">
        <f aca="false">CRM_Raw!A809</f>
        <v>D-10805</v>
      </c>
      <c r="B809" s="0" t="str">
        <f aca="false">CRM_Raw!B809</f>
        <v>2025-10-17</v>
      </c>
      <c r="C809" s="0" t="n">
        <f aca="false">CRM_Raw!C809</f>
        <v>0</v>
      </c>
      <c r="D809" s="0" t="str">
        <f aca="false">IF(CRM_Raw!D809="DACH","DACH",IF(ISNUMBER(SEARCH("uk",CRM_Raw!D809)),"UK &amp; Ireland",PROPER(CRM_Raw!D809)))</f>
        <v>North America</v>
      </c>
      <c r="E809" s="0" t="str">
        <f aca="false">CRM_Raw!E809</f>
        <v>Cordless Vacuums</v>
      </c>
      <c r="F809" s="0" t="str">
        <f aca="false">CRM_Raw!F809</f>
        <v>Affiliate Partner</v>
      </c>
      <c r="G809" s="0" t="str">
        <f aca="false">IF(TRIM(CRM_Raw!G809)="","Unassigned",CRM_Raw!G809)</f>
        <v>K. Nilsson</v>
      </c>
      <c r="H809" s="0" t="str">
        <f aca="false">CRM_Raw!H809</f>
        <v>Qualified</v>
      </c>
      <c r="I809" s="10" t="n">
        <f aca="false">CRM_Raw!I809</f>
        <v>345.09</v>
      </c>
      <c r="J809" s="11" t="n">
        <f aca="false">CRM_Raw!J809</f>
        <v>0.1</v>
      </c>
      <c r="K809" s="10" t="n">
        <f aca="false">I809*(1-J809)</f>
        <v>310.581</v>
      </c>
      <c r="L809" s="12" t="n">
        <f aca="false">CRM_Raw!K809</f>
        <v>0</v>
      </c>
      <c r="M809" s="12" t="n">
        <f aca="false">IF(H809="Closed Won",1,0)</f>
        <v>0</v>
      </c>
    </row>
    <row r="810" customFormat="false" ht="15" hidden="false" customHeight="false" outlineLevel="0" collapsed="false">
      <c r="A810" s="0" t="str">
        <f aca="false">CRM_Raw!A810</f>
        <v>D-10806</v>
      </c>
      <c r="B810" s="0" t="str">
        <f aca="false">CRM_Raw!B810</f>
        <v>2026-05-19</v>
      </c>
      <c r="C810" s="0" t="n">
        <f aca="false">CRM_Raw!C810</f>
        <v>0</v>
      </c>
      <c r="D810" s="0" t="str">
        <f aca="false">IF(CRM_Raw!D810="DACH","DACH",IF(ISNUMBER(SEARCH("uk",CRM_Raw!D810)),"UK &amp; Ireland",PROPER(CRM_Raw!D810)))</f>
        <v>France</v>
      </c>
      <c r="E810" s="0" t="str">
        <f aca="false">CRM_Raw!E810</f>
        <v>Dishwashers</v>
      </c>
      <c r="F810" s="0" t="str">
        <f aca="false">CRM_Raw!F810</f>
        <v>Retail Referral</v>
      </c>
      <c r="G810" s="0" t="str">
        <f aca="false">IF(TRIM(CRM_Raw!G810)="","Unassigned",CRM_Raw!G810)</f>
        <v>P. Rossi</v>
      </c>
      <c r="H810" s="0" t="str">
        <f aca="false">CRM_Raw!H810</f>
        <v>Proposal Sent</v>
      </c>
      <c r="I810" s="10" t="n">
        <f aca="false">CRM_Raw!I810</f>
        <v>1325.42</v>
      </c>
      <c r="J810" s="11" t="n">
        <f aca="false">CRM_Raw!J810</f>
        <v>0</v>
      </c>
      <c r="K810" s="10" t="n">
        <f aca="false">I810*(1-J810)</f>
        <v>1325.42</v>
      </c>
      <c r="L810" s="12" t="n">
        <f aca="false">CRM_Raw!K810</f>
        <v>0</v>
      </c>
      <c r="M810" s="12" t="n">
        <f aca="false">IF(H810="Closed Won",1,0)</f>
        <v>0</v>
      </c>
    </row>
    <row r="811" customFormat="false" ht="15" hidden="false" customHeight="false" outlineLevel="0" collapsed="false">
      <c r="A811" s="0" t="str">
        <f aca="false">CRM_Raw!A811</f>
        <v>D-10807</v>
      </c>
      <c r="B811" s="0" t="str">
        <f aca="false">CRM_Raw!B811</f>
        <v>2025-02-06</v>
      </c>
      <c r="C811" s="0" t="str">
        <f aca="false">CRM_Raw!C811</f>
        <v>2025-03-04</v>
      </c>
      <c r="D811" s="0" t="str">
        <f aca="false">IF(CRM_Raw!D811="DACH","DACH",IF(ISNUMBER(SEARCH("uk",CRM_Raw!D811)),"UK &amp; Ireland",PROPER(CRM_Raw!D811)))</f>
        <v>UK &amp; Ireland</v>
      </c>
      <c r="E811" s="0" t="str">
        <f aca="false">CRM_Raw!E811</f>
        <v>Coffee Systems</v>
      </c>
      <c r="F811" s="0" t="str">
        <f aca="false">CRM_Raw!F811</f>
        <v>Web-shop Organic</v>
      </c>
      <c r="G811" s="0" t="str">
        <f aca="false">IF(TRIM(CRM_Raw!G811)="","Unassigned",CRM_Raw!G811)</f>
        <v>M. Hoffmann</v>
      </c>
      <c r="H811" s="0" t="str">
        <f aca="false">CRM_Raw!H811</f>
        <v>Closed Lost</v>
      </c>
      <c r="I811" s="10" t="n">
        <f aca="false">CRM_Raw!I811</f>
        <v>962.6</v>
      </c>
      <c r="J811" s="11" t="n">
        <f aca="false">CRM_Raw!J811</f>
        <v>0</v>
      </c>
      <c r="K811" s="10" t="n">
        <f aca="false">I811*(1-J811)</f>
        <v>962.6</v>
      </c>
      <c r="L811" s="12" t="n">
        <f aca="false">CRM_Raw!K811</f>
        <v>26</v>
      </c>
      <c r="M811" s="12" t="n">
        <f aca="false">IF(H811="Closed Won",1,0)</f>
        <v>0</v>
      </c>
    </row>
    <row r="812" customFormat="false" ht="15" hidden="false" customHeight="false" outlineLevel="0" collapsed="false">
      <c r="A812" s="0" t="str">
        <f aca="false">CRM_Raw!A812</f>
        <v>D-10808</v>
      </c>
      <c r="B812" s="0" t="str">
        <f aca="false">CRM_Raw!B812</f>
        <v>2026-04-14</v>
      </c>
      <c r="C812" s="0" t="str">
        <f aca="false">CRM_Raw!C812</f>
        <v>2026-05-13</v>
      </c>
      <c r="D812" s="0" t="str">
        <f aca="false">IF(CRM_Raw!D812="DACH","DACH",IF(ISNUMBER(SEARCH("uk",CRM_Raw!D812)),"UK &amp; Ireland",PROPER(CRM_Raw!D812)))</f>
        <v>Benelux</v>
      </c>
      <c r="E812" s="0" t="str">
        <f aca="false">CRM_Raw!E812</f>
        <v>Cordless Vacuums</v>
      </c>
      <c r="F812" s="0" t="str">
        <f aca="false">CRM_Raw!F812</f>
        <v>Trade Show</v>
      </c>
      <c r="G812" s="0" t="str">
        <f aca="false">IF(TRIM(CRM_Raw!G812)="","Unassigned",CRM_Raw!G812)</f>
        <v>T. Wagner</v>
      </c>
      <c r="H812" s="0" t="str">
        <f aca="false">CRM_Raw!H812</f>
        <v>Closed Lost</v>
      </c>
      <c r="I812" s="10" t="n">
        <f aca="false">CRM_Raw!I812</f>
        <v>395.88</v>
      </c>
      <c r="J812" s="11" t="n">
        <f aca="false">CRM_Raw!J812</f>
        <v>0</v>
      </c>
      <c r="K812" s="10" t="n">
        <f aca="false">I812*(1-J812)</f>
        <v>395.88</v>
      </c>
      <c r="L812" s="12" t="n">
        <f aca="false">CRM_Raw!K812</f>
        <v>29</v>
      </c>
      <c r="M812" s="12" t="n">
        <f aca="false">IF(H812="Closed Won",1,0)</f>
        <v>0</v>
      </c>
    </row>
    <row r="813" customFormat="false" ht="15" hidden="false" customHeight="false" outlineLevel="0" collapsed="false">
      <c r="A813" s="0" t="str">
        <f aca="false">CRM_Raw!A813</f>
        <v>D-10809</v>
      </c>
      <c r="B813" s="0" t="str">
        <f aca="false">CRM_Raw!B813</f>
        <v>2025-07-04</v>
      </c>
      <c r="C813" s="0" t="n">
        <f aca="false">CRM_Raw!C813</f>
        <v>0</v>
      </c>
      <c r="D813" s="0" t="str">
        <f aca="false">IF(CRM_Raw!D813="DACH","DACH",IF(ISNUMBER(SEARCH("uk",CRM_Raw!D813)),"UK &amp; Ireland",PROPER(CRM_Raw!D813)))</f>
        <v>France</v>
      </c>
      <c r="E813" s="0" t="str">
        <f aca="false">CRM_Raw!E813</f>
        <v>Smart Ovens</v>
      </c>
      <c r="F813" s="0" t="str">
        <f aca="false">CRM_Raw!F813</f>
        <v>Web-shop Organic</v>
      </c>
      <c r="G813" s="0" t="str">
        <f aca="false">IF(TRIM(CRM_Raw!G813)="","Unassigned",CRM_Raw!G813)</f>
        <v>J. Murphy</v>
      </c>
      <c r="H813" s="0" t="str">
        <f aca="false">CRM_Raw!H813</f>
        <v>Proposal Sent</v>
      </c>
      <c r="I813" s="10" t="n">
        <f aca="false">CRM_Raw!I813</f>
        <v>919.21</v>
      </c>
      <c r="J813" s="11" t="n">
        <f aca="false">CRM_Raw!J813</f>
        <v>0.1</v>
      </c>
      <c r="K813" s="10" t="n">
        <f aca="false">I813*(1-J813)</f>
        <v>827.289</v>
      </c>
      <c r="L813" s="12" t="n">
        <f aca="false">CRM_Raw!K813</f>
        <v>0</v>
      </c>
      <c r="M813" s="12" t="n">
        <f aca="false">IF(H813="Closed Won",1,0)</f>
        <v>0</v>
      </c>
    </row>
    <row r="814" customFormat="false" ht="15" hidden="false" customHeight="false" outlineLevel="0" collapsed="false">
      <c r="A814" s="0" t="str">
        <f aca="false">CRM_Raw!A814</f>
        <v>D-10810</v>
      </c>
      <c r="B814" s="0" t="str">
        <f aca="false">CRM_Raw!B814</f>
        <v>2025-07-04</v>
      </c>
      <c r="C814" s="0" t="str">
        <f aca="false">CRM_Raw!C814</f>
        <v>2025-08-07</v>
      </c>
      <c r="D814" s="0" t="str">
        <f aca="false">IF(CRM_Raw!D814="DACH","DACH",IF(ISNUMBER(SEARCH("uk",CRM_Raw!D814)),"UK &amp; Ireland",PROPER(CRM_Raw!D814)))</f>
        <v>Southern Europe</v>
      </c>
      <c r="E814" s="0" t="str">
        <f aca="false">CRM_Raw!E814</f>
        <v>Washing Machines</v>
      </c>
      <c r="F814" s="0" t="str">
        <f aca="false">CRM_Raw!F814</f>
        <v>Web-shop Organic</v>
      </c>
      <c r="G814" s="0" t="str">
        <f aca="false">IF(TRIM(CRM_Raw!G814)="","Unassigned",CRM_Raw!G814)</f>
        <v>A. Becker</v>
      </c>
      <c r="H814" s="0" t="str">
        <f aca="false">CRM_Raw!H814</f>
        <v>Closed Lost</v>
      </c>
      <c r="I814" s="10" t="n">
        <f aca="false">CRM_Raw!I814</f>
        <v>702.98</v>
      </c>
      <c r="J814" s="11" t="n">
        <f aca="false">CRM_Raw!J814</f>
        <v>0</v>
      </c>
      <c r="K814" s="10" t="n">
        <f aca="false">I814*(1-J814)</f>
        <v>702.98</v>
      </c>
      <c r="L814" s="12" t="n">
        <f aca="false">CRM_Raw!K814</f>
        <v>34</v>
      </c>
      <c r="M814" s="12" t="n">
        <f aca="false">IF(H814="Closed Won",1,0)</f>
        <v>0</v>
      </c>
    </row>
    <row r="815" customFormat="false" ht="15" hidden="false" customHeight="false" outlineLevel="0" collapsed="false">
      <c r="A815" s="0" t="str">
        <f aca="false">CRM_Raw!A815</f>
        <v>D-10811</v>
      </c>
      <c r="B815" s="0" t="str">
        <f aca="false">CRM_Raw!B815</f>
        <v>2026-02-08</v>
      </c>
      <c r="C815" s="0" t="str">
        <f aca="false">CRM_Raw!C815</f>
        <v>2026-03-08</v>
      </c>
      <c r="D815" s="0" t="str">
        <f aca="false">IF(CRM_Raw!D815="DACH","DACH",IF(ISNUMBER(SEARCH("uk",CRM_Raw!D815)),"UK &amp; Ireland",PROPER(CRM_Raw!D815)))</f>
        <v>France</v>
      </c>
      <c r="E815" s="0" t="str">
        <f aca="false">CRM_Raw!E815</f>
        <v>Small Kitchen Appliances</v>
      </c>
      <c r="F815" s="0" t="str">
        <f aca="false">CRM_Raw!F815</f>
        <v>Trade Show</v>
      </c>
      <c r="G815" s="0" t="str">
        <f aca="false">IF(TRIM(CRM_Raw!G815)="","Unassigned",CRM_Raw!G815)</f>
        <v>L. Dubois</v>
      </c>
      <c r="H815" s="0" t="str">
        <f aca="false">CRM_Raw!H815</f>
        <v>Closed Won</v>
      </c>
      <c r="I815" s="10" t="n">
        <f aca="false">CRM_Raw!I815</f>
        <v>137.22</v>
      </c>
      <c r="J815" s="11" t="n">
        <f aca="false">CRM_Raw!J815</f>
        <v>0.2</v>
      </c>
      <c r="K815" s="10" t="n">
        <f aca="false">I815*(1-J815)</f>
        <v>109.776</v>
      </c>
      <c r="L815" s="12" t="n">
        <f aca="false">CRM_Raw!K815</f>
        <v>28</v>
      </c>
      <c r="M815" s="12" t="n">
        <f aca="false">IF(H815="Closed Won",1,0)</f>
        <v>1</v>
      </c>
    </row>
    <row r="816" customFormat="false" ht="15" hidden="false" customHeight="false" outlineLevel="0" collapsed="false">
      <c r="A816" s="0" t="str">
        <f aca="false">CRM_Raw!A816</f>
        <v>D-10812</v>
      </c>
      <c r="B816" s="0" t="str">
        <f aca="false">CRM_Raw!B816</f>
        <v>2026-05-07</v>
      </c>
      <c r="C816" s="0" t="str">
        <f aca="false">CRM_Raw!C816</f>
        <v>2026-06-01</v>
      </c>
      <c r="D816" s="0" t="str">
        <f aca="false">IF(CRM_Raw!D816="DACH","DACH",IF(ISNUMBER(SEARCH("uk",CRM_Raw!D816)),"UK &amp; Ireland",PROPER(CRM_Raw!D816)))</f>
        <v>France</v>
      </c>
      <c r="E816" s="0" t="str">
        <f aca="false">CRM_Raw!E816</f>
        <v>Coffee Systems</v>
      </c>
      <c r="F816" s="0" t="str">
        <f aca="false">CRM_Raw!F816</f>
        <v>Web-shop Organic</v>
      </c>
      <c r="G816" s="0" t="str">
        <f aca="false">IF(TRIM(CRM_Raw!G816)="","Unassigned",CRM_Raw!G816)</f>
        <v>T. Wagner</v>
      </c>
      <c r="H816" s="0" t="str">
        <f aca="false">CRM_Raw!H816</f>
        <v>Closed Lost</v>
      </c>
      <c r="I816" s="10" t="n">
        <f aca="false">CRM_Raw!I816</f>
        <v>467.38</v>
      </c>
      <c r="J816" s="11" t="n">
        <f aca="false">CRM_Raw!J816</f>
        <v>0.15</v>
      </c>
      <c r="K816" s="10" t="n">
        <f aca="false">I816*(1-J816)</f>
        <v>397.273</v>
      </c>
      <c r="L816" s="12" t="n">
        <f aca="false">CRM_Raw!K816</f>
        <v>32</v>
      </c>
      <c r="M816" s="12" t="n">
        <f aca="false">IF(H816="Closed Won",1,0)</f>
        <v>0</v>
      </c>
    </row>
    <row r="817" customFormat="false" ht="15" hidden="false" customHeight="false" outlineLevel="0" collapsed="false">
      <c r="A817" s="0" t="str">
        <f aca="false">CRM_Raw!A817</f>
        <v>D-10813</v>
      </c>
      <c r="B817" s="0" t="str">
        <f aca="false">CRM_Raw!B817</f>
        <v>2025-08-05</v>
      </c>
      <c r="C817" s="0" t="n">
        <f aca="false">CRM_Raw!C817</f>
        <v>0</v>
      </c>
      <c r="D817" s="0" t="str">
        <f aca="false">IF(CRM_Raw!D817="DACH","DACH",IF(ISNUMBER(SEARCH("uk",CRM_Raw!D817)),"UK &amp; Ireland",PROPER(CRM_Raw!D817)))</f>
        <v>Nordics</v>
      </c>
      <c r="E817" s="0" t="str">
        <f aca="false">CRM_Raw!E817</f>
        <v>Dishwashers</v>
      </c>
      <c r="F817" s="0" t="str">
        <f aca="false">CRM_Raw!F817</f>
        <v>Paid Search</v>
      </c>
      <c r="G817" s="0" t="str">
        <f aca="false">IF(TRIM(CRM_Raw!G817)="","Unassigned",CRM_Raw!G817)</f>
        <v>M. Hoffmann</v>
      </c>
      <c r="H817" s="0" t="str">
        <f aca="false">CRM_Raw!H817</f>
        <v>Proposal Sent</v>
      </c>
      <c r="I817" s="10" t="n">
        <f aca="false">CRM_Raw!I817</f>
        <v>774.73</v>
      </c>
      <c r="J817" s="11" t="n">
        <f aca="false">CRM_Raw!J817</f>
        <v>0</v>
      </c>
      <c r="K817" s="10" t="n">
        <f aca="false">I817*(1-J817)</f>
        <v>774.73</v>
      </c>
      <c r="L817" s="12" t="n">
        <f aca="false">CRM_Raw!K817</f>
        <v>0</v>
      </c>
      <c r="M817" s="12" t="n">
        <f aca="false">IF(H817="Closed Won",1,0)</f>
        <v>0</v>
      </c>
    </row>
    <row r="818" customFormat="false" ht="15" hidden="false" customHeight="false" outlineLevel="0" collapsed="false">
      <c r="A818" s="0" t="str">
        <f aca="false">CRM_Raw!A818</f>
        <v>D-10814</v>
      </c>
      <c r="B818" s="0" t="str">
        <f aca="false">CRM_Raw!B818</f>
        <v>2025-04-05</v>
      </c>
      <c r="C818" s="0" t="str">
        <f aca="false">CRM_Raw!C818</f>
        <v>2025-04-22</v>
      </c>
      <c r="D818" s="0" t="str">
        <f aca="false">IF(CRM_Raw!D818="DACH","DACH",IF(ISNUMBER(SEARCH("uk",CRM_Raw!D818)),"UK &amp; Ireland",PROPER(CRM_Raw!D818)))</f>
        <v>North America</v>
      </c>
      <c r="E818" s="0" t="str">
        <f aca="false">CRM_Raw!E818</f>
        <v>Smart Ovens</v>
      </c>
      <c r="F818" s="0" t="str">
        <f aca="false">CRM_Raw!F818</f>
        <v>Affiliate Partner</v>
      </c>
      <c r="G818" s="0" t="str">
        <f aca="false">IF(TRIM(CRM_Raw!G818)="","Unassigned",CRM_Raw!G818)</f>
        <v>K. Nilsson</v>
      </c>
      <c r="H818" s="0" t="str">
        <f aca="false">CRM_Raw!H818</f>
        <v>Closed Lost</v>
      </c>
      <c r="I818" s="10" t="n">
        <f aca="false">CRM_Raw!I818</f>
        <v>1601.91</v>
      </c>
      <c r="J818" s="11" t="n">
        <f aca="false">CRM_Raw!J818</f>
        <v>0</v>
      </c>
      <c r="K818" s="10" t="n">
        <f aca="false">I818*(1-J818)</f>
        <v>1601.91</v>
      </c>
      <c r="L818" s="12" t="n">
        <f aca="false">CRM_Raw!K818</f>
        <v>17</v>
      </c>
      <c r="M818" s="12" t="n">
        <f aca="false">IF(H818="Closed Won",1,0)</f>
        <v>0</v>
      </c>
    </row>
    <row r="819" customFormat="false" ht="15" hidden="false" customHeight="false" outlineLevel="0" collapsed="false">
      <c r="A819" s="0" t="str">
        <f aca="false">CRM_Raw!A819</f>
        <v>D-10815</v>
      </c>
      <c r="B819" s="0" t="str">
        <f aca="false">CRM_Raw!B819</f>
        <v>2025-10-19</v>
      </c>
      <c r="C819" s="0" t="n">
        <f aca="false">CRM_Raw!C819</f>
        <v>0</v>
      </c>
      <c r="D819" s="0" t="str">
        <f aca="false">IF(CRM_Raw!D819="DACH","DACH",IF(ISNUMBER(SEARCH("uk",CRM_Raw!D819)),"UK &amp; Ireland",PROPER(CRM_Raw!D819)))</f>
        <v>DACH</v>
      </c>
      <c r="E819" s="0" t="str">
        <f aca="false">CRM_Raw!E819</f>
        <v>Coffee Systems</v>
      </c>
      <c r="F819" s="0" t="str">
        <f aca="false">CRM_Raw!F819</f>
        <v>Web-shop Organic</v>
      </c>
      <c r="G819" s="0" t="str">
        <f aca="false">IF(TRIM(CRM_Raw!G819)="","Unassigned",CRM_Raw!G819)</f>
        <v>K. Nilsson</v>
      </c>
      <c r="H819" s="0" t="str">
        <f aca="false">CRM_Raw!H819</f>
        <v>Negotiation</v>
      </c>
      <c r="I819" s="10" t="n">
        <f aca="false">CRM_Raw!I819</f>
        <v>587.17</v>
      </c>
      <c r="J819" s="11" t="n">
        <f aca="false">CRM_Raw!J819</f>
        <v>0</v>
      </c>
      <c r="K819" s="10" t="n">
        <f aca="false">I819*(1-J819)</f>
        <v>587.17</v>
      </c>
      <c r="L819" s="12" t="n">
        <f aca="false">CRM_Raw!K819</f>
        <v>0</v>
      </c>
      <c r="M819" s="12" t="n">
        <f aca="false">IF(H819="Closed Won",1,0)</f>
        <v>0</v>
      </c>
    </row>
    <row r="820" customFormat="false" ht="15" hidden="false" customHeight="false" outlineLevel="0" collapsed="false">
      <c r="A820" s="0" t="str">
        <f aca="false">CRM_Raw!A820</f>
        <v>D-10816</v>
      </c>
      <c r="B820" s="0" t="str">
        <f aca="false">CRM_Raw!B820</f>
        <v>2025-05-15</v>
      </c>
      <c r="C820" s="0" t="str">
        <f aca="false">CRM_Raw!C820</f>
        <v>2025-06-12</v>
      </c>
      <c r="D820" s="0" t="str">
        <f aca="false">IF(CRM_Raw!D820="DACH","DACH",IF(ISNUMBER(SEARCH("uk",CRM_Raw!D820)),"UK &amp; Ireland",PROPER(CRM_Raw!D820)))</f>
        <v>France</v>
      </c>
      <c r="E820" s="0" t="str">
        <f aca="false">CRM_Raw!E820</f>
        <v>Dishwashers</v>
      </c>
      <c r="F820" s="0" t="str">
        <f aca="false">CRM_Raw!F820</f>
        <v>Email Campaign</v>
      </c>
      <c r="G820" s="0" t="str">
        <f aca="false">IF(TRIM(CRM_Raw!G820)="","Unassigned",CRM_Raw!G820)</f>
        <v>J. Murphy</v>
      </c>
      <c r="H820" s="0" t="str">
        <f aca="false">CRM_Raw!H820</f>
        <v>Closed Won</v>
      </c>
      <c r="I820" s="10" t="n">
        <f aca="false">CRM_Raw!I820</f>
        <v>1342.16</v>
      </c>
      <c r="J820" s="11" t="n">
        <f aca="false">CRM_Raw!J820</f>
        <v>0.05</v>
      </c>
      <c r="K820" s="10" t="n">
        <f aca="false">I820*(1-J820)</f>
        <v>1275.052</v>
      </c>
      <c r="L820" s="12" t="n">
        <f aca="false">CRM_Raw!K820</f>
        <v>28</v>
      </c>
      <c r="M820" s="12" t="n">
        <f aca="false">IF(H820="Closed Won",1,0)</f>
        <v>1</v>
      </c>
    </row>
    <row r="821" customFormat="false" ht="15" hidden="false" customHeight="false" outlineLevel="0" collapsed="false">
      <c r="A821" s="0" t="str">
        <f aca="false">CRM_Raw!A821</f>
        <v>D-10817</v>
      </c>
      <c r="B821" s="0" t="str">
        <f aca="false">CRM_Raw!B821</f>
        <v>2025-04-03</v>
      </c>
      <c r="C821" s="0" t="n">
        <f aca="false">CRM_Raw!C821</f>
        <v>0</v>
      </c>
      <c r="D821" s="0" t="str">
        <f aca="false">IF(CRM_Raw!D821="DACH","DACH",IF(ISNUMBER(SEARCH("uk",CRM_Raw!D821)),"UK &amp; Ireland",PROPER(CRM_Raw!D821)))</f>
        <v>Benelux</v>
      </c>
      <c r="E821" s="0" t="str">
        <f aca="false">CRM_Raw!E821</f>
        <v>Cordless Vacuums</v>
      </c>
      <c r="F821" s="0" t="str">
        <f aca="false">CRM_Raw!F821</f>
        <v>Social Media Ads</v>
      </c>
      <c r="G821" s="0" t="str">
        <f aca="false">IF(TRIM(CRM_Raw!G821)="","Unassigned",CRM_Raw!G821)</f>
        <v>Unassigned</v>
      </c>
      <c r="H821" s="0" t="str">
        <f aca="false">CRM_Raw!H821</f>
        <v>Proposal Sent</v>
      </c>
      <c r="I821" s="10" t="n">
        <f aca="false">CRM_Raw!I821</f>
        <v>1178.53</v>
      </c>
      <c r="J821" s="11" t="n">
        <f aca="false">CRM_Raw!J821</f>
        <v>0</v>
      </c>
      <c r="K821" s="10" t="n">
        <f aca="false">I821*(1-J821)</f>
        <v>1178.53</v>
      </c>
      <c r="L821" s="12" t="n">
        <f aca="false">CRM_Raw!K821</f>
        <v>0</v>
      </c>
      <c r="M821" s="12" t="n">
        <f aca="false">IF(H821="Closed Won",1,0)</f>
        <v>0</v>
      </c>
    </row>
    <row r="822" customFormat="false" ht="15" hidden="false" customHeight="false" outlineLevel="0" collapsed="false">
      <c r="A822" s="0" t="str">
        <f aca="false">CRM_Raw!A822</f>
        <v>D-10818</v>
      </c>
      <c r="B822" s="0" t="str">
        <f aca="false">CRM_Raw!B822</f>
        <v>2025-12-16</v>
      </c>
      <c r="C822" s="0" t="n">
        <f aca="false">CRM_Raw!C822</f>
        <v>0</v>
      </c>
      <c r="D822" s="0" t="str">
        <f aca="false">IF(CRM_Raw!D822="DACH","DACH",IF(ISNUMBER(SEARCH("uk",CRM_Raw!D822)),"UK &amp; Ireland",PROPER(CRM_Raw!D822)))</f>
        <v>Benelux</v>
      </c>
      <c r="E822" s="0" t="str">
        <f aca="false">CRM_Raw!E822</f>
        <v>Small Kitchen Appliances</v>
      </c>
      <c r="F822" s="0" t="str">
        <f aca="false">CRM_Raw!F822</f>
        <v>Paid Search</v>
      </c>
      <c r="G822" s="0" t="str">
        <f aca="false">IF(TRIM(CRM_Raw!G822)="","Unassigned",CRM_Raw!G822)</f>
        <v>A. Becker</v>
      </c>
      <c r="H822" s="0" t="str">
        <f aca="false">CRM_Raw!H822</f>
        <v>Qualified</v>
      </c>
      <c r="I822" s="10" t="n">
        <f aca="false">CRM_Raw!I822</f>
        <v>129.72</v>
      </c>
      <c r="J822" s="11" t="n">
        <f aca="false">CRM_Raw!J822</f>
        <v>0.05</v>
      </c>
      <c r="K822" s="10" t="n">
        <f aca="false">I822*(1-J822)</f>
        <v>123.234</v>
      </c>
      <c r="L822" s="12" t="n">
        <f aca="false">CRM_Raw!K822</f>
        <v>0</v>
      </c>
      <c r="M822" s="12" t="n">
        <f aca="false">IF(H822="Closed Won",1,0)</f>
        <v>0</v>
      </c>
    </row>
    <row r="823" customFormat="false" ht="15" hidden="false" customHeight="false" outlineLevel="0" collapsed="false">
      <c r="A823" s="0" t="str">
        <f aca="false">CRM_Raw!A823</f>
        <v>D-10819</v>
      </c>
      <c r="B823" s="0" t="str">
        <f aca="false">CRM_Raw!B823</f>
        <v>2025-10-25</v>
      </c>
      <c r="C823" s="0" t="str">
        <f aca="false">CRM_Raw!C823</f>
        <v>2025-11-19</v>
      </c>
      <c r="D823" s="0" t="str">
        <f aca="false">IF(CRM_Raw!D823="DACH","DACH",IF(ISNUMBER(SEARCH("uk",CRM_Raw!D823)),"UK &amp; Ireland",PROPER(CRM_Raw!D823)))</f>
        <v>Nordics</v>
      </c>
      <c r="E823" s="0" t="str">
        <f aca="false">CRM_Raw!E823</f>
        <v>Small Kitchen Appliances</v>
      </c>
      <c r="F823" s="0" t="str">
        <f aca="false">CRM_Raw!F823</f>
        <v>Affiliate Partner</v>
      </c>
      <c r="G823" s="0" t="str">
        <f aca="false">IF(TRIM(CRM_Raw!G823)="","Unassigned",CRM_Raw!G823)</f>
        <v>L. Dubois</v>
      </c>
      <c r="H823" s="0" t="str">
        <f aca="false">CRM_Raw!H823</f>
        <v>Closed Lost</v>
      </c>
      <c r="I823" s="10" t="n">
        <f aca="false">CRM_Raw!I823</f>
        <v>224</v>
      </c>
      <c r="J823" s="11" t="n">
        <f aca="false">CRM_Raw!J823</f>
        <v>0</v>
      </c>
      <c r="K823" s="10" t="n">
        <f aca="false">I823*(1-J823)</f>
        <v>224</v>
      </c>
      <c r="L823" s="12" t="n">
        <f aca="false">CRM_Raw!K823</f>
        <v>25</v>
      </c>
      <c r="M823" s="12" t="n">
        <f aca="false">IF(H823="Closed Won",1,0)</f>
        <v>0</v>
      </c>
    </row>
    <row r="824" customFormat="false" ht="15" hidden="false" customHeight="false" outlineLevel="0" collapsed="false">
      <c r="A824" s="0" t="str">
        <f aca="false">CRM_Raw!A824</f>
        <v>D-10820</v>
      </c>
      <c r="B824" s="0" t="str">
        <f aca="false">CRM_Raw!B824</f>
        <v>2025-09-12</v>
      </c>
      <c r="C824" s="0" t="str">
        <f aca="false">CRM_Raw!C824</f>
        <v>2025-10-02</v>
      </c>
      <c r="D824" s="0" t="str">
        <f aca="false">IF(CRM_Raw!D824="DACH","DACH",IF(ISNUMBER(SEARCH("uk",CRM_Raw!D824)),"UK &amp; Ireland",PROPER(CRM_Raw!D824)))</f>
        <v>UK &amp; Ireland</v>
      </c>
      <c r="E824" s="0" t="str">
        <f aca="false">CRM_Raw!E824</f>
        <v>Coffee Systems</v>
      </c>
      <c r="F824" s="0" t="str">
        <f aca="false">CRM_Raw!F824</f>
        <v>Affiliate Partner</v>
      </c>
      <c r="G824" s="0" t="str">
        <f aca="false">IF(TRIM(CRM_Raw!G824)="","Unassigned",CRM_Raw!G824)</f>
        <v>J. Murphy</v>
      </c>
      <c r="H824" s="0" t="str">
        <f aca="false">CRM_Raw!H824</f>
        <v>Closed Lost</v>
      </c>
      <c r="I824" s="10" t="n">
        <f aca="false">CRM_Raw!I824</f>
        <v>476.31</v>
      </c>
      <c r="J824" s="11" t="n">
        <f aca="false">CRM_Raw!J824</f>
        <v>0.1</v>
      </c>
      <c r="K824" s="10" t="n">
        <f aca="false">I824*(1-J824)</f>
        <v>428.679</v>
      </c>
      <c r="L824" s="12" t="n">
        <f aca="false">CRM_Raw!K824</f>
        <v>20</v>
      </c>
      <c r="M824" s="12" t="n">
        <f aca="false">IF(H824="Closed Won",1,0)</f>
        <v>0</v>
      </c>
    </row>
    <row r="825" customFormat="false" ht="15" hidden="false" customHeight="false" outlineLevel="0" collapsed="false">
      <c r="A825" s="0" t="str">
        <f aca="false">CRM_Raw!A825</f>
        <v>D-10821</v>
      </c>
      <c r="B825" s="0" t="str">
        <f aca="false">CRM_Raw!B825</f>
        <v>2026-04-21</v>
      </c>
      <c r="C825" s="0" t="n">
        <f aca="false">CRM_Raw!C825</f>
        <v>0</v>
      </c>
      <c r="D825" s="0" t="str">
        <f aca="false">IF(CRM_Raw!D825="DACH","DACH",IF(ISNUMBER(SEARCH("uk",CRM_Raw!D825)),"UK &amp; Ireland",PROPER(CRM_Raw!D825)))</f>
        <v>DACH</v>
      </c>
      <c r="E825" s="0" t="str">
        <f aca="false">CRM_Raw!E825</f>
        <v>Washing Machines</v>
      </c>
      <c r="F825" s="0" t="str">
        <f aca="false">CRM_Raw!F825</f>
        <v>Paid Search</v>
      </c>
      <c r="G825" s="0" t="str">
        <f aca="false">IF(TRIM(CRM_Raw!G825)="","Unassigned",CRM_Raw!G825)</f>
        <v>L. Dubois</v>
      </c>
      <c r="H825" s="0" t="str">
        <f aca="false">CRM_Raw!H825</f>
        <v>Negotiation</v>
      </c>
      <c r="I825" s="10" t="n">
        <f aca="false">CRM_Raw!I825</f>
        <v>685.54</v>
      </c>
      <c r="J825" s="11" t="n">
        <f aca="false">CRM_Raw!J825</f>
        <v>0</v>
      </c>
      <c r="K825" s="10" t="n">
        <f aca="false">I825*(1-J825)</f>
        <v>685.54</v>
      </c>
      <c r="L825" s="12" t="n">
        <f aca="false">CRM_Raw!K825</f>
        <v>0</v>
      </c>
      <c r="M825" s="12" t="n">
        <f aca="false">IF(H825="Closed Won",1,0)</f>
        <v>0</v>
      </c>
    </row>
    <row r="826" customFormat="false" ht="15" hidden="false" customHeight="false" outlineLevel="0" collapsed="false">
      <c r="A826" s="0" t="str">
        <f aca="false">CRM_Raw!A826</f>
        <v>D-10822</v>
      </c>
      <c r="B826" s="0" t="str">
        <f aca="false">CRM_Raw!B826</f>
        <v>2025-04-27</v>
      </c>
      <c r="C826" s="0" t="n">
        <f aca="false">CRM_Raw!C826</f>
        <v>0</v>
      </c>
      <c r="D826" s="0" t="str">
        <f aca="false">IF(CRM_Raw!D826="DACH","DACH",IF(ISNUMBER(SEARCH("uk",CRM_Raw!D826)),"UK &amp; Ireland",PROPER(CRM_Raw!D826)))</f>
        <v>France</v>
      </c>
      <c r="E826" s="0" t="str">
        <f aca="false">CRM_Raw!E826</f>
        <v>Washing Machines</v>
      </c>
      <c r="F826" s="0" t="str">
        <f aca="false">CRM_Raw!F826</f>
        <v>Web-shop Organic</v>
      </c>
      <c r="G826" s="0" t="str">
        <f aca="false">IF(TRIM(CRM_Raw!G826)="","Unassigned",CRM_Raw!G826)</f>
        <v>A. Becker</v>
      </c>
      <c r="H826" s="0" t="str">
        <f aca="false">CRM_Raw!H826</f>
        <v>Negotiation</v>
      </c>
      <c r="I826" s="10" t="n">
        <f aca="false">CRM_Raw!I826</f>
        <v>668.57</v>
      </c>
      <c r="J826" s="11" t="n">
        <f aca="false">CRM_Raw!J826</f>
        <v>0.2</v>
      </c>
      <c r="K826" s="10" t="n">
        <f aca="false">I826*(1-J826)</f>
        <v>534.856</v>
      </c>
      <c r="L826" s="12" t="n">
        <f aca="false">CRM_Raw!K826</f>
        <v>0</v>
      </c>
      <c r="M826" s="12" t="n">
        <f aca="false">IF(H826="Closed Won",1,0)</f>
        <v>0</v>
      </c>
    </row>
    <row r="827" customFormat="false" ht="15" hidden="false" customHeight="false" outlineLevel="0" collapsed="false">
      <c r="A827" s="0" t="str">
        <f aca="false">CRM_Raw!A827</f>
        <v>D-10823</v>
      </c>
      <c r="B827" s="0" t="str">
        <f aca="false">CRM_Raw!B827</f>
        <v>2025-11-18</v>
      </c>
      <c r="C827" s="0" t="str">
        <f aca="false">CRM_Raw!C827</f>
        <v>2025-12-11</v>
      </c>
      <c r="D827" s="0" t="str">
        <f aca="false">IF(CRM_Raw!D827="DACH","DACH",IF(ISNUMBER(SEARCH("uk",CRM_Raw!D827)),"UK &amp; Ireland",PROPER(CRM_Raw!D827)))</f>
        <v>Benelux</v>
      </c>
      <c r="E827" s="0" t="str">
        <f aca="false">CRM_Raw!E827</f>
        <v>Smart Ovens</v>
      </c>
      <c r="F827" s="0" t="str">
        <f aca="false">CRM_Raw!F827</f>
        <v>Web-shop Organic</v>
      </c>
      <c r="G827" s="0" t="str">
        <f aca="false">IF(TRIM(CRM_Raw!G827)="","Unassigned",CRM_Raw!G827)</f>
        <v>J. Murphy</v>
      </c>
      <c r="H827" s="0" t="str">
        <f aca="false">CRM_Raw!H827</f>
        <v>Closed Lost</v>
      </c>
      <c r="I827" s="10" t="n">
        <f aca="false">CRM_Raw!I827</f>
        <v>1716.46</v>
      </c>
      <c r="J827" s="11" t="n">
        <f aca="false">CRM_Raw!J827</f>
        <v>0.1</v>
      </c>
      <c r="K827" s="10" t="n">
        <f aca="false">I827*(1-J827)</f>
        <v>1544.814</v>
      </c>
      <c r="L827" s="12" t="n">
        <f aca="false">CRM_Raw!K827</f>
        <v>23</v>
      </c>
      <c r="M827" s="12" t="n">
        <f aca="false">IF(H827="Closed Won",1,0)</f>
        <v>0</v>
      </c>
    </row>
    <row r="828" customFormat="false" ht="15" hidden="false" customHeight="false" outlineLevel="0" collapsed="false">
      <c r="A828" s="0" t="str">
        <f aca="false">CRM_Raw!A828</f>
        <v>D-10824</v>
      </c>
      <c r="B828" s="0" t="str">
        <f aca="false">CRM_Raw!B828</f>
        <v>2025-08-05</v>
      </c>
      <c r="C828" s="0" t="str">
        <f aca="false">CRM_Raw!C828</f>
        <v>2025-08-25</v>
      </c>
      <c r="D828" s="0" t="str">
        <f aca="false">IF(CRM_Raw!D828="DACH","DACH",IF(ISNUMBER(SEARCH("uk",CRM_Raw!D828)),"UK &amp; Ireland",PROPER(CRM_Raw!D828)))</f>
        <v>North America</v>
      </c>
      <c r="E828" s="0" t="str">
        <f aca="false">CRM_Raw!E828</f>
        <v>Cordless Vacuums</v>
      </c>
      <c r="F828" s="0" t="str">
        <f aca="false">CRM_Raw!F828</f>
        <v>Paid Search</v>
      </c>
      <c r="G828" s="0" t="str">
        <f aca="false">IF(TRIM(CRM_Raw!G828)="","Unassigned",CRM_Raw!G828)</f>
        <v>M. Hoffmann</v>
      </c>
      <c r="H828" s="0" t="str">
        <f aca="false">CRM_Raw!H828</f>
        <v>Closed Won</v>
      </c>
      <c r="I828" s="10" t="n">
        <f aca="false">CRM_Raw!I828</f>
        <v>398.13</v>
      </c>
      <c r="J828" s="11" t="n">
        <f aca="false">CRM_Raw!J828</f>
        <v>0.05</v>
      </c>
      <c r="K828" s="10" t="n">
        <f aca="false">I828*(1-J828)</f>
        <v>378.2235</v>
      </c>
      <c r="L828" s="12" t="n">
        <f aca="false">CRM_Raw!K828</f>
        <v>20</v>
      </c>
      <c r="M828" s="12" t="n">
        <f aca="false">IF(H828="Closed Won",1,0)</f>
        <v>1</v>
      </c>
    </row>
    <row r="829" customFormat="false" ht="15" hidden="false" customHeight="false" outlineLevel="0" collapsed="false">
      <c r="A829" s="0" t="str">
        <f aca="false">CRM_Raw!A829</f>
        <v>D-10825</v>
      </c>
      <c r="B829" s="0" t="str">
        <f aca="false">CRM_Raw!B829</f>
        <v>2025-01-14</v>
      </c>
      <c r="C829" s="0" t="str">
        <f aca="false">CRM_Raw!C829</f>
        <v>2025-01-22</v>
      </c>
      <c r="D829" s="0" t="str">
        <f aca="false">IF(CRM_Raw!D829="DACH","DACH",IF(ISNUMBER(SEARCH("uk",CRM_Raw!D829)),"UK &amp; Ireland",PROPER(CRM_Raw!D829)))</f>
        <v>Nordics</v>
      </c>
      <c r="E829" s="0" t="str">
        <f aca="false">CRM_Raw!E829</f>
        <v>Smart Ovens</v>
      </c>
      <c r="F829" s="0" t="str">
        <f aca="false">CRM_Raw!F829</f>
        <v>Web-shop Organic</v>
      </c>
      <c r="G829" s="0" t="str">
        <f aca="false">IF(TRIM(CRM_Raw!G829)="","Unassigned",CRM_Raw!G829)</f>
        <v>L. Dubois</v>
      </c>
      <c r="H829" s="0" t="str">
        <f aca="false">CRM_Raw!H829</f>
        <v>Closed Won</v>
      </c>
      <c r="I829" s="10" t="n">
        <f aca="false">CRM_Raw!I829</f>
        <v>1725.61</v>
      </c>
      <c r="J829" s="11" t="n">
        <f aca="false">CRM_Raw!J829</f>
        <v>0.2</v>
      </c>
      <c r="K829" s="10" t="n">
        <f aca="false">I829*(1-J829)</f>
        <v>1380.488</v>
      </c>
      <c r="L829" s="12" t="n">
        <f aca="false">CRM_Raw!K829</f>
        <v>8</v>
      </c>
      <c r="M829" s="12" t="n">
        <f aca="false">IF(H829="Closed Won",1,0)</f>
        <v>1</v>
      </c>
    </row>
    <row r="830" customFormat="false" ht="15" hidden="false" customHeight="false" outlineLevel="0" collapsed="false">
      <c r="A830" s="0" t="str">
        <f aca="false">CRM_Raw!A830</f>
        <v>D-10826</v>
      </c>
      <c r="B830" s="0" t="str">
        <f aca="false">CRM_Raw!B830</f>
        <v>2025-11-07</v>
      </c>
      <c r="C830" s="0" t="str">
        <f aca="false">CRM_Raw!C830</f>
        <v>2025-12-06</v>
      </c>
      <c r="D830" s="0" t="str">
        <f aca="false">IF(CRM_Raw!D830="DACH","DACH",IF(ISNUMBER(SEARCH("uk",CRM_Raw!D830)),"UK &amp; Ireland",PROPER(CRM_Raw!D830)))</f>
        <v>Southern Europe</v>
      </c>
      <c r="E830" s="0" t="str">
        <f aca="false">CRM_Raw!E830</f>
        <v>Small Kitchen Appliances</v>
      </c>
      <c r="F830" s="0" t="str">
        <f aca="false">CRM_Raw!F830</f>
        <v>Social Media Ads</v>
      </c>
      <c r="G830" s="0" t="str">
        <f aca="false">IF(TRIM(CRM_Raw!G830)="","Unassigned",CRM_Raw!G830)</f>
        <v>T. Wagner</v>
      </c>
      <c r="H830" s="0" t="str">
        <f aca="false">CRM_Raw!H830</f>
        <v>Closed Lost</v>
      </c>
      <c r="I830" s="10" t="n">
        <f aca="false">CRM_Raw!I830</f>
        <v>259.28</v>
      </c>
      <c r="J830" s="11" t="n">
        <f aca="false">CRM_Raw!J830</f>
        <v>0.2</v>
      </c>
      <c r="K830" s="10" t="n">
        <f aca="false">I830*(1-J830)</f>
        <v>207.424</v>
      </c>
      <c r="L830" s="12" t="n">
        <f aca="false">CRM_Raw!K830</f>
        <v>29</v>
      </c>
      <c r="M830" s="12" t="n">
        <f aca="false">IF(H830="Closed Won",1,0)</f>
        <v>0</v>
      </c>
    </row>
    <row r="831" customFormat="false" ht="15" hidden="false" customHeight="false" outlineLevel="0" collapsed="false">
      <c r="A831" s="0" t="str">
        <f aca="false">CRM_Raw!A831</f>
        <v>D-10827</v>
      </c>
      <c r="B831" s="0" t="str">
        <f aca="false">CRM_Raw!B831</f>
        <v>2025-07-15</v>
      </c>
      <c r="C831" s="0" t="str">
        <f aca="false">CRM_Raw!C831</f>
        <v>2025-08-03</v>
      </c>
      <c r="D831" s="0" t="str">
        <f aca="false">IF(CRM_Raw!D831="DACH","DACH",IF(ISNUMBER(SEARCH("uk",CRM_Raw!D831)),"UK &amp; Ireland",PROPER(CRM_Raw!D831)))</f>
        <v>France</v>
      </c>
      <c r="E831" s="0" t="str">
        <f aca="false">CRM_Raw!E831</f>
        <v>Smart Ovens</v>
      </c>
      <c r="F831" s="0" t="str">
        <f aca="false">CRM_Raw!F831</f>
        <v>Web-shop Organic</v>
      </c>
      <c r="G831" s="0" t="str">
        <f aca="false">IF(TRIM(CRM_Raw!G831)="","Unassigned",CRM_Raw!G831)</f>
        <v>A. Becker</v>
      </c>
      <c r="H831" s="0" t="str">
        <f aca="false">CRM_Raw!H831</f>
        <v>Closed Won</v>
      </c>
      <c r="I831" s="10" t="n">
        <f aca="false">CRM_Raw!I831</f>
        <v>767.43</v>
      </c>
      <c r="J831" s="11" t="n">
        <f aca="false">CRM_Raw!J831</f>
        <v>0.2</v>
      </c>
      <c r="K831" s="10" t="n">
        <f aca="false">I831*(1-J831)</f>
        <v>613.944</v>
      </c>
      <c r="L831" s="12" t="n">
        <f aca="false">CRM_Raw!K831</f>
        <v>19</v>
      </c>
      <c r="M831" s="12" t="n">
        <f aca="false">IF(H831="Closed Won",1,0)</f>
        <v>1</v>
      </c>
    </row>
    <row r="832" customFormat="false" ht="15" hidden="false" customHeight="false" outlineLevel="0" collapsed="false">
      <c r="A832" s="0" t="str">
        <f aca="false">CRM_Raw!A832</f>
        <v>D-10828</v>
      </c>
      <c r="B832" s="0" t="str">
        <f aca="false">CRM_Raw!B832</f>
        <v>2025-09-05</v>
      </c>
      <c r="C832" s="0" t="str">
        <f aca="false">CRM_Raw!C832</f>
        <v>2025-09-14</v>
      </c>
      <c r="D832" s="0" t="str">
        <f aca="false">IF(CRM_Raw!D832="DACH","DACH",IF(ISNUMBER(SEARCH("uk",CRM_Raw!D832)),"UK &amp; Ireland",PROPER(CRM_Raw!D832)))</f>
        <v>DACH</v>
      </c>
      <c r="E832" s="0" t="str">
        <f aca="false">CRM_Raw!E832</f>
        <v>Coffee Systems</v>
      </c>
      <c r="F832" s="0" t="str">
        <f aca="false">CRM_Raw!F832</f>
        <v>Social Media Ads</v>
      </c>
      <c r="G832" s="0" t="str">
        <f aca="false">IF(TRIM(CRM_Raw!G832)="","Unassigned",CRM_Raw!G832)</f>
        <v>M. Hoffmann</v>
      </c>
      <c r="H832" s="0" t="str">
        <f aca="false">CRM_Raw!H832</f>
        <v>Closed Lost</v>
      </c>
      <c r="I832" s="10" t="n">
        <f aca="false">CRM_Raw!I832</f>
        <v>490.76</v>
      </c>
      <c r="J832" s="11" t="n">
        <f aca="false">CRM_Raw!J832</f>
        <v>0.2</v>
      </c>
      <c r="K832" s="10" t="n">
        <f aca="false">I832*(1-J832)</f>
        <v>392.608</v>
      </c>
      <c r="L832" s="12" t="n">
        <f aca="false">CRM_Raw!K832</f>
        <v>9</v>
      </c>
      <c r="M832" s="12" t="n">
        <f aca="false">IF(H832="Closed Won",1,0)</f>
        <v>0</v>
      </c>
    </row>
    <row r="833" customFormat="false" ht="15" hidden="false" customHeight="false" outlineLevel="0" collapsed="false">
      <c r="A833" s="0" t="str">
        <f aca="false">CRM_Raw!A833</f>
        <v>D-10829</v>
      </c>
      <c r="B833" s="0" t="str">
        <f aca="false">CRM_Raw!B833</f>
        <v>2025-04-30</v>
      </c>
      <c r="C833" s="0" t="str">
        <f aca="false">CRM_Raw!C833</f>
        <v>2025-05-09</v>
      </c>
      <c r="D833" s="0" t="str">
        <f aca="false">IF(CRM_Raw!D833="DACH","DACH",IF(ISNUMBER(SEARCH("uk",CRM_Raw!D833)),"UK &amp; Ireland",PROPER(CRM_Raw!D833)))</f>
        <v>Benelux</v>
      </c>
      <c r="E833" s="0" t="str">
        <f aca="false">CRM_Raw!E833</f>
        <v>Coffee Systems</v>
      </c>
      <c r="F833" s="0" t="str">
        <f aca="false">CRM_Raw!F833</f>
        <v>Social Media Ads</v>
      </c>
      <c r="G833" s="0" t="str">
        <f aca="false">IF(TRIM(CRM_Raw!G833)="","Unassigned",CRM_Raw!G833)</f>
        <v>A. Becker</v>
      </c>
      <c r="H833" s="0" t="str">
        <f aca="false">CRM_Raw!H833</f>
        <v>Closed Won</v>
      </c>
      <c r="I833" s="10" t="n">
        <f aca="false">CRM_Raw!I833</f>
        <v>971.79</v>
      </c>
      <c r="J833" s="11" t="n">
        <f aca="false">CRM_Raw!J833</f>
        <v>0.05</v>
      </c>
      <c r="K833" s="10" t="n">
        <f aca="false">I833*(1-J833)</f>
        <v>923.2005</v>
      </c>
      <c r="L833" s="12" t="n">
        <f aca="false">CRM_Raw!K833</f>
        <v>9</v>
      </c>
      <c r="M833" s="12" t="n">
        <f aca="false">IF(H833="Closed Won",1,0)</f>
        <v>1</v>
      </c>
    </row>
    <row r="834" customFormat="false" ht="15" hidden="false" customHeight="false" outlineLevel="0" collapsed="false">
      <c r="A834" s="0" t="str">
        <f aca="false">CRM_Raw!A834</f>
        <v>D-10830</v>
      </c>
      <c r="B834" s="0" t="str">
        <f aca="false">CRM_Raw!B834</f>
        <v>2025-07-26</v>
      </c>
      <c r="C834" s="0" t="str">
        <f aca="false">CRM_Raw!C834</f>
        <v>2025-08-20</v>
      </c>
      <c r="D834" s="0" t="str">
        <f aca="false">IF(CRM_Raw!D834="DACH","DACH",IF(ISNUMBER(SEARCH("uk",CRM_Raw!D834)),"UK &amp; Ireland",PROPER(CRM_Raw!D834)))</f>
        <v>Benelux</v>
      </c>
      <c r="E834" s="0" t="str">
        <f aca="false">CRM_Raw!E834</f>
        <v>Smart Ovens</v>
      </c>
      <c r="F834" s="0" t="str">
        <f aca="false">CRM_Raw!F834</f>
        <v>Retail Referral</v>
      </c>
      <c r="G834" s="0" t="str">
        <f aca="false">IF(TRIM(CRM_Raw!G834)="","Unassigned",CRM_Raw!G834)</f>
        <v>S. Andersson</v>
      </c>
      <c r="H834" s="0" t="str">
        <f aca="false">CRM_Raw!H834</f>
        <v>Closed Won</v>
      </c>
      <c r="I834" s="10" t="n">
        <f aca="false">CRM_Raw!I834</f>
        <v>833.18</v>
      </c>
      <c r="J834" s="11" t="n">
        <f aca="false">CRM_Raw!J834</f>
        <v>0.15</v>
      </c>
      <c r="K834" s="10" t="n">
        <f aca="false">I834*(1-J834)</f>
        <v>708.203</v>
      </c>
      <c r="L834" s="12" t="n">
        <f aca="false">CRM_Raw!K834</f>
        <v>25</v>
      </c>
      <c r="M834" s="12" t="n">
        <f aca="false">IF(H834="Closed Won",1,0)</f>
        <v>1</v>
      </c>
    </row>
    <row r="835" customFormat="false" ht="15" hidden="false" customHeight="false" outlineLevel="0" collapsed="false">
      <c r="A835" s="0" t="str">
        <f aca="false">CRM_Raw!A835</f>
        <v>D-10831</v>
      </c>
      <c r="B835" s="0" t="str">
        <f aca="false">CRM_Raw!B835</f>
        <v>2026-05-23</v>
      </c>
      <c r="C835" s="0" t="n">
        <f aca="false">CRM_Raw!C835</f>
        <v>0</v>
      </c>
      <c r="D835" s="0" t="str">
        <f aca="false">IF(CRM_Raw!D835="DACH","DACH",IF(ISNUMBER(SEARCH("uk",CRM_Raw!D835)),"UK &amp; Ireland",PROPER(CRM_Raw!D835)))</f>
        <v>North America</v>
      </c>
      <c r="E835" s="0" t="str">
        <f aca="false">CRM_Raw!E835</f>
        <v>Small Kitchen Appliances</v>
      </c>
      <c r="F835" s="0" t="str">
        <f aca="false">CRM_Raw!F835</f>
        <v>Paid Search</v>
      </c>
      <c r="G835" s="0" t="str">
        <f aca="false">IF(TRIM(CRM_Raw!G835)="","Unassigned",CRM_Raw!G835)</f>
        <v>K. Nilsson</v>
      </c>
      <c r="H835" s="0" t="str">
        <f aca="false">CRM_Raw!H835</f>
        <v>Negotiation</v>
      </c>
      <c r="I835" s="10" t="n">
        <f aca="false">CRM_Raw!I835</f>
        <v>381.99</v>
      </c>
      <c r="J835" s="11" t="n">
        <f aca="false">CRM_Raw!J835</f>
        <v>0</v>
      </c>
      <c r="K835" s="10" t="n">
        <f aca="false">I835*(1-J835)</f>
        <v>381.99</v>
      </c>
      <c r="L835" s="12" t="n">
        <f aca="false">CRM_Raw!K835</f>
        <v>0</v>
      </c>
      <c r="M835" s="12" t="n">
        <f aca="false">IF(H835="Closed Won",1,0)</f>
        <v>0</v>
      </c>
    </row>
    <row r="836" customFormat="false" ht="15" hidden="false" customHeight="false" outlineLevel="0" collapsed="false">
      <c r="A836" s="0" t="str">
        <f aca="false">CRM_Raw!A836</f>
        <v>D-10832</v>
      </c>
      <c r="B836" s="0" t="str">
        <f aca="false">CRM_Raw!B836</f>
        <v>2025-08-26</v>
      </c>
      <c r="C836" s="0" t="n">
        <f aca="false">CRM_Raw!C836</f>
        <v>0</v>
      </c>
      <c r="D836" s="0" t="str">
        <f aca="false">IF(CRM_Raw!D836="DACH","DACH",IF(ISNUMBER(SEARCH("uk",CRM_Raw!D836)),"UK &amp; Ireland",PROPER(CRM_Raw!D836)))</f>
        <v>DACH</v>
      </c>
      <c r="E836" s="0" t="str">
        <f aca="false">CRM_Raw!E836</f>
        <v>Dishwashers</v>
      </c>
      <c r="F836" s="0" t="str">
        <f aca="false">CRM_Raw!F836</f>
        <v>Paid Search</v>
      </c>
      <c r="G836" s="0" t="str">
        <f aca="false">IF(TRIM(CRM_Raw!G836)="","Unassigned",CRM_Raw!G836)</f>
        <v>T. Wagner</v>
      </c>
      <c r="H836" s="0" t="str">
        <f aca="false">CRM_Raw!H836</f>
        <v>Negotiation</v>
      </c>
      <c r="I836" s="10" t="n">
        <f aca="false">CRM_Raw!I836</f>
        <v>1455.32</v>
      </c>
      <c r="J836" s="11" t="n">
        <f aca="false">CRM_Raw!J836</f>
        <v>0.1</v>
      </c>
      <c r="K836" s="10" t="n">
        <f aca="false">I836*(1-J836)</f>
        <v>1309.788</v>
      </c>
      <c r="L836" s="12" t="n">
        <f aca="false">CRM_Raw!K836</f>
        <v>0</v>
      </c>
      <c r="M836" s="12" t="n">
        <f aca="false">IF(H836="Closed Won",1,0)</f>
        <v>0</v>
      </c>
    </row>
    <row r="837" customFormat="false" ht="15" hidden="false" customHeight="false" outlineLevel="0" collapsed="false">
      <c r="A837" s="0" t="str">
        <f aca="false">CRM_Raw!A837</f>
        <v>D-10833</v>
      </c>
      <c r="B837" s="0" t="str">
        <f aca="false">CRM_Raw!B837</f>
        <v>2026-04-30</v>
      </c>
      <c r="C837" s="0" t="str">
        <f aca="false">CRM_Raw!C837</f>
        <v>2026-05-13</v>
      </c>
      <c r="D837" s="0" t="str">
        <f aca="false">IF(CRM_Raw!D837="DACH","DACH",IF(ISNUMBER(SEARCH("uk",CRM_Raw!D837)),"UK &amp; Ireland",PROPER(CRM_Raw!D837)))</f>
        <v>France</v>
      </c>
      <c r="E837" s="0" t="str">
        <f aca="false">CRM_Raw!E837</f>
        <v>Washing Machines</v>
      </c>
      <c r="F837" s="0" t="str">
        <f aca="false">CRM_Raw!F837</f>
        <v>Web-shop Organic</v>
      </c>
      <c r="G837" s="0" t="str">
        <f aca="false">IF(TRIM(CRM_Raw!G837)="","Unassigned",CRM_Raw!G837)</f>
        <v>K. Nilsson</v>
      </c>
      <c r="H837" s="0" t="str">
        <f aca="false">CRM_Raw!H837</f>
        <v>Closed Won</v>
      </c>
      <c r="I837" s="10" t="n">
        <f aca="false">CRM_Raw!I837</f>
        <v>694.26</v>
      </c>
      <c r="J837" s="11" t="n">
        <f aca="false">CRM_Raw!J837</f>
        <v>0.05</v>
      </c>
      <c r="K837" s="10" t="n">
        <f aca="false">I837*(1-J837)</f>
        <v>659.547</v>
      </c>
      <c r="L837" s="12" t="n">
        <f aca="false">CRM_Raw!K837</f>
        <v>13</v>
      </c>
      <c r="M837" s="12" t="n">
        <f aca="false">IF(H837="Closed Won",1,0)</f>
        <v>1</v>
      </c>
    </row>
    <row r="838" customFormat="false" ht="15" hidden="false" customHeight="false" outlineLevel="0" collapsed="false">
      <c r="A838" s="0" t="str">
        <f aca="false">CRM_Raw!A838</f>
        <v>D-10834</v>
      </c>
      <c r="B838" s="0" t="str">
        <f aca="false">CRM_Raw!B838</f>
        <v>2025-07-16</v>
      </c>
      <c r="C838" s="0" t="str">
        <f aca="false">CRM_Raw!C838</f>
        <v>2025-07-27</v>
      </c>
      <c r="D838" s="0" t="str">
        <f aca="false">IF(CRM_Raw!D838="DACH","DACH",IF(ISNUMBER(SEARCH("uk",CRM_Raw!D838)),"UK &amp; Ireland",PROPER(CRM_Raw!D838)))</f>
        <v>Southern Europe</v>
      </c>
      <c r="E838" s="0" t="str">
        <f aca="false">CRM_Raw!E838</f>
        <v>Dishwashers</v>
      </c>
      <c r="F838" s="0" t="str">
        <f aca="false">CRM_Raw!F838</f>
        <v>Web-shop Organic</v>
      </c>
      <c r="G838" s="0" t="str">
        <f aca="false">IF(TRIM(CRM_Raw!G838)="","Unassigned",CRM_Raw!G838)</f>
        <v>J. Murphy</v>
      </c>
      <c r="H838" s="0" t="str">
        <f aca="false">CRM_Raw!H838</f>
        <v>Closed Lost</v>
      </c>
      <c r="I838" s="10" t="n">
        <f aca="false">CRM_Raw!I838</f>
        <v>737.89</v>
      </c>
      <c r="J838" s="11" t="n">
        <f aca="false">CRM_Raw!J838</f>
        <v>0.1</v>
      </c>
      <c r="K838" s="10" t="n">
        <f aca="false">I838*(1-J838)</f>
        <v>664.101</v>
      </c>
      <c r="L838" s="12" t="n">
        <f aca="false">CRM_Raw!K838</f>
        <v>11</v>
      </c>
      <c r="M838" s="12" t="n">
        <f aca="false">IF(H838="Closed Won",1,0)</f>
        <v>0</v>
      </c>
    </row>
    <row r="839" customFormat="false" ht="15" hidden="false" customHeight="false" outlineLevel="0" collapsed="false">
      <c r="A839" s="0" t="str">
        <f aca="false">CRM_Raw!A839</f>
        <v>D-10835</v>
      </c>
      <c r="B839" s="0" t="str">
        <f aca="false">CRM_Raw!B839</f>
        <v>2025-10-28</v>
      </c>
      <c r="C839" s="0" t="n">
        <f aca="false">CRM_Raw!C839</f>
        <v>0</v>
      </c>
      <c r="D839" s="0" t="str">
        <f aca="false">IF(CRM_Raw!D839="DACH","DACH",IF(ISNUMBER(SEARCH("uk",CRM_Raw!D839)),"UK &amp; Ireland",PROPER(CRM_Raw!D839)))</f>
        <v>North America</v>
      </c>
      <c r="E839" s="0" t="str">
        <f aca="false">CRM_Raw!E839</f>
        <v>Small Kitchen Appliances</v>
      </c>
      <c r="F839" s="0" t="str">
        <f aca="false">CRM_Raw!F839</f>
        <v>Affiliate Partner</v>
      </c>
      <c r="G839" s="0" t="str">
        <f aca="false">IF(TRIM(CRM_Raw!G839)="","Unassigned",CRM_Raw!G839)</f>
        <v>M. Hoffmann</v>
      </c>
      <c r="H839" s="0" t="str">
        <f aca="false">CRM_Raw!H839</f>
        <v>Negotiation</v>
      </c>
      <c r="I839" s="10" t="n">
        <f aca="false">CRM_Raw!I839</f>
        <v>242.46</v>
      </c>
      <c r="J839" s="11" t="n">
        <f aca="false">CRM_Raw!J839</f>
        <v>0.2</v>
      </c>
      <c r="K839" s="10" t="n">
        <f aca="false">I839*(1-J839)</f>
        <v>193.968</v>
      </c>
      <c r="L839" s="12" t="n">
        <f aca="false">CRM_Raw!K839</f>
        <v>0</v>
      </c>
      <c r="M839" s="12" t="n">
        <f aca="false">IF(H839="Closed Won",1,0)</f>
        <v>0</v>
      </c>
    </row>
    <row r="840" customFormat="false" ht="15" hidden="false" customHeight="false" outlineLevel="0" collapsed="false">
      <c r="A840" s="0" t="str">
        <f aca="false">CRM_Raw!A840</f>
        <v>D-10836</v>
      </c>
      <c r="B840" s="0" t="str">
        <f aca="false">CRM_Raw!B840</f>
        <v>2025-06-15</v>
      </c>
      <c r="C840" s="0" t="str">
        <f aca="false">CRM_Raw!C840</f>
        <v>2025-07-10</v>
      </c>
      <c r="D840" s="0" t="str">
        <f aca="false">IF(CRM_Raw!D840="DACH","DACH",IF(ISNUMBER(SEARCH("uk",CRM_Raw!D840)),"UK &amp; Ireland",PROPER(CRM_Raw!D840)))</f>
        <v>Southern Europe</v>
      </c>
      <c r="E840" s="0" t="str">
        <f aca="false">CRM_Raw!E840</f>
        <v>Small Kitchen Appliances</v>
      </c>
      <c r="F840" s="0" t="str">
        <f aca="false">CRM_Raw!F840</f>
        <v>Affiliate Partner</v>
      </c>
      <c r="G840" s="0" t="str">
        <f aca="false">IF(TRIM(CRM_Raw!G840)="","Unassigned",CRM_Raw!G840)</f>
        <v>T. Wagner</v>
      </c>
      <c r="H840" s="0" t="str">
        <f aca="false">CRM_Raw!H840</f>
        <v>Closed Lost</v>
      </c>
      <c r="I840" s="10" t="n">
        <f aca="false">CRM_Raw!I840</f>
        <v>118.03</v>
      </c>
      <c r="J840" s="11" t="n">
        <f aca="false">CRM_Raw!J840</f>
        <v>0.15</v>
      </c>
      <c r="K840" s="10" t="n">
        <f aca="false">I840*(1-J840)</f>
        <v>100.3255</v>
      </c>
      <c r="L840" s="12" t="n">
        <f aca="false">CRM_Raw!K840</f>
        <v>25</v>
      </c>
      <c r="M840" s="12" t="n">
        <f aca="false">IF(H840="Closed Won",1,0)</f>
        <v>0</v>
      </c>
    </row>
    <row r="841" customFormat="false" ht="15" hidden="false" customHeight="false" outlineLevel="0" collapsed="false">
      <c r="A841" s="0" t="str">
        <f aca="false">CRM_Raw!A841</f>
        <v>D-10837</v>
      </c>
      <c r="B841" s="0" t="str">
        <f aca="false">CRM_Raw!B841</f>
        <v>2026-05-19</v>
      </c>
      <c r="C841" s="0" t="str">
        <f aca="false">CRM_Raw!C841</f>
        <v>2026-05-22</v>
      </c>
      <c r="D841" s="0" t="str">
        <f aca="false">IF(CRM_Raw!D841="DACH","DACH",IF(ISNUMBER(SEARCH("uk",CRM_Raw!D841)),"UK &amp; Ireland",PROPER(CRM_Raw!D841)))</f>
        <v>Benelux</v>
      </c>
      <c r="E841" s="0" t="str">
        <f aca="false">CRM_Raw!E841</f>
        <v>Coffee Systems</v>
      </c>
      <c r="F841" s="0" t="str">
        <f aca="false">CRM_Raw!F841</f>
        <v>Web-shop Organic</v>
      </c>
      <c r="G841" s="0" t="str">
        <f aca="false">IF(TRIM(CRM_Raw!G841)="","Unassigned",CRM_Raw!G841)</f>
        <v>M. Hoffmann</v>
      </c>
      <c r="H841" s="0" t="str">
        <f aca="false">CRM_Raw!H841</f>
        <v>Closed Won</v>
      </c>
      <c r="I841" s="10" t="n">
        <f aca="false">CRM_Raw!I841</f>
        <v>504.99</v>
      </c>
      <c r="J841" s="11" t="n">
        <f aca="false">CRM_Raw!J841</f>
        <v>0.1</v>
      </c>
      <c r="K841" s="10" t="n">
        <f aca="false">I841*(1-J841)</f>
        <v>454.491</v>
      </c>
      <c r="L841" s="12" t="n">
        <f aca="false">CRM_Raw!K841</f>
        <v>3</v>
      </c>
      <c r="M841" s="12" t="n">
        <f aca="false">IF(H841="Closed Won",1,0)</f>
        <v>1</v>
      </c>
    </row>
    <row r="842" customFormat="false" ht="15" hidden="false" customHeight="false" outlineLevel="0" collapsed="false">
      <c r="A842" s="0" t="str">
        <f aca="false">CRM_Raw!A842</f>
        <v>D-10838</v>
      </c>
      <c r="B842" s="0" t="str">
        <f aca="false">CRM_Raw!B842</f>
        <v>2026-01-01</v>
      </c>
      <c r="C842" s="0" t="n">
        <f aca="false">CRM_Raw!C842</f>
        <v>0</v>
      </c>
      <c r="D842" s="0" t="str">
        <f aca="false">IF(CRM_Raw!D842="DACH","DACH",IF(ISNUMBER(SEARCH("uk",CRM_Raw!D842)),"UK &amp; Ireland",PROPER(CRM_Raw!D842)))</f>
        <v>DACH</v>
      </c>
      <c r="E842" s="0" t="str">
        <f aca="false">CRM_Raw!E842</f>
        <v>Smart Ovens</v>
      </c>
      <c r="F842" s="0" t="str">
        <f aca="false">CRM_Raw!F842</f>
        <v>Paid Search</v>
      </c>
      <c r="G842" s="0" t="str">
        <f aca="false">IF(TRIM(CRM_Raw!G842)="","Unassigned",CRM_Raw!G842)</f>
        <v>J. Murphy</v>
      </c>
      <c r="H842" s="0" t="str">
        <f aca="false">CRM_Raw!H842</f>
        <v>Negotiation</v>
      </c>
      <c r="I842" s="10" t="n">
        <f aca="false">CRM_Raw!I842</f>
        <v>2400.83</v>
      </c>
      <c r="J842" s="11" t="n">
        <f aca="false">CRM_Raw!J842</f>
        <v>0</v>
      </c>
      <c r="K842" s="10" t="n">
        <f aca="false">I842*(1-J842)</f>
        <v>2400.83</v>
      </c>
      <c r="L842" s="12" t="n">
        <f aca="false">CRM_Raw!K842</f>
        <v>0</v>
      </c>
      <c r="M842" s="12" t="n">
        <f aca="false">IF(H842="Closed Won",1,0)</f>
        <v>0</v>
      </c>
    </row>
    <row r="843" customFormat="false" ht="15" hidden="false" customHeight="false" outlineLevel="0" collapsed="false">
      <c r="A843" s="0" t="str">
        <f aca="false">CRM_Raw!A843</f>
        <v>D-10839</v>
      </c>
      <c r="B843" s="0" t="str">
        <f aca="false">CRM_Raw!B843</f>
        <v>2025-08-21</v>
      </c>
      <c r="C843" s="0" t="str">
        <f aca="false">CRM_Raw!C843</f>
        <v>2025-09-25</v>
      </c>
      <c r="D843" s="0" t="str">
        <f aca="false">IF(CRM_Raw!D843="DACH","DACH",IF(ISNUMBER(SEARCH("uk",CRM_Raw!D843)),"UK &amp; Ireland",PROPER(CRM_Raw!D843)))</f>
        <v>North America</v>
      </c>
      <c r="E843" s="0" t="str">
        <f aca="false">CRM_Raw!E843</f>
        <v>Smart Ovens</v>
      </c>
      <c r="F843" s="0" t="str">
        <f aca="false">CRM_Raw!F843</f>
        <v>Paid Search</v>
      </c>
      <c r="G843" s="0" t="str">
        <f aca="false">IF(TRIM(CRM_Raw!G843)="","Unassigned",CRM_Raw!G843)</f>
        <v>L. Dubois</v>
      </c>
      <c r="H843" s="0" t="str">
        <f aca="false">CRM_Raw!H843</f>
        <v>Closed Won</v>
      </c>
      <c r="I843" s="10" t="n">
        <f aca="false">CRM_Raw!I843</f>
        <v>810.49</v>
      </c>
      <c r="J843" s="11" t="n">
        <f aca="false">CRM_Raw!J843</f>
        <v>0</v>
      </c>
      <c r="K843" s="10" t="n">
        <f aca="false">I843*(1-J843)</f>
        <v>810.49</v>
      </c>
      <c r="L843" s="12" t="n">
        <f aca="false">CRM_Raw!K843</f>
        <v>35</v>
      </c>
      <c r="M843" s="12" t="n">
        <f aca="false">IF(H843="Closed Won",1,0)</f>
        <v>1</v>
      </c>
    </row>
    <row r="844" customFormat="false" ht="15" hidden="false" customHeight="false" outlineLevel="0" collapsed="false">
      <c r="A844" s="0" t="str">
        <f aca="false">CRM_Raw!A844</f>
        <v>D-10840</v>
      </c>
      <c r="B844" s="0" t="str">
        <f aca="false">CRM_Raw!B844</f>
        <v>2025-06-04</v>
      </c>
      <c r="C844" s="0" t="n">
        <f aca="false">CRM_Raw!C844</f>
        <v>0</v>
      </c>
      <c r="D844" s="0" t="str">
        <f aca="false">IF(CRM_Raw!D844="DACH","DACH",IF(ISNUMBER(SEARCH("uk",CRM_Raw!D844)),"UK &amp; Ireland",PROPER(CRM_Raw!D844)))</f>
        <v>North America</v>
      </c>
      <c r="E844" s="0" t="str">
        <f aca="false">CRM_Raw!E844</f>
        <v>Cordless Vacuums</v>
      </c>
      <c r="F844" s="0" t="str">
        <f aca="false">CRM_Raw!F844</f>
        <v>Email Campaign</v>
      </c>
      <c r="G844" s="0" t="str">
        <f aca="false">IF(TRIM(CRM_Raw!G844)="","Unassigned",CRM_Raw!G844)</f>
        <v>J. Murphy</v>
      </c>
      <c r="H844" s="0" t="str">
        <f aca="false">CRM_Raw!H844</f>
        <v>Proposal Sent</v>
      </c>
      <c r="I844" s="10" t="n">
        <f aca="false">CRM_Raw!I844</f>
        <v>1194.93</v>
      </c>
      <c r="J844" s="11" t="n">
        <f aca="false">CRM_Raw!J844</f>
        <v>0.15</v>
      </c>
      <c r="K844" s="10" t="n">
        <f aca="false">I844*(1-J844)</f>
        <v>1015.6905</v>
      </c>
      <c r="L844" s="12" t="n">
        <f aca="false">CRM_Raw!K844</f>
        <v>0</v>
      </c>
      <c r="M844" s="12" t="n">
        <f aca="false">IF(H844="Closed Won",1,0)</f>
        <v>0</v>
      </c>
    </row>
    <row r="845" customFormat="false" ht="15" hidden="false" customHeight="false" outlineLevel="0" collapsed="false">
      <c r="A845" s="0" t="str">
        <f aca="false">CRM_Raw!A845</f>
        <v>D-10841</v>
      </c>
      <c r="B845" s="0" t="str">
        <f aca="false">CRM_Raw!B845</f>
        <v>2026-04-14</v>
      </c>
      <c r="C845" s="0" t="n">
        <f aca="false">CRM_Raw!C845</f>
        <v>0</v>
      </c>
      <c r="D845" s="0" t="str">
        <f aca="false">IF(CRM_Raw!D845="DACH","DACH",IF(ISNUMBER(SEARCH("uk",CRM_Raw!D845)),"UK &amp; Ireland",PROPER(CRM_Raw!D845)))</f>
        <v>DACH</v>
      </c>
      <c r="E845" s="0" t="str">
        <f aca="false">CRM_Raw!E845</f>
        <v>Small Kitchen Appliances</v>
      </c>
      <c r="F845" s="0" t="str">
        <f aca="false">CRM_Raw!F845</f>
        <v>Web-shop Organic</v>
      </c>
      <c r="G845" s="0" t="str">
        <f aca="false">IF(TRIM(CRM_Raw!G845)="","Unassigned",CRM_Raw!G845)</f>
        <v>T. Wagner</v>
      </c>
      <c r="H845" s="0" t="str">
        <f aca="false">CRM_Raw!H845</f>
        <v>Qualified</v>
      </c>
      <c r="I845" s="10" t="n">
        <f aca="false">CRM_Raw!I845</f>
        <v>132.07</v>
      </c>
      <c r="J845" s="11" t="n">
        <f aca="false">CRM_Raw!J845</f>
        <v>0.2</v>
      </c>
      <c r="K845" s="10" t="n">
        <f aca="false">I845*(1-J845)</f>
        <v>105.656</v>
      </c>
      <c r="L845" s="12" t="n">
        <f aca="false">CRM_Raw!K845</f>
        <v>0</v>
      </c>
      <c r="M845" s="12" t="n">
        <f aca="false">IF(H845="Closed Won",1,0)</f>
        <v>0</v>
      </c>
    </row>
    <row r="846" customFormat="false" ht="15" hidden="false" customHeight="false" outlineLevel="0" collapsed="false">
      <c r="A846" s="0" t="str">
        <f aca="false">CRM_Raw!A846</f>
        <v>D-10842</v>
      </c>
      <c r="B846" s="0" t="str">
        <f aca="false">CRM_Raw!B846</f>
        <v>2025-02-12</v>
      </c>
      <c r="C846" s="0" t="str">
        <f aca="false">CRM_Raw!C846</f>
        <v>2025-03-07</v>
      </c>
      <c r="D846" s="0" t="str">
        <f aca="false">IF(CRM_Raw!D846="DACH","DACH",IF(ISNUMBER(SEARCH("uk",CRM_Raw!D846)),"UK &amp; Ireland",PROPER(CRM_Raw!D846)))</f>
        <v>Nordics</v>
      </c>
      <c r="E846" s="0" t="str">
        <f aca="false">CRM_Raw!E846</f>
        <v>Washing Machines</v>
      </c>
      <c r="F846" s="0" t="str">
        <f aca="false">CRM_Raw!F846</f>
        <v>Email Campaign</v>
      </c>
      <c r="G846" s="0" t="str">
        <f aca="false">IF(TRIM(CRM_Raw!G846)="","Unassigned",CRM_Raw!G846)</f>
        <v>L. Dubois</v>
      </c>
      <c r="H846" s="0" t="str">
        <f aca="false">CRM_Raw!H846</f>
        <v>Closed Lost</v>
      </c>
      <c r="I846" s="10" t="n">
        <f aca="false">CRM_Raw!I846</f>
        <v>627.17</v>
      </c>
      <c r="J846" s="11" t="n">
        <f aca="false">CRM_Raw!J846</f>
        <v>0</v>
      </c>
      <c r="K846" s="10" t="n">
        <f aca="false">I846*(1-J846)</f>
        <v>627.17</v>
      </c>
      <c r="L846" s="12" t="n">
        <f aca="false">CRM_Raw!K846</f>
        <v>23</v>
      </c>
      <c r="M846" s="12" t="n">
        <f aca="false">IF(H846="Closed Won",1,0)</f>
        <v>0</v>
      </c>
    </row>
    <row r="847" customFormat="false" ht="15" hidden="false" customHeight="false" outlineLevel="0" collapsed="false">
      <c r="A847" s="0" t="str">
        <f aca="false">CRM_Raw!A847</f>
        <v>D-10843</v>
      </c>
      <c r="B847" s="0" t="str">
        <f aca="false">CRM_Raw!B847</f>
        <v>2025-04-12</v>
      </c>
      <c r="C847" s="0" t="str">
        <f aca="false">CRM_Raw!C847</f>
        <v>2025-05-06</v>
      </c>
      <c r="D847" s="0" t="str">
        <f aca="false">IF(CRM_Raw!D847="DACH","DACH",IF(ISNUMBER(SEARCH("uk",CRM_Raw!D847)),"UK &amp; Ireland",PROPER(CRM_Raw!D847)))</f>
        <v>Southern Europe</v>
      </c>
      <c r="E847" s="0" t="str">
        <f aca="false">CRM_Raw!E847</f>
        <v>Cordless Vacuums</v>
      </c>
      <c r="F847" s="0" t="str">
        <f aca="false">CRM_Raw!F847</f>
        <v>Affiliate Partner</v>
      </c>
      <c r="G847" s="0" t="str">
        <f aca="false">IF(TRIM(CRM_Raw!G847)="","Unassigned",CRM_Raw!G847)</f>
        <v>T. Wagner</v>
      </c>
      <c r="H847" s="0" t="str">
        <f aca="false">CRM_Raw!H847</f>
        <v>Closed Won</v>
      </c>
      <c r="I847" s="10" t="n">
        <f aca="false">CRM_Raw!I847</f>
        <v>353.86</v>
      </c>
      <c r="J847" s="11" t="n">
        <f aca="false">CRM_Raw!J847</f>
        <v>0</v>
      </c>
      <c r="K847" s="10" t="n">
        <f aca="false">I847*(1-J847)</f>
        <v>353.86</v>
      </c>
      <c r="L847" s="12" t="n">
        <f aca="false">CRM_Raw!K847</f>
        <v>24</v>
      </c>
      <c r="M847" s="12" t="n">
        <f aca="false">IF(H847="Closed Won",1,0)</f>
        <v>1</v>
      </c>
    </row>
    <row r="848" customFormat="false" ht="15" hidden="false" customHeight="false" outlineLevel="0" collapsed="false">
      <c r="A848" s="0" t="str">
        <f aca="false">CRM_Raw!A848</f>
        <v>D-10844</v>
      </c>
      <c r="B848" s="0" t="str">
        <f aca="false">CRM_Raw!B848</f>
        <v>2025-01-07</v>
      </c>
      <c r="C848" s="0" t="str">
        <f aca="false">CRM_Raw!C848</f>
        <v>2025-01-30</v>
      </c>
      <c r="D848" s="0" t="str">
        <f aca="false">IF(CRM_Raw!D848="DACH","DACH",IF(ISNUMBER(SEARCH("uk",CRM_Raw!D848)),"UK &amp; Ireland",PROPER(CRM_Raw!D848)))</f>
        <v>North America</v>
      </c>
      <c r="E848" s="0" t="str">
        <f aca="false">CRM_Raw!E848</f>
        <v>Coffee Systems</v>
      </c>
      <c r="F848" s="0" t="str">
        <f aca="false">CRM_Raw!F848</f>
        <v>Paid Search</v>
      </c>
      <c r="G848" s="0" t="str">
        <f aca="false">IF(TRIM(CRM_Raw!G848)="","Unassigned",CRM_Raw!G848)</f>
        <v>K. Nilsson</v>
      </c>
      <c r="H848" s="0" t="str">
        <f aca="false">CRM_Raw!H848</f>
        <v>Closed Won</v>
      </c>
      <c r="I848" s="10" t="n">
        <f aca="false">CRM_Raw!I848</f>
        <v>530.42</v>
      </c>
      <c r="J848" s="11" t="n">
        <f aca="false">CRM_Raw!J848</f>
        <v>0</v>
      </c>
      <c r="K848" s="10" t="n">
        <f aca="false">I848*(1-J848)</f>
        <v>530.42</v>
      </c>
      <c r="L848" s="12" t="n">
        <f aca="false">CRM_Raw!K848</f>
        <v>23</v>
      </c>
      <c r="M848" s="12" t="n">
        <f aca="false">IF(H848="Closed Won",1,0)</f>
        <v>1</v>
      </c>
    </row>
    <row r="849" customFormat="false" ht="15" hidden="false" customHeight="false" outlineLevel="0" collapsed="false">
      <c r="A849" s="0" t="str">
        <f aca="false">CRM_Raw!A849</f>
        <v>D-10845</v>
      </c>
      <c r="B849" s="0" t="str">
        <f aca="false">CRM_Raw!B849</f>
        <v>2025-09-09</v>
      </c>
      <c r="C849" s="0" t="str">
        <f aca="false">CRM_Raw!C849</f>
        <v>2025-09-22</v>
      </c>
      <c r="D849" s="0" t="str">
        <f aca="false">IF(CRM_Raw!D849="DACH","DACH",IF(ISNUMBER(SEARCH("uk",CRM_Raw!D849)),"UK &amp; Ireland",PROPER(CRM_Raw!D849)))</f>
        <v>France</v>
      </c>
      <c r="E849" s="0" t="str">
        <f aca="false">CRM_Raw!E849</f>
        <v>Small Kitchen Appliances</v>
      </c>
      <c r="F849" s="0" t="str">
        <f aca="false">CRM_Raw!F849</f>
        <v>Email Campaign</v>
      </c>
      <c r="G849" s="0" t="str">
        <f aca="false">IF(TRIM(CRM_Raw!G849)="","Unassigned",CRM_Raw!G849)</f>
        <v>P. Rossi</v>
      </c>
      <c r="H849" s="0" t="str">
        <f aca="false">CRM_Raw!H849</f>
        <v>Closed Won</v>
      </c>
      <c r="I849" s="10" t="n">
        <f aca="false">CRM_Raw!I849</f>
        <v>264.01</v>
      </c>
      <c r="J849" s="11" t="n">
        <f aca="false">CRM_Raw!J849</f>
        <v>0.2</v>
      </c>
      <c r="K849" s="10" t="n">
        <f aca="false">I849*(1-J849)</f>
        <v>211.208</v>
      </c>
      <c r="L849" s="12" t="n">
        <f aca="false">CRM_Raw!K849</f>
        <v>13</v>
      </c>
      <c r="M849" s="12" t="n">
        <f aca="false">IF(H849="Closed Won",1,0)</f>
        <v>1</v>
      </c>
    </row>
    <row r="850" customFormat="false" ht="15" hidden="false" customHeight="false" outlineLevel="0" collapsed="false">
      <c r="A850" s="0" t="str">
        <f aca="false">CRM_Raw!A850</f>
        <v>D-10846</v>
      </c>
      <c r="B850" s="0" t="str">
        <f aca="false">CRM_Raw!B850</f>
        <v>2026-02-24</v>
      </c>
      <c r="C850" s="0" t="n">
        <f aca="false">CRM_Raw!C850</f>
        <v>0</v>
      </c>
      <c r="D850" s="0" t="str">
        <f aca="false">IF(CRM_Raw!D850="DACH","DACH",IF(ISNUMBER(SEARCH("uk",CRM_Raw!D850)),"UK &amp; Ireland",PROPER(CRM_Raw!D850)))</f>
        <v>UK &amp; Ireland</v>
      </c>
      <c r="E850" s="0" t="str">
        <f aca="false">CRM_Raw!E850</f>
        <v>Coffee Systems</v>
      </c>
      <c r="F850" s="0" t="str">
        <f aca="false">CRM_Raw!F850</f>
        <v>Email Campaign</v>
      </c>
      <c r="G850" s="0" t="str">
        <f aca="false">IF(TRIM(CRM_Raw!G850)="","Unassigned",CRM_Raw!G850)</f>
        <v>K. Nilsson</v>
      </c>
      <c r="H850" s="0" t="str">
        <f aca="false">CRM_Raw!H850</f>
        <v>Qualified</v>
      </c>
      <c r="I850" s="10" t="n">
        <f aca="false">CRM_Raw!I850</f>
        <v>1760.52</v>
      </c>
      <c r="J850" s="11" t="n">
        <f aca="false">CRM_Raw!J850</f>
        <v>0.2</v>
      </c>
      <c r="K850" s="10" t="n">
        <f aca="false">I850*(1-J850)</f>
        <v>1408.416</v>
      </c>
      <c r="L850" s="12" t="n">
        <f aca="false">CRM_Raw!K850</f>
        <v>0</v>
      </c>
      <c r="M850" s="12" t="n">
        <f aca="false">IF(H850="Closed Won",1,0)</f>
        <v>0</v>
      </c>
    </row>
    <row r="851" customFormat="false" ht="15" hidden="false" customHeight="false" outlineLevel="0" collapsed="false">
      <c r="A851" s="0" t="str">
        <f aca="false">CRM_Raw!A851</f>
        <v>D-10847</v>
      </c>
      <c r="B851" s="0" t="str">
        <f aca="false">CRM_Raw!B851</f>
        <v>2025-05-30</v>
      </c>
      <c r="C851" s="0" t="n">
        <f aca="false">CRM_Raw!C851</f>
        <v>0</v>
      </c>
      <c r="D851" s="0" t="str">
        <f aca="false">IF(CRM_Raw!D851="DACH","DACH",IF(ISNUMBER(SEARCH("uk",CRM_Raw!D851)),"UK &amp; Ireland",PROPER(CRM_Raw!D851)))</f>
        <v>Southern Europe</v>
      </c>
      <c r="E851" s="0" t="str">
        <f aca="false">CRM_Raw!E851</f>
        <v>Cordless Vacuums</v>
      </c>
      <c r="F851" s="0" t="str">
        <f aca="false">CRM_Raw!F851</f>
        <v>Retail Referral</v>
      </c>
      <c r="G851" s="0" t="str">
        <f aca="false">IF(TRIM(CRM_Raw!G851)="","Unassigned",CRM_Raw!G851)</f>
        <v>T. Wagner</v>
      </c>
      <c r="H851" s="0" t="str">
        <f aca="false">CRM_Raw!H851</f>
        <v>Proposal Sent</v>
      </c>
      <c r="I851" s="10" t="n">
        <f aca="false">CRM_Raw!I851</f>
        <v>1154.12</v>
      </c>
      <c r="J851" s="11" t="n">
        <f aca="false">CRM_Raw!J851</f>
        <v>0</v>
      </c>
      <c r="K851" s="10" t="n">
        <f aca="false">I851*(1-J851)</f>
        <v>1154.12</v>
      </c>
      <c r="L851" s="12" t="n">
        <f aca="false">CRM_Raw!K851</f>
        <v>0</v>
      </c>
      <c r="M851" s="12" t="n">
        <f aca="false">IF(H851="Closed Won",1,0)</f>
        <v>0</v>
      </c>
    </row>
    <row r="852" customFormat="false" ht="15" hidden="false" customHeight="false" outlineLevel="0" collapsed="false">
      <c r="A852" s="0" t="str">
        <f aca="false">CRM_Raw!A852</f>
        <v>D-10848</v>
      </c>
      <c r="B852" s="0" t="str">
        <f aca="false">CRM_Raw!B852</f>
        <v>2026-03-21</v>
      </c>
      <c r="C852" s="0" t="str">
        <f aca="false">CRM_Raw!C852</f>
        <v>2026-04-11</v>
      </c>
      <c r="D852" s="0" t="str">
        <f aca="false">IF(CRM_Raw!D852="DACH","DACH",IF(ISNUMBER(SEARCH("uk",CRM_Raw!D852)),"UK &amp; Ireland",PROPER(CRM_Raw!D852)))</f>
        <v>DACH</v>
      </c>
      <c r="E852" s="0" t="str">
        <f aca="false">CRM_Raw!E852</f>
        <v>Cordless Vacuums</v>
      </c>
      <c r="F852" s="0" t="str">
        <f aca="false">CRM_Raw!F852</f>
        <v>Paid Search</v>
      </c>
      <c r="G852" s="0" t="str">
        <f aca="false">IF(TRIM(CRM_Raw!G852)="","Unassigned",CRM_Raw!G852)</f>
        <v>M. Hoffmann</v>
      </c>
      <c r="H852" s="0" t="str">
        <f aca="false">CRM_Raw!H852</f>
        <v>Closed Won</v>
      </c>
      <c r="I852" s="10" t="n">
        <f aca="false">CRM_Raw!I852</f>
        <v>1134.2</v>
      </c>
      <c r="J852" s="11" t="n">
        <f aca="false">CRM_Raw!J852</f>
        <v>0</v>
      </c>
      <c r="K852" s="10" t="n">
        <f aca="false">I852*(1-J852)</f>
        <v>1134.2</v>
      </c>
      <c r="L852" s="12" t="n">
        <f aca="false">CRM_Raw!K852</f>
        <v>21</v>
      </c>
      <c r="M852" s="12" t="n">
        <f aca="false">IF(H852="Closed Won",1,0)</f>
        <v>1</v>
      </c>
    </row>
    <row r="853" customFormat="false" ht="15" hidden="false" customHeight="false" outlineLevel="0" collapsed="false">
      <c r="A853" s="0" t="str">
        <f aca="false">CRM_Raw!A853</f>
        <v>D-10849</v>
      </c>
      <c r="B853" s="0" t="str">
        <f aca="false">CRM_Raw!B853</f>
        <v>2026-03-06</v>
      </c>
      <c r="C853" s="0" t="str">
        <f aca="false">CRM_Raw!C853</f>
        <v>2026-03-13</v>
      </c>
      <c r="D853" s="0" t="str">
        <f aca="false">IF(CRM_Raw!D853="DACH","DACH",IF(ISNUMBER(SEARCH("uk",CRM_Raw!D853)),"UK &amp; Ireland",PROPER(CRM_Raw!D853)))</f>
        <v>Southern Europe</v>
      </c>
      <c r="E853" s="0" t="str">
        <f aca="false">CRM_Raw!E853</f>
        <v>Small Kitchen Appliances</v>
      </c>
      <c r="F853" s="0" t="str">
        <f aca="false">CRM_Raw!F853</f>
        <v>Email Campaign</v>
      </c>
      <c r="G853" s="0" t="str">
        <f aca="false">IF(TRIM(CRM_Raw!G853)="","Unassigned",CRM_Raw!G853)</f>
        <v>J. Murphy</v>
      </c>
      <c r="H853" s="0" t="str">
        <f aca="false">CRM_Raw!H853</f>
        <v>Closed Lost</v>
      </c>
      <c r="I853" s="10" t="n">
        <f aca="false">CRM_Raw!I853</f>
        <v>389.55</v>
      </c>
      <c r="J853" s="11" t="n">
        <f aca="false">CRM_Raw!J853</f>
        <v>0.2</v>
      </c>
      <c r="K853" s="10" t="n">
        <f aca="false">I853*(1-J853)</f>
        <v>311.64</v>
      </c>
      <c r="L853" s="12" t="n">
        <f aca="false">CRM_Raw!K853</f>
        <v>7</v>
      </c>
      <c r="M853" s="12" t="n">
        <f aca="false">IF(H853="Closed Won",1,0)</f>
        <v>0</v>
      </c>
    </row>
    <row r="854" customFormat="false" ht="15" hidden="false" customHeight="false" outlineLevel="0" collapsed="false">
      <c r="A854" s="0" t="str">
        <f aca="false">CRM_Raw!A854</f>
        <v>D-10850</v>
      </c>
      <c r="B854" s="0" t="str">
        <f aca="false">CRM_Raw!B854</f>
        <v>2025-01-09</v>
      </c>
      <c r="C854" s="0" t="n">
        <f aca="false">CRM_Raw!C854</f>
        <v>0</v>
      </c>
      <c r="D854" s="0" t="str">
        <f aca="false">IF(CRM_Raw!D854="DACH","DACH",IF(ISNUMBER(SEARCH("uk",CRM_Raw!D854)),"UK &amp; Ireland",PROPER(CRM_Raw!D854)))</f>
        <v>France</v>
      </c>
      <c r="E854" s="0" t="str">
        <f aca="false">CRM_Raw!E854</f>
        <v>Small Kitchen Appliances</v>
      </c>
      <c r="F854" s="0" t="str">
        <f aca="false">CRM_Raw!F854</f>
        <v>Affiliate Partner</v>
      </c>
      <c r="G854" s="0" t="str">
        <f aca="false">IF(TRIM(CRM_Raw!G854)="","Unassigned",CRM_Raw!G854)</f>
        <v>P. Rossi</v>
      </c>
      <c r="H854" s="0" t="str">
        <f aca="false">CRM_Raw!H854</f>
        <v>Proposal Sent</v>
      </c>
      <c r="I854" s="10" t="n">
        <f aca="false">CRM_Raw!I854</f>
        <v>409.08</v>
      </c>
      <c r="J854" s="11" t="n">
        <f aca="false">CRM_Raw!J854</f>
        <v>0</v>
      </c>
      <c r="K854" s="10" t="n">
        <f aca="false">I854*(1-J854)</f>
        <v>409.08</v>
      </c>
      <c r="L854" s="12" t="n">
        <f aca="false">CRM_Raw!K854</f>
        <v>0</v>
      </c>
      <c r="M854" s="12" t="n">
        <f aca="false">IF(H854="Closed Won",1,0)</f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1" t="s">
        <v>1436</v>
      </c>
    </row>
    <row r="3" customFormat="false" ht="15" hidden="false" customHeight="false" outlineLevel="0" collapsed="false">
      <c r="B3" s="2" t="s">
        <v>1437</v>
      </c>
    </row>
    <row r="5" customFormat="false" ht="15" hidden="false" customHeight="false" outlineLevel="0" collapsed="false">
      <c r="B5" s="13" t="s">
        <v>1438</v>
      </c>
    </row>
    <row r="6" customFormat="false" ht="15" hidden="false" customHeight="false" outlineLevel="0" collapsed="false">
      <c r="B6" s="7" t="s">
        <v>25</v>
      </c>
      <c r="C6" s="7" t="s">
        <v>1439</v>
      </c>
      <c r="D6" s="7" t="s">
        <v>1440</v>
      </c>
      <c r="E6" s="7" t="s">
        <v>1441</v>
      </c>
    </row>
    <row r="7" customFormat="false" ht="15" hidden="false" customHeight="false" outlineLevel="0" collapsed="false">
      <c r="B7" s="0" t="s">
        <v>62</v>
      </c>
      <c r="C7" s="0" t="n">
        <f aca="false">COUNTIF(CRM_Clean!H5:H854,B7)</f>
        <v>105</v>
      </c>
      <c r="D7" s="14" t="n">
        <f aca="false">SUMIF(CRM_Clean!H5:H854,B7,CRM_Clean!I5:I854)</f>
        <v>91315.38</v>
      </c>
      <c r="E7" s="15" t="n">
        <f aca="false">C7/SUM($C$7:$C$11)</f>
        <v>0.123529411764706</v>
      </c>
    </row>
    <row r="8" customFormat="false" ht="15" hidden="false" customHeight="false" outlineLevel="0" collapsed="false">
      <c r="B8" s="0" t="s">
        <v>75</v>
      </c>
      <c r="C8" s="0" t="n">
        <f aca="false">COUNTIF(CRM_Clean!H5:H854,B8)</f>
        <v>118</v>
      </c>
      <c r="D8" s="14" t="n">
        <f aca="false">SUMIF(CRM_Clean!H5:H854,B8,CRM_Clean!I5:I854)</f>
        <v>101526.97</v>
      </c>
      <c r="E8" s="15" t="n">
        <f aca="false">C8/SUM($C$7:$C$11)</f>
        <v>0.138823529411765</v>
      </c>
    </row>
    <row r="9" customFormat="false" ht="15" hidden="false" customHeight="false" outlineLevel="0" collapsed="false">
      <c r="B9" s="0" t="s">
        <v>80</v>
      </c>
      <c r="C9" s="0" t="n">
        <f aca="false">COUNTIF(CRM_Clean!H5:H854,B9)</f>
        <v>107</v>
      </c>
      <c r="D9" s="14" t="n">
        <f aca="false">SUMIF(CRM_Clean!H5:H854,B9,CRM_Clean!I5:I854)</f>
        <v>81115.14</v>
      </c>
      <c r="E9" s="15" t="n">
        <f aca="false">C9/SUM($C$7:$C$11)</f>
        <v>0.125882352941176</v>
      </c>
    </row>
    <row r="10" customFormat="false" ht="15" hidden="false" customHeight="false" outlineLevel="0" collapsed="false">
      <c r="B10" s="0" t="s">
        <v>36</v>
      </c>
      <c r="C10" s="0" t="n">
        <f aca="false">COUNTIF(CRM_Clean!H5:H854,B10)</f>
        <v>303</v>
      </c>
      <c r="D10" s="14" t="n">
        <f aca="false">SUMIF(CRM_Clean!H5:H854,B10,CRM_Clean!I5:I854)</f>
        <v>260514.16</v>
      </c>
      <c r="E10" s="15" t="n">
        <f aca="false">C10/SUM($C$7:$C$11)</f>
        <v>0.356470588235294</v>
      </c>
    </row>
    <row r="11" customFormat="false" ht="15" hidden="false" customHeight="false" outlineLevel="0" collapsed="false">
      <c r="B11" s="0" t="s">
        <v>42</v>
      </c>
      <c r="C11" s="0" t="n">
        <f aca="false">COUNTIF(CRM_Clean!H5:H854,B11)</f>
        <v>217</v>
      </c>
      <c r="D11" s="14" t="n">
        <f aca="false">SUMIF(CRM_Clean!H5:H854,B11,CRM_Clean!I5:I854)</f>
        <v>174742.68</v>
      </c>
      <c r="E11" s="15" t="n">
        <f aca="false">C11/SUM($C$7:$C$11)</f>
        <v>0.255294117647059</v>
      </c>
    </row>
    <row r="12" customFormat="false" ht="15" hidden="false" customHeight="false" outlineLevel="0" collapsed="false">
      <c r="B12" s="8" t="s">
        <v>1442</v>
      </c>
      <c r="C12" s="8" t="n">
        <f aca="false">SUM(C7:C11)</f>
        <v>850</v>
      </c>
      <c r="D12" s="16" t="n">
        <f aca="false">SUM(D7:D11)</f>
        <v>709214.33</v>
      </c>
    </row>
    <row r="15" customFormat="false" ht="15" hidden="false" customHeight="false" outlineLevel="0" collapsed="false">
      <c r="B15" s="13" t="s">
        <v>1443</v>
      </c>
    </row>
    <row r="16" customFormat="false" ht="15" hidden="false" customHeight="false" outlineLevel="0" collapsed="false">
      <c r="B16" s="7" t="s">
        <v>21</v>
      </c>
      <c r="C16" s="7" t="s">
        <v>1444</v>
      </c>
      <c r="D16" s="7" t="s">
        <v>36</v>
      </c>
      <c r="E16" s="7" t="s">
        <v>42</v>
      </c>
      <c r="F16" s="7" t="s">
        <v>1445</v>
      </c>
      <c r="G16" s="7" t="s">
        <v>1446</v>
      </c>
      <c r="H16" s="7" t="s">
        <v>1447</v>
      </c>
    </row>
    <row r="17" customFormat="false" ht="15" hidden="false" customHeight="false" outlineLevel="0" collapsed="false">
      <c r="B17" s="0" t="s">
        <v>78</v>
      </c>
      <c r="C17" s="0" t="n">
        <f aca="false">COUNTIF(CRM_Clean!D5:D854,B17)</f>
        <v>129</v>
      </c>
      <c r="D17" s="0" t="n">
        <f aca="false">COUNTIFS(CRM_Clean!D5:D854,B17,CRM_Clean!H5:H854,"Closed Won")</f>
        <v>42</v>
      </c>
      <c r="E17" s="0" t="n">
        <f aca="false">COUNTIFS(CRM_Clean!D5:D854,B17,CRM_Clean!H5:H854,"Closed Lost")</f>
        <v>29</v>
      </c>
      <c r="F17" s="15" t="n">
        <f aca="false">IFERROR(D17/(D17+E17),0)</f>
        <v>0.591549295774648</v>
      </c>
      <c r="G17" s="17" t="n">
        <f aca="false">IFERROR((AVERAGEIFS(CRM_Clean!L5:L854,CRM_Clean!D5:D854,B17,CRM_Clean!H5:H854,"Closed Won")*D17+AVERAGEIFS(CRM_Clean!L5:L854,CRM_Clean!D5:D854,B17,CRM_Clean!H5:H854,"Closed Lost")*E17)/(D17+E17),0)</f>
        <v>18.5352112676056</v>
      </c>
      <c r="H17" s="14" t="n">
        <f aca="false">SUMIFS(CRM_Clean!K5:K854,CRM_Clean!D5:D854,B17,CRM_Clean!H5:H854,"Closed Won")</f>
        <v>38521.306</v>
      </c>
    </row>
    <row r="18" customFormat="false" ht="15" hidden="false" customHeight="false" outlineLevel="0" collapsed="false">
      <c r="B18" s="0" t="s">
        <v>61</v>
      </c>
      <c r="C18" s="0" t="n">
        <f aca="false">COUNTIF(CRM_Clean!D5:D854,B18)</f>
        <v>114</v>
      </c>
      <c r="D18" s="0" t="n">
        <f aca="false">COUNTIFS(CRM_Clean!D5:D854,B18,CRM_Clean!H5:H854,"Closed Won")</f>
        <v>27</v>
      </c>
      <c r="E18" s="0" t="n">
        <f aca="false">COUNTIFS(CRM_Clean!D5:D854,B18,CRM_Clean!H5:H854,"Closed Lost")</f>
        <v>38</v>
      </c>
      <c r="F18" s="15" t="n">
        <f aca="false">IFERROR(D18/(D18+E18),0)</f>
        <v>0.415384615384615</v>
      </c>
      <c r="G18" s="17" t="n">
        <f aca="false">IFERROR((AVERAGEIFS(CRM_Clean!L5:L854,CRM_Clean!D5:D854,B18,CRM_Clean!H5:H854,"Closed Won")*D18+AVERAGEIFS(CRM_Clean!L5:L854,CRM_Clean!D5:D854,B18,CRM_Clean!H5:H854,"Closed Lost")*E18)/(D18+E18),0)</f>
        <v>19.4</v>
      </c>
      <c r="H18" s="14" t="n">
        <f aca="false">SUMIFS(CRM_Clean!K5:K854,CRM_Clean!D5:D854,B18,CRM_Clean!H5:H854,"Closed Won")</f>
        <v>22581.059</v>
      </c>
    </row>
    <row r="19" customFormat="false" ht="15" hidden="false" customHeight="false" outlineLevel="0" collapsed="false">
      <c r="B19" s="0" t="s">
        <v>51</v>
      </c>
      <c r="C19" s="0" t="n">
        <f aca="false">COUNTIF(CRM_Clean!D5:D854,B19)</f>
        <v>114</v>
      </c>
      <c r="D19" s="0" t="n">
        <f aca="false">COUNTIFS(CRM_Clean!D5:D854,B19,CRM_Clean!H5:H854,"Closed Won")</f>
        <v>51</v>
      </c>
      <c r="E19" s="0" t="n">
        <f aca="false">COUNTIFS(CRM_Clean!D5:D854,B19,CRM_Clean!H5:H854,"Closed Lost")</f>
        <v>26</v>
      </c>
      <c r="F19" s="15" t="n">
        <f aca="false">IFERROR(D19/(D19+E19),0)</f>
        <v>0.662337662337662</v>
      </c>
      <c r="G19" s="17" t="n">
        <f aca="false">IFERROR((AVERAGEIFS(CRM_Clean!L5:L854,CRM_Clean!D5:D854,B19,CRM_Clean!H5:H854,"Closed Won")*D19+AVERAGEIFS(CRM_Clean!L5:L854,CRM_Clean!D5:D854,B19,CRM_Clean!H5:H854,"Closed Lost")*E19)/(D19+E19),0)</f>
        <v>19.7922077922078</v>
      </c>
      <c r="H19" s="14" t="n">
        <f aca="false">SUMIFS(CRM_Clean!K5:K854,CRM_Clean!D5:D854,B19,CRM_Clean!H5:H854,"Closed Won")</f>
        <v>36830.394</v>
      </c>
    </row>
    <row r="20" customFormat="false" ht="15" hidden="false" customHeight="false" outlineLevel="0" collapsed="false">
      <c r="B20" s="0" t="s">
        <v>40</v>
      </c>
      <c r="C20" s="0" t="n">
        <f aca="false">COUNTIF(CRM_Clean!D5:D854,B20)</f>
        <v>119</v>
      </c>
      <c r="D20" s="0" t="n">
        <f aca="false">COUNTIFS(CRM_Clean!D5:D854,B20,CRM_Clean!H5:H854,"Closed Won")</f>
        <v>54</v>
      </c>
      <c r="E20" s="0" t="n">
        <f aca="false">COUNTIFS(CRM_Clean!D5:D854,B20,CRM_Clean!H5:H854,"Closed Lost")</f>
        <v>30</v>
      </c>
      <c r="F20" s="15" t="n">
        <f aca="false">IFERROR(D20/(D20+E20),0)</f>
        <v>0.642857142857143</v>
      </c>
      <c r="G20" s="17" t="n">
        <f aca="false">IFERROR((AVERAGEIFS(CRM_Clean!L5:L854,CRM_Clean!D5:D854,B20,CRM_Clean!H5:H854,"Closed Won")*D20+AVERAGEIFS(CRM_Clean!L5:L854,CRM_Clean!D5:D854,B20,CRM_Clean!H5:H854,"Closed Lost")*E20)/(D20+E20),0)</f>
        <v>18.1071428571429</v>
      </c>
      <c r="H20" s="14" t="n">
        <f aca="false">SUMIFS(CRM_Clean!K5:K854,CRM_Clean!D5:D854,B20,CRM_Clean!H5:H854,"Closed Won")</f>
        <v>46696.532</v>
      </c>
    </row>
    <row r="21" customFormat="false" ht="15" hidden="false" customHeight="false" outlineLevel="0" collapsed="false">
      <c r="B21" s="0" t="s">
        <v>86</v>
      </c>
      <c r="C21" s="0" t="n">
        <f aca="false">COUNTIF(CRM_Clean!D5:D854,B21)</f>
        <v>111</v>
      </c>
      <c r="D21" s="0" t="n">
        <f aca="false">COUNTIFS(CRM_Clean!D5:D854,B21,CRM_Clean!H5:H854,"Closed Won")</f>
        <v>36</v>
      </c>
      <c r="E21" s="0" t="n">
        <f aca="false">COUNTIFS(CRM_Clean!D5:D854,B21,CRM_Clean!H5:H854,"Closed Lost")</f>
        <v>33</v>
      </c>
      <c r="F21" s="15" t="n">
        <f aca="false">IFERROR(D21/(D21+E21),0)</f>
        <v>0.521739130434783</v>
      </c>
      <c r="G21" s="17" t="n">
        <f aca="false">IFERROR((AVERAGEIFS(CRM_Clean!L5:L854,CRM_Clean!D5:D854,B21,CRM_Clean!H5:H854,"Closed Won")*D21+AVERAGEIFS(CRM_Clean!L5:L854,CRM_Clean!D5:D854,B21,CRM_Clean!H5:H854,"Closed Lost")*E21)/(D21+E21),0)</f>
        <v>20.6666666666667</v>
      </c>
      <c r="H21" s="14" t="n">
        <f aca="false">SUMIFS(CRM_Clean!K5:K854,CRM_Clean!D5:D854,B21,CRM_Clean!H5:H854,"Closed Won")</f>
        <v>25512.8475</v>
      </c>
    </row>
    <row r="22" customFormat="false" ht="15" hidden="false" customHeight="false" outlineLevel="0" collapsed="false">
      <c r="B22" s="0" t="s">
        <v>32</v>
      </c>
      <c r="C22" s="0" t="n">
        <f aca="false">COUNTIF(CRM_Clean!D5:D854,B22)</f>
        <v>137</v>
      </c>
      <c r="D22" s="0" t="n">
        <f aca="false">COUNTIFS(CRM_Clean!D5:D854,B22,CRM_Clean!H5:H854,"Closed Won")</f>
        <v>46</v>
      </c>
      <c r="E22" s="0" t="n">
        <f aca="false">COUNTIFS(CRM_Clean!D5:D854,B22,CRM_Clean!H5:H854,"Closed Lost")</f>
        <v>43</v>
      </c>
      <c r="F22" s="15" t="n">
        <f aca="false">IFERROR(D22/(D22+E22),0)</f>
        <v>0.51685393258427</v>
      </c>
      <c r="G22" s="17" t="n">
        <f aca="false">IFERROR((AVERAGEIFS(CRM_Clean!L5:L854,CRM_Clean!D5:D854,B22,CRM_Clean!H5:H854,"Closed Won")*D22+AVERAGEIFS(CRM_Clean!L5:L854,CRM_Clean!D5:D854,B22,CRM_Clean!H5:H854,"Closed Lost")*E22)/(D22+E22),0)</f>
        <v>19.0898876404494</v>
      </c>
      <c r="H22" s="14" t="n">
        <f aca="false">SUMIFS(CRM_Clean!K5:K854,CRM_Clean!D5:D854,B22,CRM_Clean!H5:H854,"Closed Won")</f>
        <v>35770.8565</v>
      </c>
    </row>
    <row r="23" customFormat="false" ht="15" hidden="false" customHeight="false" outlineLevel="0" collapsed="false">
      <c r="B23" s="0" t="s">
        <v>95</v>
      </c>
      <c r="C23" s="0" t="n">
        <f aca="false">COUNTIF(CRM_Clean!D5:D854,B23)</f>
        <v>126</v>
      </c>
      <c r="D23" s="0" t="n">
        <f aca="false">COUNTIFS(CRM_Clean!D5:D854,B23,CRM_Clean!H5:H854,"Closed Won")</f>
        <v>47</v>
      </c>
      <c r="E23" s="0" t="n">
        <f aca="false">COUNTIFS(CRM_Clean!D5:D854,B23,CRM_Clean!H5:H854,"Closed Lost")</f>
        <v>18</v>
      </c>
      <c r="F23" s="15" t="n">
        <f aca="false">IFERROR(D23/(D23+E23),0)</f>
        <v>0.723076923076923</v>
      </c>
      <c r="G23" s="17" t="n">
        <f aca="false">IFERROR((AVERAGEIFS(CRM_Clean!L5:L854,CRM_Clean!D5:D854,B23,CRM_Clean!H5:H854,"Closed Won")*D23+AVERAGEIFS(CRM_Clean!L5:L854,CRM_Clean!D5:D854,B23,CRM_Clean!H5:H854,"Closed Lost")*E23)/(D23+E23),0)</f>
        <v>19.7076923076923</v>
      </c>
      <c r="H23" s="14" t="n">
        <f aca="false">SUMIFS(CRM_Clean!K5:K854,CRM_Clean!D5:D854,B23,CRM_Clean!H5:H854,"Closed Won")</f>
        <v>36247.9835</v>
      </c>
    </row>
    <row r="27" customFormat="false" ht="15" hidden="false" customHeight="false" outlineLevel="0" collapsed="false">
      <c r="B27" s="13" t="s">
        <v>1448</v>
      </c>
    </row>
    <row r="28" customFormat="false" ht="15" hidden="false" customHeight="false" outlineLevel="0" collapsed="false">
      <c r="B28" s="7" t="s">
        <v>22</v>
      </c>
      <c r="C28" s="7" t="s">
        <v>1444</v>
      </c>
      <c r="D28" s="7" t="s">
        <v>36</v>
      </c>
      <c r="E28" s="7" t="s">
        <v>1445</v>
      </c>
      <c r="F28" s="7" t="s">
        <v>1447</v>
      </c>
      <c r="G28" s="7" t="s">
        <v>1449</v>
      </c>
    </row>
    <row r="29" customFormat="false" ht="15" hidden="false" customHeight="false" outlineLevel="0" collapsed="false">
      <c r="B29" s="0" t="s">
        <v>33</v>
      </c>
      <c r="C29" s="0" t="n">
        <f aca="false">COUNTIF(CRM_Clean!E5:E854,B29)</f>
        <v>132</v>
      </c>
      <c r="D29" s="0" t="n">
        <f aca="false">COUNTIFS(CRM_Clean!E5:E854,B29,CRM_Clean!H5:H854,"Closed Won")</f>
        <v>49</v>
      </c>
      <c r="E29" s="15" t="n">
        <f aca="false">IFERROR(D29/C29,0)</f>
        <v>0.371212121212121</v>
      </c>
      <c r="F29" s="14" t="n">
        <f aca="false">SUMIFS(CRM_Clean!K5:K854,CRM_Clean!E5:E854,B29,CRM_Clean!H5:H854,"Closed Won")</f>
        <v>60064.364</v>
      </c>
      <c r="G29" s="14" t="n">
        <f aca="false">IFERROR(F29/D29,0)</f>
        <v>1225.80334693878</v>
      </c>
    </row>
    <row r="30" customFormat="false" ht="15" hidden="false" customHeight="false" outlineLevel="0" collapsed="false">
      <c r="B30" s="0" t="s">
        <v>52</v>
      </c>
      <c r="C30" s="0" t="n">
        <f aca="false">COUNTIF(CRM_Clean!E5:E854,B30)</f>
        <v>132</v>
      </c>
      <c r="D30" s="0" t="n">
        <f aca="false">COUNTIFS(CRM_Clean!E5:E854,B30,CRM_Clean!H5:H854,"Closed Won")</f>
        <v>46</v>
      </c>
      <c r="E30" s="15" t="n">
        <f aca="false">IFERROR(D30/C30,0)</f>
        <v>0.348484848484849</v>
      </c>
      <c r="F30" s="14" t="n">
        <f aca="false">SUMIFS(CRM_Clean!K5:K854,CRM_Clean!E5:E854,B30,CRM_Clean!H5:H854,"Closed Won")</f>
        <v>39451.22</v>
      </c>
      <c r="G30" s="14" t="n">
        <f aca="false">IFERROR(F30/D30,0)</f>
        <v>857.635217391304</v>
      </c>
    </row>
    <row r="31" customFormat="false" ht="15" hidden="false" customHeight="false" outlineLevel="0" collapsed="false">
      <c r="B31" s="0" t="s">
        <v>72</v>
      </c>
      <c r="C31" s="0" t="n">
        <f aca="false">COUNTIF(CRM_Clean!E5:E854,B31)</f>
        <v>138</v>
      </c>
      <c r="D31" s="0" t="n">
        <f aca="false">COUNTIFS(CRM_Clean!E5:E854,B31,CRM_Clean!H5:H854,"Closed Won")</f>
        <v>49</v>
      </c>
      <c r="E31" s="15" t="n">
        <f aca="false">IFERROR(D31/C31,0)</f>
        <v>0.355072463768116</v>
      </c>
      <c r="F31" s="14" t="n">
        <f aca="false">SUMIFS(CRM_Clean!K5:K854,CRM_Clean!E5:E854,B31,CRM_Clean!H5:H854,"Closed Won")</f>
        <v>27695.823</v>
      </c>
      <c r="G31" s="14" t="n">
        <f aca="false">IFERROR(F31/D31,0)</f>
        <v>565.22087755102</v>
      </c>
    </row>
    <row r="32" customFormat="false" ht="15" hidden="false" customHeight="false" outlineLevel="0" collapsed="false">
      <c r="B32" s="0" t="s">
        <v>66</v>
      </c>
      <c r="C32" s="0" t="n">
        <f aca="false">COUNTIF(CRM_Clean!E5:E854,B32)</f>
        <v>127</v>
      </c>
      <c r="D32" s="0" t="n">
        <f aca="false">COUNTIFS(CRM_Clean!E5:E854,B32,CRM_Clean!H5:H854,"Closed Won")</f>
        <v>49</v>
      </c>
      <c r="E32" s="15" t="n">
        <f aca="false">IFERROR(D32/C32,0)</f>
        <v>0.385826771653543</v>
      </c>
      <c r="F32" s="14" t="n">
        <f aca="false">SUMIFS(CRM_Clean!K5:K854,CRM_Clean!E5:E854,B32,CRM_Clean!H5:H854,"Closed Won")</f>
        <v>56315.3655</v>
      </c>
      <c r="G32" s="14" t="n">
        <f aca="false">IFERROR(F32/D32,0)</f>
        <v>1149.29317346939</v>
      </c>
    </row>
    <row r="33" customFormat="false" ht="15" hidden="false" customHeight="false" outlineLevel="0" collapsed="false">
      <c r="B33" s="0" t="s">
        <v>114</v>
      </c>
      <c r="C33" s="0" t="n">
        <f aca="false">COUNTIF(CRM_Clean!E5:E854,B33)</f>
        <v>148</v>
      </c>
      <c r="D33" s="0" t="n">
        <f aca="false">COUNTIFS(CRM_Clean!E5:E854,B33,CRM_Clean!H5:H854,"Closed Won")</f>
        <v>45</v>
      </c>
      <c r="E33" s="15" t="n">
        <f aca="false">IFERROR(D33/C33,0)</f>
        <v>0.304054054054054</v>
      </c>
      <c r="F33" s="14" t="n">
        <f aca="false">SUMIFS(CRM_Clean!K5:K854,CRM_Clean!E5:E854,B33,CRM_Clean!H5:H854,"Closed Won")</f>
        <v>44683.3785</v>
      </c>
      <c r="G33" s="14" t="n">
        <f aca="false">IFERROR(F33/D33,0)</f>
        <v>992.963966666667</v>
      </c>
    </row>
    <row r="34" customFormat="false" ht="15" hidden="false" customHeight="false" outlineLevel="0" collapsed="false">
      <c r="B34" s="0" t="s">
        <v>46</v>
      </c>
      <c r="C34" s="0" t="n">
        <f aca="false">COUNTIF(CRM_Clean!E5:E854,B34)</f>
        <v>173</v>
      </c>
      <c r="D34" s="0" t="n">
        <f aca="false">COUNTIFS(CRM_Clean!E5:E854,B34,CRM_Clean!H5:H854,"Closed Won")</f>
        <v>65</v>
      </c>
      <c r="E34" s="15" t="n">
        <f aca="false">IFERROR(D34/C34,0)</f>
        <v>0.375722543352601</v>
      </c>
      <c r="F34" s="14" t="n">
        <f aca="false">SUMIFS(CRM_Clean!K5:K854,CRM_Clean!E5:E854,B34,CRM_Clean!H5:H854,"Closed Won")</f>
        <v>13950.8275</v>
      </c>
      <c r="G34" s="14" t="n">
        <f aca="false">IFERROR(F34/D34,0)</f>
        <v>214.628115384615</v>
      </c>
    </row>
    <row r="38" customFormat="false" ht="15" hidden="false" customHeight="false" outlineLevel="0" collapsed="false">
      <c r="B38" s="13" t="s">
        <v>1450</v>
      </c>
    </row>
    <row r="39" customFormat="false" ht="15" hidden="false" customHeight="false" outlineLevel="0" collapsed="false">
      <c r="B39" s="7" t="s">
        <v>23</v>
      </c>
      <c r="C39" s="7" t="s">
        <v>1444</v>
      </c>
      <c r="D39" s="7" t="s">
        <v>36</v>
      </c>
      <c r="E39" s="7" t="s">
        <v>1451</v>
      </c>
      <c r="F39" s="7" t="s">
        <v>1447</v>
      </c>
    </row>
    <row r="40" customFormat="false" ht="15" hidden="false" customHeight="false" outlineLevel="0" collapsed="false">
      <c r="B40" s="0" t="s">
        <v>34</v>
      </c>
      <c r="C40" s="0" t="n">
        <f aca="false">COUNTIF(CRM_Clean!F5:F854,B40)</f>
        <v>215</v>
      </c>
      <c r="D40" s="0" t="n">
        <f aca="false">COUNTIFS(CRM_Clean!F5:F854,B40,CRM_Clean!H5:H854,"Closed Won")</f>
        <v>79</v>
      </c>
      <c r="E40" s="15" t="n">
        <f aca="false">IFERROR(D40/C40,0)</f>
        <v>0.367441860465116</v>
      </c>
      <c r="F40" s="14" t="n">
        <f aca="false">SUMIFS(CRM_Clean!K5:K854,CRM_Clean!F5:F854,B40,CRM_Clean!H5:H854,"Closed Won")</f>
        <v>63814.352</v>
      </c>
    </row>
    <row r="41" customFormat="false" ht="15" hidden="false" customHeight="false" outlineLevel="0" collapsed="false">
      <c r="B41" s="0" t="s">
        <v>89</v>
      </c>
      <c r="C41" s="0" t="n">
        <f aca="false">COUNTIF(CRM_Clean!F5:F854,B41)</f>
        <v>171</v>
      </c>
      <c r="D41" s="0" t="n">
        <f aca="false">COUNTIFS(CRM_Clean!F5:F854,B41,CRM_Clean!H5:H854,"Closed Won")</f>
        <v>68</v>
      </c>
      <c r="E41" s="15" t="n">
        <f aca="false">IFERROR(D41/C41,0)</f>
        <v>0.39766081871345</v>
      </c>
      <c r="F41" s="14" t="n">
        <f aca="false">SUMIFS(CRM_Clean!K5:K854,CRM_Clean!F5:F854,B41,CRM_Clean!H5:H854,"Closed Won")</f>
        <v>54899.119</v>
      </c>
    </row>
    <row r="42" customFormat="false" ht="15" hidden="false" customHeight="false" outlineLevel="0" collapsed="false">
      <c r="B42" s="0" t="s">
        <v>47</v>
      </c>
      <c r="C42" s="0" t="n">
        <f aca="false">COUNTIF(CRM_Clean!F5:F854,B42)</f>
        <v>150</v>
      </c>
      <c r="D42" s="0" t="n">
        <f aca="false">COUNTIFS(CRM_Clean!F5:F854,B42,CRM_Clean!H5:H854,"Closed Won")</f>
        <v>49</v>
      </c>
      <c r="E42" s="15" t="n">
        <f aca="false">IFERROR(D42/C42,0)</f>
        <v>0.326666666666667</v>
      </c>
      <c r="F42" s="14" t="n">
        <f aca="false">SUMIFS(CRM_Clean!K5:K854,CRM_Clean!F5:F854,B42,CRM_Clean!H5:H854,"Closed Won")</f>
        <v>38005.0485</v>
      </c>
    </row>
    <row r="43" customFormat="false" ht="15" hidden="false" customHeight="false" outlineLevel="0" collapsed="false">
      <c r="B43" s="0" t="s">
        <v>57</v>
      </c>
      <c r="C43" s="0" t="n">
        <f aca="false">COUNTIF(CRM_Clean!F5:F854,B43)</f>
        <v>109</v>
      </c>
      <c r="D43" s="0" t="n">
        <f aca="false">COUNTIFS(CRM_Clean!F5:F854,B43,CRM_Clean!H5:H854,"Closed Won")</f>
        <v>37</v>
      </c>
      <c r="E43" s="15" t="n">
        <f aca="false">IFERROR(D43/C43,0)</f>
        <v>0.339449541284404</v>
      </c>
      <c r="F43" s="14" t="n">
        <f aca="false">SUMIFS(CRM_Clean!K5:K854,CRM_Clean!F5:F854,B43,CRM_Clean!H5:H854,"Closed Won")</f>
        <v>30881.943</v>
      </c>
    </row>
    <row r="44" customFormat="false" ht="15" hidden="false" customHeight="false" outlineLevel="0" collapsed="false">
      <c r="B44" s="0" t="s">
        <v>73</v>
      </c>
      <c r="C44" s="0" t="n">
        <f aca="false">COUNTIF(CRM_Clean!F5:F854,B44)</f>
        <v>80</v>
      </c>
      <c r="D44" s="0" t="n">
        <f aca="false">COUNTIFS(CRM_Clean!F5:F854,B44,CRM_Clean!H5:H854,"Closed Won")</f>
        <v>24</v>
      </c>
      <c r="E44" s="15" t="n">
        <f aca="false">IFERROR(D44/C44,0)</f>
        <v>0.3</v>
      </c>
      <c r="F44" s="14" t="n">
        <f aca="false">SUMIFS(CRM_Clean!K5:K854,CRM_Clean!F5:F854,B44,CRM_Clean!H5:H854,"Closed Won")</f>
        <v>20676.423</v>
      </c>
    </row>
    <row r="45" customFormat="false" ht="15" hidden="false" customHeight="false" outlineLevel="0" collapsed="false">
      <c r="B45" s="0" t="s">
        <v>79</v>
      </c>
      <c r="C45" s="0" t="n">
        <f aca="false">COUNTIF(CRM_Clean!F5:F854,B45)</f>
        <v>88</v>
      </c>
      <c r="D45" s="0" t="n">
        <f aca="false">COUNTIFS(CRM_Clean!F5:F854,B45,CRM_Clean!H5:H854,"Closed Won")</f>
        <v>32</v>
      </c>
      <c r="E45" s="15" t="n">
        <f aca="false">IFERROR(D45/C45,0)</f>
        <v>0.363636363636364</v>
      </c>
      <c r="F45" s="14" t="n">
        <f aca="false">SUMIFS(CRM_Clean!K5:K854,CRM_Clean!F5:F854,B45,CRM_Clean!H5:H854,"Closed Won")</f>
        <v>20575.7405</v>
      </c>
    </row>
    <row r="46" customFormat="false" ht="15" hidden="false" customHeight="false" outlineLevel="0" collapsed="false">
      <c r="B46" s="0" t="s">
        <v>129</v>
      </c>
      <c r="C46" s="0" t="n">
        <f aca="false">COUNTIF(CRM_Clean!F5:F854,B46)</f>
        <v>37</v>
      </c>
      <c r="D46" s="0" t="n">
        <f aca="false">COUNTIFS(CRM_Clean!F5:F854,B46,CRM_Clean!H5:H854,"Closed Won")</f>
        <v>14</v>
      </c>
      <c r="E46" s="15" t="n">
        <f aca="false">IFERROR(D46/C46,0)</f>
        <v>0.378378378378378</v>
      </c>
      <c r="F46" s="14" t="n">
        <f aca="false">SUMIFS(CRM_Clean!K5:K854,CRM_Clean!F5:F854,B46,CRM_Clean!H5:H854,"Closed Won")</f>
        <v>13308.3525</v>
      </c>
    </row>
    <row r="50" customFormat="false" ht="15" hidden="false" customHeight="false" outlineLevel="0" collapsed="false">
      <c r="B50" s="13" t="s">
        <v>1452</v>
      </c>
    </row>
    <row r="51" customFormat="false" ht="15" hidden="false" customHeight="false" outlineLevel="0" collapsed="false">
      <c r="B51" s="7" t="s">
        <v>24</v>
      </c>
      <c r="C51" s="7" t="s">
        <v>1444</v>
      </c>
      <c r="D51" s="7" t="s">
        <v>36</v>
      </c>
      <c r="E51" s="7" t="s">
        <v>1445</v>
      </c>
      <c r="F51" s="7" t="s">
        <v>1447</v>
      </c>
    </row>
    <row r="52" customFormat="false" ht="15" hidden="false" customHeight="false" outlineLevel="0" collapsed="false">
      <c r="B52" s="0" t="s">
        <v>74</v>
      </c>
      <c r="C52" s="0" t="n">
        <f aca="false">COUNTIF(CRM_Clean!G5:G854,B52)</f>
        <v>106</v>
      </c>
      <c r="D52" s="0" t="n">
        <f aca="false">COUNTIFS(CRM_Clean!G5:G854,B52,CRM_Clean!H5:H854,"Closed Won")</f>
        <v>35</v>
      </c>
      <c r="E52" s="15" t="n">
        <f aca="false">IFERROR(D52/C52,0)</f>
        <v>0.330188679245283</v>
      </c>
      <c r="F52" s="14" t="n">
        <f aca="false">SUMIFS(CRM_Clean!K5:K854,CRM_Clean!G5:G854,B52,CRM_Clean!H5:H854,"Closed Won")</f>
        <v>28900.2695</v>
      </c>
    </row>
    <row r="53" customFormat="false" ht="15" hidden="false" customHeight="false" outlineLevel="0" collapsed="false">
      <c r="B53" s="0" t="s">
        <v>58</v>
      </c>
      <c r="C53" s="0" t="n">
        <f aca="false">COUNTIF(CRM_Clean!G5:G854,B53)</f>
        <v>105</v>
      </c>
      <c r="D53" s="0" t="n">
        <f aca="false">COUNTIFS(CRM_Clean!G5:G854,B53,CRM_Clean!H5:H854,"Closed Won")</f>
        <v>42</v>
      </c>
      <c r="E53" s="15" t="n">
        <f aca="false">IFERROR(D53/C53,0)</f>
        <v>0.4</v>
      </c>
      <c r="F53" s="14" t="n">
        <f aca="false">SUMIFS(CRM_Clean!K5:K854,CRM_Clean!G5:G854,B53,CRM_Clean!H5:H854,"Closed Won")</f>
        <v>31703.2425</v>
      </c>
    </row>
    <row r="54" customFormat="false" ht="15" hidden="false" customHeight="false" outlineLevel="0" collapsed="false">
      <c r="B54" s="0" t="s">
        <v>69</v>
      </c>
      <c r="C54" s="0" t="n">
        <f aca="false">COUNTIF(CRM_Clean!G5:G854,B54)</f>
        <v>111</v>
      </c>
      <c r="D54" s="0" t="n">
        <f aca="false">COUNTIFS(CRM_Clean!G5:G854,B54,CRM_Clean!H5:H854,"Closed Won")</f>
        <v>46</v>
      </c>
      <c r="E54" s="15" t="n">
        <f aca="false">IFERROR(D54/C54,0)</f>
        <v>0.414414414414414</v>
      </c>
      <c r="F54" s="14" t="n">
        <f aca="false">SUMIFS(CRM_Clean!K5:K854,CRM_Clean!G5:G854,B54,CRM_Clean!H5:H854,"Closed Won")</f>
        <v>39229.6485</v>
      </c>
    </row>
    <row r="55" customFormat="false" ht="15" hidden="false" customHeight="false" outlineLevel="0" collapsed="false">
      <c r="B55" s="0" t="s">
        <v>41</v>
      </c>
      <c r="C55" s="0" t="n">
        <f aca="false">COUNTIF(CRM_Clean!G5:G854,B55)</f>
        <v>89</v>
      </c>
      <c r="D55" s="0" t="n">
        <f aca="false">COUNTIFS(CRM_Clean!G5:G854,B55,CRM_Clean!H5:H854,"Closed Won")</f>
        <v>28</v>
      </c>
      <c r="E55" s="15" t="n">
        <f aca="false">IFERROR(D55/C55,0)</f>
        <v>0.314606741573034</v>
      </c>
      <c r="F55" s="14" t="n">
        <f aca="false">SUMIFS(CRM_Clean!K5:K854,CRM_Clean!G5:G854,B55,CRM_Clean!H5:H854,"Closed Won")</f>
        <v>22377.9175</v>
      </c>
    </row>
    <row r="56" customFormat="false" ht="15" hidden="false" customHeight="false" outlineLevel="0" collapsed="false">
      <c r="B56" s="0" t="s">
        <v>35</v>
      </c>
      <c r="C56" s="0" t="n">
        <f aca="false">COUNTIF(CRM_Clean!G5:G854,B56)</f>
        <v>107</v>
      </c>
      <c r="D56" s="0" t="n">
        <f aca="false">COUNTIFS(CRM_Clean!G5:G854,B56,CRM_Clean!H5:H854,"Closed Won")</f>
        <v>35</v>
      </c>
      <c r="E56" s="15" t="n">
        <f aca="false">IFERROR(D56/C56,0)</f>
        <v>0.327102803738318</v>
      </c>
      <c r="F56" s="14" t="n">
        <f aca="false">SUMIFS(CRM_Clean!K5:K854,CRM_Clean!G5:G854,B56,CRM_Clean!H5:H854,"Closed Won")</f>
        <v>31820.6085</v>
      </c>
    </row>
    <row r="57" customFormat="false" ht="15" hidden="false" customHeight="false" outlineLevel="0" collapsed="false">
      <c r="B57" s="0" t="s">
        <v>53</v>
      </c>
      <c r="C57" s="0" t="n">
        <f aca="false">COUNTIF(CRM_Clean!G5:G854,B57)</f>
        <v>92</v>
      </c>
      <c r="D57" s="0" t="n">
        <f aca="false">COUNTIFS(CRM_Clean!G5:G854,B57,CRM_Clean!H5:H854,"Closed Won")</f>
        <v>31</v>
      </c>
      <c r="E57" s="15" t="n">
        <f aca="false">IFERROR(D57/C57,0)</f>
        <v>0.33695652173913</v>
      </c>
      <c r="F57" s="14" t="n">
        <f aca="false">SUMIFS(CRM_Clean!K5:K854,CRM_Clean!G5:G854,B57,CRM_Clean!H5:H854,"Closed Won")</f>
        <v>23621.514</v>
      </c>
    </row>
    <row r="58" customFormat="false" ht="15" hidden="false" customHeight="false" outlineLevel="0" collapsed="false">
      <c r="B58" s="0" t="s">
        <v>140</v>
      </c>
      <c r="C58" s="0" t="n">
        <f aca="false">COUNTIF(CRM_Clean!G5:G854,B58)</f>
        <v>101</v>
      </c>
      <c r="D58" s="0" t="n">
        <f aca="false">COUNTIFS(CRM_Clean!G5:G854,B58,CRM_Clean!H5:H854,"Closed Won")</f>
        <v>40</v>
      </c>
      <c r="E58" s="15" t="n">
        <f aca="false">IFERROR(D58/C58,0)</f>
        <v>0.396039603960396</v>
      </c>
      <c r="F58" s="14" t="n">
        <f aca="false">SUMIFS(CRM_Clean!K5:K854,CRM_Clean!G5:G854,B58,CRM_Clean!H5:H854,"Closed Won")</f>
        <v>30067.4005</v>
      </c>
    </row>
    <row r="59" customFormat="false" ht="15" hidden="false" customHeight="false" outlineLevel="0" collapsed="false">
      <c r="B59" s="0" t="s">
        <v>117</v>
      </c>
      <c r="C59" s="0" t="n">
        <f aca="false">COUNTIF(CRM_Clean!G5:G854,B59)</f>
        <v>110</v>
      </c>
      <c r="D59" s="0" t="n">
        <f aca="false">COUNTIFS(CRM_Clean!G5:G854,B59,CRM_Clean!H5:H854,"Closed Won")</f>
        <v>36</v>
      </c>
      <c r="E59" s="15" t="n">
        <f aca="false">IFERROR(D59/C59,0)</f>
        <v>0.327272727272727</v>
      </c>
      <c r="F59" s="14" t="n">
        <f aca="false">SUMIFS(CRM_Clean!K5:K854,CRM_Clean!G5:G854,B59,CRM_Clean!H5:H854,"Closed Won")</f>
        <v>23710.1415</v>
      </c>
    </row>
    <row r="60" customFormat="false" ht="15" hidden="false" customHeight="false" outlineLevel="0" collapsed="false">
      <c r="B60" s="0" t="s">
        <v>1453</v>
      </c>
      <c r="C60" s="0" t="n">
        <f aca="false">COUNTIF(CRM_Clean!G5:G854,B60)</f>
        <v>29</v>
      </c>
      <c r="D60" s="0" t="n">
        <f aca="false">COUNTIFS(CRM_Clean!G5:G854,B60,CRM_Clean!H5:H854,"Closed Won")</f>
        <v>10</v>
      </c>
      <c r="E60" s="15" t="n">
        <f aca="false">IFERROR(D60/C60,0)</f>
        <v>0.344827586206897</v>
      </c>
      <c r="F60" s="14" t="n">
        <f aca="false">SUMIFS(CRM_Clean!K5:K854,CRM_Clean!G5:G854,B60,CRM_Clean!H5:H854,"Closed Won")</f>
        <v>10730.236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true" outlineLevel="0" max="19" min="14" style="0" width="9"/>
  </cols>
  <sheetData>
    <row r="2" customFormat="false" ht="19.7" hidden="false" customHeight="false" outlineLevel="0" collapsed="false">
      <c r="B2" s="1" t="s">
        <v>1454</v>
      </c>
      <c r="N2" s="18" t="s">
        <v>1455</v>
      </c>
      <c r="O2" s="18" t="s">
        <v>1456</v>
      </c>
      <c r="P2" s="18" t="s">
        <v>1457</v>
      </c>
      <c r="Q2" s="18" t="s">
        <v>1458</v>
      </c>
      <c r="R2" s="18" t="s">
        <v>1459</v>
      </c>
      <c r="S2" s="18" t="s">
        <v>1460</v>
      </c>
    </row>
    <row r="3" customFormat="false" ht="15" hidden="false" customHeight="false" outlineLevel="0" collapsed="false">
      <c r="B3" s="2" t="s">
        <v>1461</v>
      </c>
      <c r="N3" s="0" t="str">
        <f aca="false">IF(AND(Pricing_Raw!A5="Smart Ovens",Pricing_Raw!B5&lt;&gt;"Bosch/Siemens (Own)"),Pricing_Raw!C5,"")</f>
        <v/>
      </c>
      <c r="O3" s="0" t="str">
        <f aca="false">IF(AND(Pricing_Raw!A5="Coffee Systems",Pricing_Raw!B5&lt;&gt;"Bosch/Siemens (Own)"),Pricing_Raw!C5,"")</f>
        <v/>
      </c>
      <c r="P3" s="0" t="str">
        <f aca="false">IF(AND(Pricing_Raw!A5="Cordless Vacuums",Pricing_Raw!B5&lt;&gt;"Bosch/Siemens (Own)"),Pricing_Raw!C5,"")</f>
        <v/>
      </c>
      <c r="Q3" s="0" t="str">
        <f aca="false">IF(AND(Pricing_Raw!A5="Dishwashers",Pricing_Raw!B5&lt;&gt;"Bosch/Siemens (Own)"),Pricing_Raw!C5,"")</f>
        <v/>
      </c>
      <c r="R3" s="0" t="str">
        <f aca="false">IF(AND(Pricing_Raw!A5="Washing Machines",Pricing_Raw!B5&lt;&gt;"Bosch/Siemens (Own)"),Pricing_Raw!C5,"")</f>
        <v/>
      </c>
      <c r="S3" s="0" t="str">
        <f aca="false">IF(AND(Pricing_Raw!A5="Small Kitchen Appliances",Pricing_Raw!B5&lt;&gt;"Bosch/Siemens (Own)"),Pricing_Raw!C5,"")</f>
        <v/>
      </c>
    </row>
    <row r="4" customFormat="false" ht="15" hidden="false" customHeight="false" outlineLevel="0" collapsed="false">
      <c r="N4" s="0" t="n">
        <f aca="false">IF(AND(Pricing_Raw!A6="Smart Ovens",Pricing_Raw!B6&lt;&gt;"Bosch/Siemens (Own)"),Pricing_Raw!C6,"")</f>
        <v>1035.02</v>
      </c>
      <c r="O4" s="0" t="str">
        <f aca="false">IF(AND(Pricing_Raw!A6="Coffee Systems",Pricing_Raw!B6&lt;&gt;"Bosch/Siemens (Own)"),Pricing_Raw!C6,"")</f>
        <v/>
      </c>
      <c r="P4" s="0" t="str">
        <f aca="false">IF(AND(Pricing_Raw!A6="Cordless Vacuums",Pricing_Raw!B6&lt;&gt;"Bosch/Siemens (Own)"),Pricing_Raw!C6,"")</f>
        <v/>
      </c>
      <c r="Q4" s="0" t="str">
        <f aca="false">IF(AND(Pricing_Raw!A6="Dishwashers",Pricing_Raw!B6&lt;&gt;"Bosch/Siemens (Own)"),Pricing_Raw!C6,"")</f>
        <v/>
      </c>
      <c r="R4" s="0" t="str">
        <f aca="false">IF(AND(Pricing_Raw!A6="Washing Machines",Pricing_Raw!B6&lt;&gt;"Bosch/Siemens (Own)"),Pricing_Raw!C6,"")</f>
        <v/>
      </c>
      <c r="S4" s="0" t="str">
        <f aca="false">IF(AND(Pricing_Raw!A6="Small Kitchen Appliances",Pricing_Raw!B6&lt;&gt;"Bosch/Siemens (Own)"),Pricing_Raw!C6,"")</f>
        <v/>
      </c>
    </row>
    <row r="5" customFormat="false" ht="15" hidden="false" customHeight="false" outlineLevel="0" collapsed="false">
      <c r="B5" s="13" t="s">
        <v>1462</v>
      </c>
      <c r="N5" s="12" t="n">
        <f aca="false">IF(AND(Pricing_Raw!A7="Smart Ovens",Pricing_Raw!B7&lt;&gt;"Bosch/Siemens (Own)"),Pricing_Raw!C7,"")</f>
        <v>1023.74</v>
      </c>
      <c r="O5" s="0" t="str">
        <f aca="false">IF(AND(Pricing_Raw!A7="Coffee Systems",Pricing_Raw!B7&lt;&gt;"Bosch/Siemens (Own)"),Pricing_Raw!C7,"")</f>
        <v/>
      </c>
      <c r="P5" s="0" t="str">
        <f aca="false">IF(AND(Pricing_Raw!A7="Cordless Vacuums",Pricing_Raw!B7&lt;&gt;"Bosch/Siemens (Own)"),Pricing_Raw!C7,"")</f>
        <v/>
      </c>
      <c r="Q5" s="0" t="str">
        <f aca="false">IF(AND(Pricing_Raw!A7="Dishwashers",Pricing_Raw!B7&lt;&gt;"Bosch/Siemens (Own)"),Pricing_Raw!C7,"")</f>
        <v/>
      </c>
      <c r="R5" s="0" t="str">
        <f aca="false">IF(AND(Pricing_Raw!A7="Washing Machines",Pricing_Raw!B7&lt;&gt;"Bosch/Siemens (Own)"),Pricing_Raw!C7,"")</f>
        <v/>
      </c>
      <c r="S5" s="0" t="str">
        <f aca="false">IF(AND(Pricing_Raw!A7="Small Kitchen Appliances",Pricing_Raw!B7&lt;&gt;"Bosch/Siemens (Own)"),Pricing_Raw!C7,"")</f>
        <v/>
      </c>
    </row>
    <row r="6" customFormat="false" ht="15" hidden="false" customHeight="false" outlineLevel="0" collapsed="false">
      <c r="B6" s="7" t="s">
        <v>22</v>
      </c>
      <c r="C6" s="7" t="s">
        <v>1463</v>
      </c>
      <c r="D6" s="7" t="s">
        <v>1464</v>
      </c>
      <c r="E6" s="7" t="s">
        <v>1465</v>
      </c>
      <c r="F6" s="7" t="s">
        <v>1466</v>
      </c>
      <c r="G6" s="7" t="s">
        <v>1467</v>
      </c>
      <c r="H6" s="7" t="s">
        <v>1468</v>
      </c>
      <c r="N6" s="12" t="n">
        <f aca="false">IF(AND(Pricing_Raw!A8="Smart Ovens",Pricing_Raw!B8&lt;&gt;"Bosch/Siemens (Own)"),Pricing_Raw!C8,"")</f>
        <v>941.62</v>
      </c>
      <c r="O6" s="0" t="str">
        <f aca="false">IF(AND(Pricing_Raw!A8="Coffee Systems",Pricing_Raw!B8&lt;&gt;"Bosch/Siemens (Own)"),Pricing_Raw!C8,"")</f>
        <v/>
      </c>
      <c r="P6" s="0" t="str">
        <f aca="false">IF(AND(Pricing_Raw!A8="Cordless Vacuums",Pricing_Raw!B8&lt;&gt;"Bosch/Siemens (Own)"),Pricing_Raw!C8,"")</f>
        <v/>
      </c>
      <c r="Q6" s="0" t="str">
        <f aca="false">IF(AND(Pricing_Raw!A8="Dishwashers",Pricing_Raw!B8&lt;&gt;"Bosch/Siemens (Own)"),Pricing_Raw!C8,"")</f>
        <v/>
      </c>
      <c r="R6" s="0" t="str">
        <f aca="false">IF(AND(Pricing_Raw!A8="Washing Machines",Pricing_Raw!B8&lt;&gt;"Bosch/Siemens (Own)"),Pricing_Raw!C8,"")</f>
        <v/>
      </c>
      <c r="S6" s="0" t="str">
        <f aca="false">IF(AND(Pricing_Raw!A8="Small Kitchen Appliances",Pricing_Raw!B8&lt;&gt;"Bosch/Siemens (Own)"),Pricing_Raw!C8,"")</f>
        <v/>
      </c>
    </row>
    <row r="7" customFormat="false" ht="15" hidden="false" customHeight="false" outlineLevel="0" collapsed="false">
      <c r="B7" s="0" t="s">
        <v>33</v>
      </c>
      <c r="C7" s="14" t="n">
        <f aca="false">SUMIFS(Pricing_Raw!C5:C46,Pricing_Raw!A5:A46,B7,Pricing_Raw!B5:B46,"Bosch/Siemens (Own)")</f>
        <v>899</v>
      </c>
      <c r="D7" s="14" t="n">
        <f aca="false">AVERAGEIFS(Pricing_Raw!C5:C46,Pricing_Raw!A5:A46,B7,Pricing_Raw!B5:B46,"&lt;&gt;Bosch/Siemens (Own)")</f>
        <v>982.366666666667</v>
      </c>
      <c r="E7" s="14" t="n">
        <f aca="false">MIN(N3:N44)</f>
        <v>843.85</v>
      </c>
      <c r="F7" s="14" t="n">
        <f aca="false">MAX(N3:N44)</f>
        <v>1080.14</v>
      </c>
      <c r="G7" s="15" t="n">
        <f aca="false">(C7-D7)/D7</f>
        <v>-0.084863085745309</v>
      </c>
      <c r="H7" s="0" t="str">
        <f aca="false">IF(G7&lt;-0.05,"Underpriced vs market",IF(G7&gt;0.05,"Premium positioning","At market"))</f>
        <v>Underpriced vs market</v>
      </c>
      <c r="N7" s="12" t="n">
        <f aca="false">IF(AND(Pricing_Raw!A9="Smart Ovens",Pricing_Raw!B9&lt;&gt;"Bosch/Siemens (Own)"),Pricing_Raw!C9,"")</f>
        <v>843.85</v>
      </c>
      <c r="O7" s="0" t="str">
        <f aca="false">IF(AND(Pricing_Raw!A9="Coffee Systems",Pricing_Raw!B9&lt;&gt;"Bosch/Siemens (Own)"),Pricing_Raw!C9,"")</f>
        <v/>
      </c>
      <c r="P7" s="0" t="str">
        <f aca="false">IF(AND(Pricing_Raw!A9="Cordless Vacuums",Pricing_Raw!B9&lt;&gt;"Bosch/Siemens (Own)"),Pricing_Raw!C9,"")</f>
        <v/>
      </c>
      <c r="Q7" s="0" t="str">
        <f aca="false">IF(AND(Pricing_Raw!A9="Dishwashers",Pricing_Raw!B9&lt;&gt;"Bosch/Siemens (Own)"),Pricing_Raw!C9,"")</f>
        <v/>
      </c>
      <c r="R7" s="0" t="str">
        <f aca="false">IF(AND(Pricing_Raw!A9="Washing Machines",Pricing_Raw!B9&lt;&gt;"Bosch/Siemens (Own)"),Pricing_Raw!C9,"")</f>
        <v/>
      </c>
      <c r="S7" s="0" t="str">
        <f aca="false">IF(AND(Pricing_Raw!A9="Small Kitchen Appliances",Pricing_Raw!B9&lt;&gt;"Bosch/Siemens (Own)"),Pricing_Raw!C9,"")</f>
        <v/>
      </c>
    </row>
    <row r="8" customFormat="false" ht="15" hidden="false" customHeight="false" outlineLevel="0" collapsed="false">
      <c r="B8" s="0" t="s">
        <v>52</v>
      </c>
      <c r="C8" s="14" t="n">
        <f aca="false">SUMIFS(Pricing_Raw!C5:C46,Pricing_Raw!A5:A46,B8,Pricing_Raw!B5:B46,"Bosch/Siemens (Own)")</f>
        <v>549</v>
      </c>
      <c r="D8" s="14" t="n">
        <f aca="false">AVERAGEIFS(Pricing_Raw!C5:C46,Pricing_Raw!A5:A46,B8,Pricing_Raw!B5:B46,"&lt;&gt;Bosch/Siemens (Own)")</f>
        <v>607.115</v>
      </c>
      <c r="E8" s="14" t="n">
        <f aca="false">MIN(O3:O44)</f>
        <v>495.44</v>
      </c>
      <c r="F8" s="14" t="n">
        <f aca="false">MAX(O3:O44)</f>
        <v>672.51</v>
      </c>
      <c r="G8" s="15" t="n">
        <f aca="false">(C8-D8)/D8</f>
        <v>-0.0957232155357717</v>
      </c>
      <c r="H8" s="0" t="str">
        <f aca="false">IF(G8&lt;-0.05,"Underpriced vs market",IF(G8&gt;0.05,"Premium positioning","At market"))</f>
        <v>Underpriced vs market</v>
      </c>
      <c r="N8" s="12" t="n">
        <f aca="false">IF(AND(Pricing_Raw!A10="Smart Ovens",Pricing_Raw!B10&lt;&gt;"Bosch/Siemens (Own)"),Pricing_Raw!C10,"")</f>
        <v>1080.14</v>
      </c>
      <c r="O8" s="0" t="str">
        <f aca="false">IF(AND(Pricing_Raw!A10="Coffee Systems",Pricing_Raw!B10&lt;&gt;"Bosch/Siemens (Own)"),Pricing_Raw!C10,"")</f>
        <v/>
      </c>
      <c r="P8" s="0" t="str">
        <f aca="false">IF(AND(Pricing_Raw!A10="Cordless Vacuums",Pricing_Raw!B10&lt;&gt;"Bosch/Siemens (Own)"),Pricing_Raw!C10,"")</f>
        <v/>
      </c>
      <c r="Q8" s="0" t="str">
        <f aca="false">IF(AND(Pricing_Raw!A10="Dishwashers",Pricing_Raw!B10&lt;&gt;"Bosch/Siemens (Own)"),Pricing_Raw!C10,"")</f>
        <v/>
      </c>
      <c r="R8" s="0" t="str">
        <f aca="false">IF(AND(Pricing_Raw!A10="Washing Machines",Pricing_Raw!B10&lt;&gt;"Bosch/Siemens (Own)"),Pricing_Raw!C10,"")</f>
        <v/>
      </c>
      <c r="S8" s="0" t="str">
        <f aca="false">IF(AND(Pricing_Raw!A10="Small Kitchen Appliances",Pricing_Raw!B10&lt;&gt;"Bosch/Siemens (Own)"),Pricing_Raw!C10,"")</f>
        <v/>
      </c>
    </row>
    <row r="9" customFormat="false" ht="15" hidden="false" customHeight="false" outlineLevel="0" collapsed="false">
      <c r="B9" s="0" t="s">
        <v>72</v>
      </c>
      <c r="C9" s="14" t="n">
        <f aca="false">SUMIFS(Pricing_Raw!C5:C46,Pricing_Raw!A5:A46,B9,Pricing_Raw!B5:B46,"Bosch/Siemens (Own)")</f>
        <v>379</v>
      </c>
      <c r="D9" s="14" t="n">
        <f aca="false">AVERAGEIFS(Pricing_Raw!C5:C46,Pricing_Raw!A5:A46,B9,Pricing_Raw!B5:B46,"&lt;&gt;Bosch/Siemens (Own)")</f>
        <v>396.333333333333</v>
      </c>
      <c r="E9" s="14" t="n">
        <f aca="false">MIN(P3:P44)</f>
        <v>321.81</v>
      </c>
      <c r="F9" s="14" t="n">
        <f aca="false">MAX(P3:P44)</f>
        <v>466.55</v>
      </c>
      <c r="G9" s="15" t="n">
        <f aca="false">(C9-D9)/D9</f>
        <v>-0.0437342304457527</v>
      </c>
      <c r="H9" s="0" t="str">
        <f aca="false">IF(G9&lt;-0.05,"Underpriced vs market",IF(G9&gt;0.05,"Premium positioning","At market"))</f>
        <v>At market</v>
      </c>
      <c r="N9" s="12" t="n">
        <f aca="false">IF(AND(Pricing_Raw!A11="Smart Ovens",Pricing_Raw!B11&lt;&gt;"Bosch/Siemens (Own)"),Pricing_Raw!C11,"")</f>
        <v>969.83</v>
      </c>
      <c r="O9" s="0" t="str">
        <f aca="false">IF(AND(Pricing_Raw!A11="Coffee Systems",Pricing_Raw!B11&lt;&gt;"Bosch/Siemens (Own)"),Pricing_Raw!C11,"")</f>
        <v/>
      </c>
      <c r="P9" s="0" t="str">
        <f aca="false">IF(AND(Pricing_Raw!A11="Cordless Vacuums",Pricing_Raw!B11&lt;&gt;"Bosch/Siemens (Own)"),Pricing_Raw!C11,"")</f>
        <v/>
      </c>
      <c r="Q9" s="0" t="str">
        <f aca="false">IF(AND(Pricing_Raw!A11="Dishwashers",Pricing_Raw!B11&lt;&gt;"Bosch/Siemens (Own)"),Pricing_Raw!C11,"")</f>
        <v/>
      </c>
      <c r="R9" s="0" t="str">
        <f aca="false">IF(AND(Pricing_Raw!A11="Washing Machines",Pricing_Raw!B11&lt;&gt;"Bosch/Siemens (Own)"),Pricing_Raw!C11,"")</f>
        <v/>
      </c>
      <c r="S9" s="0" t="str">
        <f aca="false">IF(AND(Pricing_Raw!A11="Small Kitchen Appliances",Pricing_Raw!B11&lt;&gt;"Bosch/Siemens (Own)"),Pricing_Raw!C11,"")</f>
        <v/>
      </c>
    </row>
    <row r="10" customFormat="false" ht="15" hidden="false" customHeight="false" outlineLevel="0" collapsed="false">
      <c r="B10" s="0" t="s">
        <v>66</v>
      </c>
      <c r="C10" s="14" t="n">
        <f aca="false">SUMIFS(Pricing_Raw!C5:C46,Pricing_Raw!A5:A46,B10,Pricing_Raw!B5:B46,"Bosch/Siemens (Own)")</f>
        <v>749</v>
      </c>
      <c r="D10" s="14" t="n">
        <f aca="false">AVERAGEIFS(Pricing_Raw!C5:C46,Pricing_Raw!A5:A46,B10,Pricing_Raw!B5:B46,"&lt;&gt;Bosch/Siemens (Own)")</f>
        <v>753.055</v>
      </c>
      <c r="E10" s="14" t="n">
        <f aca="false">MIN(Q3:Q44)</f>
        <v>617.03</v>
      </c>
      <c r="F10" s="14" t="n">
        <f aca="false">MAX(Q3:Q44)</f>
        <v>927.08</v>
      </c>
      <c r="G10" s="15" t="n">
        <f aca="false">(C10-D10)/D10</f>
        <v>-0.00538473285483789</v>
      </c>
      <c r="H10" s="0" t="str">
        <f aca="false">IF(G10&lt;-0.05,"Underpriced vs market",IF(G10&gt;0.05,"Premium positioning","At market"))</f>
        <v>At market</v>
      </c>
      <c r="N10" s="0" t="str">
        <f aca="false">IF(AND(Pricing_Raw!A12="Smart Ovens",Pricing_Raw!B12&lt;&gt;"Bosch/Siemens (Own)"),Pricing_Raw!C12,"")</f>
        <v/>
      </c>
      <c r="O10" s="0" t="str">
        <f aca="false">IF(AND(Pricing_Raw!A12="Coffee Systems",Pricing_Raw!B12&lt;&gt;"Bosch/Siemens (Own)"),Pricing_Raw!C12,"")</f>
        <v/>
      </c>
      <c r="P10" s="0" t="str">
        <f aca="false">IF(AND(Pricing_Raw!A12="Cordless Vacuums",Pricing_Raw!B12&lt;&gt;"Bosch/Siemens (Own)"),Pricing_Raw!C12,"")</f>
        <v/>
      </c>
      <c r="Q10" s="0" t="str">
        <f aca="false">IF(AND(Pricing_Raw!A12="Dishwashers",Pricing_Raw!B12&lt;&gt;"Bosch/Siemens (Own)"),Pricing_Raw!C12,"")</f>
        <v/>
      </c>
      <c r="R10" s="0" t="str">
        <f aca="false">IF(AND(Pricing_Raw!A12="Washing Machines",Pricing_Raw!B12&lt;&gt;"Bosch/Siemens (Own)"),Pricing_Raw!C12,"")</f>
        <v/>
      </c>
      <c r="S10" s="0" t="str">
        <f aca="false">IF(AND(Pricing_Raw!A12="Small Kitchen Appliances",Pricing_Raw!B12&lt;&gt;"Bosch/Siemens (Own)"),Pricing_Raw!C12,"")</f>
        <v/>
      </c>
    </row>
    <row r="11" customFormat="false" ht="15" hidden="false" customHeight="false" outlineLevel="0" collapsed="false">
      <c r="B11" s="0" t="s">
        <v>114</v>
      </c>
      <c r="C11" s="14" t="n">
        <f aca="false">SUMIFS(Pricing_Raw!C5:C46,Pricing_Raw!A5:A46,B11,Pricing_Raw!B5:B46,"Bosch/Siemens (Own)")</f>
        <v>699</v>
      </c>
      <c r="D11" s="14" t="n">
        <f aca="false">AVERAGEIFS(Pricing_Raw!C5:C46,Pricing_Raw!A5:A46,B11,Pricing_Raw!B5:B46,"&lt;&gt;Bosch/Siemens (Own)")</f>
        <v>716.63</v>
      </c>
      <c r="E11" s="14" t="n">
        <f aca="false">MIN(R3:R44)</f>
        <v>624.61</v>
      </c>
      <c r="F11" s="14" t="n">
        <f aca="false">MAX(R3:R44)</f>
        <v>851.88</v>
      </c>
      <c r="G11" s="15" t="n">
        <f aca="false">(C11-D11)/D11</f>
        <v>-0.0246012586690482</v>
      </c>
      <c r="H11" s="0" t="str">
        <f aca="false">IF(G11&lt;-0.05,"Underpriced vs market",IF(G11&gt;0.05,"Premium positioning","At market"))</f>
        <v>At market</v>
      </c>
      <c r="N11" s="0" t="str">
        <f aca="false">IF(AND(Pricing_Raw!A13="Smart Ovens",Pricing_Raw!B13&lt;&gt;"Bosch/Siemens (Own)"),Pricing_Raw!C13,"")</f>
        <v/>
      </c>
      <c r="O11" s="12" t="n">
        <f aca="false">IF(AND(Pricing_Raw!A13="Coffee Systems",Pricing_Raw!B13&lt;&gt;"Bosch/Siemens (Own)"),Pricing_Raw!C13,"")</f>
        <v>616.53</v>
      </c>
      <c r="P11" s="0" t="str">
        <f aca="false">IF(AND(Pricing_Raw!A13="Cordless Vacuums",Pricing_Raw!B13&lt;&gt;"Bosch/Siemens (Own)"),Pricing_Raw!C13,"")</f>
        <v/>
      </c>
      <c r="Q11" s="0" t="str">
        <f aca="false">IF(AND(Pricing_Raw!A13="Dishwashers",Pricing_Raw!B13&lt;&gt;"Bosch/Siemens (Own)"),Pricing_Raw!C13,"")</f>
        <v/>
      </c>
      <c r="R11" s="0" t="str">
        <f aca="false">IF(AND(Pricing_Raw!A13="Washing Machines",Pricing_Raw!B13&lt;&gt;"Bosch/Siemens (Own)"),Pricing_Raw!C13,"")</f>
        <v/>
      </c>
      <c r="S11" s="0" t="str">
        <f aca="false">IF(AND(Pricing_Raw!A13="Small Kitchen Appliances",Pricing_Raw!B13&lt;&gt;"Bosch/Siemens (Own)"),Pricing_Raw!C13,"")</f>
        <v/>
      </c>
    </row>
    <row r="12" customFormat="false" ht="15" hidden="false" customHeight="false" outlineLevel="0" collapsed="false">
      <c r="B12" s="0" t="s">
        <v>46</v>
      </c>
      <c r="C12" s="14" t="n">
        <f aca="false">SUMIFS(Pricing_Raw!C5:C46,Pricing_Raw!A5:A46,B12,Pricing_Raw!B5:B46,"Bosch/Siemens (Own)")</f>
        <v>129</v>
      </c>
      <c r="D12" s="14" t="n">
        <f aca="false">AVERAGEIFS(Pricing_Raw!C5:C46,Pricing_Raw!A5:A46,B12,Pricing_Raw!B5:B46,"&lt;&gt;Bosch/Siemens (Own)")</f>
        <v>137.226666666667</v>
      </c>
      <c r="E12" s="14" t="n">
        <f aca="false">MIN(S3:S44)</f>
        <v>120.43</v>
      </c>
      <c r="F12" s="14" t="n">
        <f aca="false">MAX(S3:S44)</f>
        <v>159.67</v>
      </c>
      <c r="G12" s="15" t="n">
        <f aca="false">(C12-D12)/D12</f>
        <v>-0.0599494753206373</v>
      </c>
      <c r="H12" s="0" t="str">
        <f aca="false">IF(G12&lt;-0.05,"Underpriced vs market",IF(G12&gt;0.05,"Premium positioning","At market"))</f>
        <v>Underpriced vs market</v>
      </c>
      <c r="N12" s="0" t="str">
        <f aca="false">IF(AND(Pricing_Raw!A14="Smart Ovens",Pricing_Raw!B14&lt;&gt;"Bosch/Siemens (Own)"),Pricing_Raw!C14,"")</f>
        <v/>
      </c>
      <c r="O12" s="12" t="n">
        <f aca="false">IF(AND(Pricing_Raw!A14="Coffee Systems",Pricing_Raw!B14&lt;&gt;"Bosch/Siemens (Own)"),Pricing_Raw!C14,"")</f>
        <v>672.51</v>
      </c>
      <c r="P12" s="0" t="str">
        <f aca="false">IF(AND(Pricing_Raw!A14="Cordless Vacuums",Pricing_Raw!B14&lt;&gt;"Bosch/Siemens (Own)"),Pricing_Raw!C14,"")</f>
        <v/>
      </c>
      <c r="Q12" s="0" t="str">
        <f aca="false">IF(AND(Pricing_Raw!A14="Dishwashers",Pricing_Raw!B14&lt;&gt;"Bosch/Siemens (Own)"),Pricing_Raw!C14,"")</f>
        <v/>
      </c>
      <c r="R12" s="0" t="str">
        <f aca="false">IF(AND(Pricing_Raw!A14="Washing Machines",Pricing_Raw!B14&lt;&gt;"Bosch/Siemens (Own)"),Pricing_Raw!C14,"")</f>
        <v/>
      </c>
      <c r="S12" s="0" t="str">
        <f aca="false">IF(AND(Pricing_Raw!A14="Small Kitchen Appliances",Pricing_Raw!B14&lt;&gt;"Bosch/Siemens (Own)"),Pricing_Raw!C14,"")</f>
        <v/>
      </c>
    </row>
    <row r="13" customFormat="false" ht="15" hidden="false" customHeight="false" outlineLevel="0" collapsed="false">
      <c r="N13" s="0" t="str">
        <f aca="false">IF(AND(Pricing_Raw!A15="Smart Ovens",Pricing_Raw!B15&lt;&gt;"Bosch/Siemens (Own)"),Pricing_Raw!C15,"")</f>
        <v/>
      </c>
      <c r="O13" s="0" t="n">
        <f aca="false">IF(AND(Pricing_Raw!A15="Coffee Systems",Pricing_Raw!B15&lt;&gt;"Bosch/Siemens (Own)"),Pricing_Raw!C15,"")</f>
        <v>621.41</v>
      </c>
      <c r="P13" s="0" t="str">
        <f aca="false">IF(AND(Pricing_Raw!A15="Cordless Vacuums",Pricing_Raw!B15&lt;&gt;"Bosch/Siemens (Own)"),Pricing_Raw!C15,"")</f>
        <v/>
      </c>
      <c r="Q13" s="0" t="str">
        <f aca="false">IF(AND(Pricing_Raw!A15="Dishwashers",Pricing_Raw!B15&lt;&gt;"Bosch/Siemens (Own)"),Pricing_Raw!C15,"")</f>
        <v/>
      </c>
      <c r="R13" s="0" t="str">
        <f aca="false">IF(AND(Pricing_Raw!A15="Washing Machines",Pricing_Raw!B15&lt;&gt;"Bosch/Siemens (Own)"),Pricing_Raw!C15,"")</f>
        <v/>
      </c>
      <c r="S13" s="0" t="str">
        <f aca="false">IF(AND(Pricing_Raw!A15="Small Kitchen Appliances",Pricing_Raw!B15&lt;&gt;"Bosch/Siemens (Own)"),Pricing_Raw!C15,"")</f>
        <v/>
      </c>
    </row>
    <row r="14" customFormat="false" ht="15" hidden="false" customHeight="false" outlineLevel="0" collapsed="false">
      <c r="N14" s="0" t="str">
        <f aca="false">IF(AND(Pricing_Raw!A16="Smart Ovens",Pricing_Raw!B16&lt;&gt;"Bosch/Siemens (Own)"),Pricing_Raw!C16,"")</f>
        <v/>
      </c>
      <c r="O14" s="0" t="n">
        <f aca="false">IF(AND(Pricing_Raw!A16="Coffee Systems",Pricing_Raw!B16&lt;&gt;"Bosch/Siemens (Own)"),Pricing_Raw!C16,"")</f>
        <v>576.14</v>
      </c>
      <c r="P14" s="0" t="str">
        <f aca="false">IF(AND(Pricing_Raw!A16="Cordless Vacuums",Pricing_Raw!B16&lt;&gt;"Bosch/Siemens (Own)"),Pricing_Raw!C16,"")</f>
        <v/>
      </c>
      <c r="Q14" s="0" t="str">
        <f aca="false">IF(AND(Pricing_Raw!A16="Dishwashers",Pricing_Raw!B16&lt;&gt;"Bosch/Siemens (Own)"),Pricing_Raw!C16,"")</f>
        <v/>
      </c>
      <c r="R14" s="0" t="str">
        <f aca="false">IF(AND(Pricing_Raw!A16="Washing Machines",Pricing_Raw!B16&lt;&gt;"Bosch/Siemens (Own)"),Pricing_Raw!C16,"")</f>
        <v/>
      </c>
      <c r="S14" s="0" t="str">
        <f aca="false">IF(AND(Pricing_Raw!A16="Small Kitchen Appliances",Pricing_Raw!B16&lt;&gt;"Bosch/Siemens (Own)"),Pricing_Raw!C16,"")</f>
        <v/>
      </c>
    </row>
    <row r="15" customFormat="false" ht="15" hidden="false" customHeight="false" outlineLevel="0" collapsed="false">
      <c r="N15" s="0" t="str">
        <f aca="false">IF(AND(Pricing_Raw!A17="Smart Ovens",Pricing_Raw!B17&lt;&gt;"Bosch/Siemens (Own)"),Pricing_Raw!C17,"")</f>
        <v/>
      </c>
      <c r="O15" s="0" t="n">
        <f aca="false">IF(AND(Pricing_Raw!A17="Coffee Systems",Pricing_Raw!B17&lt;&gt;"Bosch/Siemens (Own)"),Pricing_Raw!C17,"")</f>
        <v>495.44</v>
      </c>
      <c r="P15" s="0" t="str">
        <f aca="false">IF(AND(Pricing_Raw!A17="Cordless Vacuums",Pricing_Raw!B17&lt;&gt;"Bosch/Siemens (Own)"),Pricing_Raw!C17,"")</f>
        <v/>
      </c>
      <c r="Q15" s="0" t="str">
        <f aca="false">IF(AND(Pricing_Raw!A17="Dishwashers",Pricing_Raw!B17&lt;&gt;"Bosch/Siemens (Own)"),Pricing_Raw!C17,"")</f>
        <v/>
      </c>
      <c r="R15" s="0" t="str">
        <f aca="false">IF(AND(Pricing_Raw!A17="Washing Machines",Pricing_Raw!B17&lt;&gt;"Bosch/Siemens (Own)"),Pricing_Raw!C17,"")</f>
        <v/>
      </c>
      <c r="S15" s="0" t="str">
        <f aca="false">IF(AND(Pricing_Raw!A17="Small Kitchen Appliances",Pricing_Raw!B17&lt;&gt;"Bosch/Siemens (Own)"),Pricing_Raw!C17,"")</f>
        <v/>
      </c>
    </row>
    <row r="16" customFormat="false" ht="15" hidden="false" customHeight="false" outlineLevel="0" collapsed="false">
      <c r="B16" s="13" t="s">
        <v>1469</v>
      </c>
      <c r="N16" s="0" t="str">
        <f aca="false">IF(AND(Pricing_Raw!A18="Smart Ovens",Pricing_Raw!B18&lt;&gt;"Bosch/Siemens (Own)"),Pricing_Raw!C18,"")</f>
        <v/>
      </c>
      <c r="O16" s="12" t="n">
        <f aca="false">IF(AND(Pricing_Raw!A18="Coffee Systems",Pricing_Raw!B18&lt;&gt;"Bosch/Siemens (Own)"),Pricing_Raw!C18,"")</f>
        <v>660.66</v>
      </c>
      <c r="P16" s="0" t="str">
        <f aca="false">IF(AND(Pricing_Raw!A18="Cordless Vacuums",Pricing_Raw!B18&lt;&gt;"Bosch/Siemens (Own)"),Pricing_Raw!C18,"")</f>
        <v/>
      </c>
      <c r="Q16" s="0" t="str">
        <f aca="false">IF(AND(Pricing_Raw!A18="Dishwashers",Pricing_Raw!B18&lt;&gt;"Bosch/Siemens (Own)"),Pricing_Raw!C18,"")</f>
        <v/>
      </c>
      <c r="R16" s="0" t="str">
        <f aca="false">IF(AND(Pricing_Raw!A18="Washing Machines",Pricing_Raw!B18&lt;&gt;"Bosch/Siemens (Own)"),Pricing_Raw!C18,"")</f>
        <v/>
      </c>
      <c r="S16" s="0" t="str">
        <f aca="false">IF(AND(Pricing_Raw!A18="Small Kitchen Appliances",Pricing_Raw!B18&lt;&gt;"Bosch/Siemens (Own)"),Pricing_Raw!C18,"")</f>
        <v/>
      </c>
    </row>
    <row r="17" customFormat="false" ht="15" hidden="false" customHeight="false" outlineLevel="0" collapsed="false">
      <c r="B17" s="7" t="s">
        <v>22</v>
      </c>
      <c r="C17" s="7" t="s">
        <v>1390</v>
      </c>
      <c r="D17" s="7" t="s">
        <v>1391</v>
      </c>
      <c r="E17" s="7" t="s">
        <v>1470</v>
      </c>
      <c r="F17" s="7" t="s">
        <v>1471</v>
      </c>
      <c r="N17" s="0" t="str">
        <f aca="false">IF(AND(Pricing_Raw!A19="Smart Ovens",Pricing_Raw!B19&lt;&gt;"Bosch/Siemens (Own)"),Pricing_Raw!C19,"")</f>
        <v/>
      </c>
      <c r="O17" s="0" t="str">
        <f aca="false">IF(AND(Pricing_Raw!A19="Coffee Systems",Pricing_Raw!B19&lt;&gt;"Bosch/Siemens (Own)"),Pricing_Raw!C19,"")</f>
        <v/>
      </c>
      <c r="P17" s="0" t="str">
        <f aca="false">IF(AND(Pricing_Raw!A19="Cordless Vacuums",Pricing_Raw!B19&lt;&gt;"Bosch/Siemens (Own)"),Pricing_Raw!C19,"")</f>
        <v/>
      </c>
      <c r="Q17" s="0" t="str">
        <f aca="false">IF(AND(Pricing_Raw!A19="Dishwashers",Pricing_Raw!B19&lt;&gt;"Bosch/Siemens (Own)"),Pricing_Raw!C19,"")</f>
        <v/>
      </c>
      <c r="R17" s="0" t="str">
        <f aca="false">IF(AND(Pricing_Raw!A19="Washing Machines",Pricing_Raw!B19&lt;&gt;"Bosch/Siemens (Own)"),Pricing_Raw!C19,"")</f>
        <v/>
      </c>
      <c r="S17" s="0" t="str">
        <f aca="false">IF(AND(Pricing_Raw!A19="Small Kitchen Appliances",Pricing_Raw!B19&lt;&gt;"Bosch/Siemens (Own)"),Pricing_Raw!C19,"")</f>
        <v/>
      </c>
    </row>
    <row r="18" customFormat="false" ht="15" hidden="false" customHeight="false" outlineLevel="0" collapsed="false">
      <c r="B18" s="0" t="str">
        <f aca="false">Pricing_Raw!A5</f>
        <v>Smart Ovens</v>
      </c>
      <c r="C18" s="0" t="str">
        <f aca="false">Pricing_Raw!B5</f>
        <v>Bosch/Siemens (Own)</v>
      </c>
      <c r="D18" s="14" t="n">
        <f aca="false">Pricing_Raw!C5</f>
        <v>899</v>
      </c>
      <c r="E18" s="12" t="n">
        <f aca="false">Pricing_Raw!D5</f>
        <v>3.6</v>
      </c>
      <c r="F18" s="12" t="n">
        <f aca="false">Pricing_Raw!E5</f>
        <v>7</v>
      </c>
      <c r="N18" s="0" t="str">
        <f aca="false">IF(AND(Pricing_Raw!A20="Smart Ovens",Pricing_Raw!B20&lt;&gt;"Bosch/Siemens (Own)"),Pricing_Raw!C20,"")</f>
        <v/>
      </c>
      <c r="O18" s="0" t="str">
        <f aca="false">IF(AND(Pricing_Raw!A20="Coffee Systems",Pricing_Raw!B20&lt;&gt;"Bosch/Siemens (Own)"),Pricing_Raw!C20,"")</f>
        <v/>
      </c>
      <c r="P18" s="12" t="n">
        <f aca="false">IF(AND(Pricing_Raw!A20="Cordless Vacuums",Pricing_Raw!B20&lt;&gt;"Bosch/Siemens (Own)"),Pricing_Raw!C20,"")</f>
        <v>383.87</v>
      </c>
      <c r="Q18" s="0" t="str">
        <f aca="false">IF(AND(Pricing_Raw!A20="Dishwashers",Pricing_Raw!B20&lt;&gt;"Bosch/Siemens (Own)"),Pricing_Raw!C20,"")</f>
        <v/>
      </c>
      <c r="R18" s="0" t="str">
        <f aca="false">IF(AND(Pricing_Raw!A20="Washing Machines",Pricing_Raw!B20&lt;&gt;"Bosch/Siemens (Own)"),Pricing_Raw!C20,"")</f>
        <v/>
      </c>
      <c r="S18" s="0" t="str">
        <f aca="false">IF(AND(Pricing_Raw!A20="Small Kitchen Appliances",Pricing_Raw!B20&lt;&gt;"Bosch/Siemens (Own)"),Pricing_Raw!C20,"")</f>
        <v/>
      </c>
    </row>
    <row r="19" customFormat="false" ht="15" hidden="false" customHeight="false" outlineLevel="0" collapsed="false">
      <c r="B19" s="0" t="str">
        <f aca="false">Pricing_Raw!A6</f>
        <v>Smart Ovens</v>
      </c>
      <c r="C19" s="0" t="str">
        <f aca="false">Pricing_Raw!B6</f>
        <v>Miele</v>
      </c>
      <c r="D19" s="14" t="n">
        <f aca="false">Pricing_Raw!C6</f>
        <v>1035.02</v>
      </c>
      <c r="E19" s="12" t="n">
        <f aca="false">Pricing_Raw!D6</f>
        <v>3.8</v>
      </c>
      <c r="F19" s="12" t="n">
        <f aca="false">Pricing_Raw!E6</f>
        <v>4</v>
      </c>
      <c r="N19" s="0" t="str">
        <f aca="false">IF(AND(Pricing_Raw!A21="Smart Ovens",Pricing_Raw!B21&lt;&gt;"Bosch/Siemens (Own)"),Pricing_Raw!C21,"")</f>
        <v/>
      </c>
      <c r="O19" s="0" t="str">
        <f aca="false">IF(AND(Pricing_Raw!A21="Coffee Systems",Pricing_Raw!B21&lt;&gt;"Bosch/Siemens (Own)"),Pricing_Raw!C21,"")</f>
        <v/>
      </c>
      <c r="P19" s="12" t="n">
        <f aca="false">IF(AND(Pricing_Raw!A21="Cordless Vacuums",Pricing_Raw!B21&lt;&gt;"Bosch/Siemens (Own)"),Pricing_Raw!C21,"")</f>
        <v>321.81</v>
      </c>
      <c r="Q19" s="0" t="str">
        <f aca="false">IF(AND(Pricing_Raw!A21="Dishwashers",Pricing_Raw!B21&lt;&gt;"Bosch/Siemens (Own)"),Pricing_Raw!C21,"")</f>
        <v/>
      </c>
      <c r="R19" s="0" t="str">
        <f aca="false">IF(AND(Pricing_Raw!A21="Washing Machines",Pricing_Raw!B21&lt;&gt;"Bosch/Siemens (Own)"),Pricing_Raw!C21,"")</f>
        <v/>
      </c>
      <c r="S19" s="0" t="str">
        <f aca="false">IF(AND(Pricing_Raw!A21="Small Kitchen Appliances",Pricing_Raw!B21&lt;&gt;"Bosch/Siemens (Own)"),Pricing_Raw!C21,"")</f>
        <v/>
      </c>
    </row>
    <row r="20" customFormat="false" ht="15" hidden="false" customHeight="false" outlineLevel="0" collapsed="false">
      <c r="B20" s="0" t="str">
        <f aca="false">Pricing_Raw!A7</f>
        <v>Smart Ovens</v>
      </c>
      <c r="C20" s="0" t="str">
        <f aca="false">Pricing_Raw!B7</f>
        <v>AEG/Electrolux</v>
      </c>
      <c r="D20" s="14" t="n">
        <f aca="false">Pricing_Raw!C7</f>
        <v>1023.74</v>
      </c>
      <c r="E20" s="12" t="n">
        <f aca="false">Pricing_Raw!D7</f>
        <v>4</v>
      </c>
      <c r="F20" s="12" t="n">
        <f aca="false">Pricing_Raw!E7</f>
        <v>7</v>
      </c>
      <c r="N20" s="0" t="str">
        <f aca="false">IF(AND(Pricing_Raw!A22="Smart Ovens",Pricing_Raw!B22&lt;&gt;"Bosch/Siemens (Own)"),Pricing_Raw!C22,"")</f>
        <v/>
      </c>
      <c r="O20" s="0" t="str">
        <f aca="false">IF(AND(Pricing_Raw!A22="Coffee Systems",Pricing_Raw!B22&lt;&gt;"Bosch/Siemens (Own)"),Pricing_Raw!C22,"")</f>
        <v/>
      </c>
      <c r="P20" s="12" t="n">
        <f aca="false">IF(AND(Pricing_Raw!A22="Cordless Vacuums",Pricing_Raw!B22&lt;&gt;"Bosch/Siemens (Own)"),Pricing_Raw!C22,"")</f>
        <v>439.67</v>
      </c>
      <c r="Q20" s="0" t="str">
        <f aca="false">IF(AND(Pricing_Raw!A22="Dishwashers",Pricing_Raw!B22&lt;&gt;"Bosch/Siemens (Own)"),Pricing_Raw!C22,"")</f>
        <v/>
      </c>
      <c r="R20" s="0" t="str">
        <f aca="false">IF(AND(Pricing_Raw!A22="Washing Machines",Pricing_Raw!B22&lt;&gt;"Bosch/Siemens (Own)"),Pricing_Raw!C22,"")</f>
        <v/>
      </c>
      <c r="S20" s="0" t="str">
        <f aca="false">IF(AND(Pricing_Raw!A22="Small Kitchen Appliances",Pricing_Raw!B22&lt;&gt;"Bosch/Siemens (Own)"),Pricing_Raw!C22,"")</f>
        <v/>
      </c>
    </row>
    <row r="21" customFormat="false" ht="15" hidden="false" customHeight="false" outlineLevel="0" collapsed="false">
      <c r="B21" s="0" t="str">
        <f aca="false">Pricing_Raw!A8</f>
        <v>Smart Ovens</v>
      </c>
      <c r="C21" s="0" t="str">
        <f aca="false">Pricing_Raw!B8</f>
        <v>Philips</v>
      </c>
      <c r="D21" s="14" t="n">
        <f aca="false">Pricing_Raw!C8</f>
        <v>941.62</v>
      </c>
      <c r="E21" s="12" t="n">
        <f aca="false">Pricing_Raw!D8</f>
        <v>4</v>
      </c>
      <c r="F21" s="12" t="n">
        <f aca="false">Pricing_Raw!E8</f>
        <v>10</v>
      </c>
      <c r="N21" s="0" t="str">
        <f aca="false">IF(AND(Pricing_Raw!A23="Smart Ovens",Pricing_Raw!B23&lt;&gt;"Bosch/Siemens (Own)"),Pricing_Raw!C23,"")</f>
        <v/>
      </c>
      <c r="O21" s="0" t="str">
        <f aca="false">IF(AND(Pricing_Raw!A23="Coffee Systems",Pricing_Raw!B23&lt;&gt;"Bosch/Siemens (Own)"),Pricing_Raw!C23,"")</f>
        <v/>
      </c>
      <c r="P21" s="12" t="n">
        <f aca="false">IF(AND(Pricing_Raw!A23="Cordless Vacuums",Pricing_Raw!B23&lt;&gt;"Bosch/Siemens (Own)"),Pricing_Raw!C23,"")</f>
        <v>424.32</v>
      </c>
      <c r="Q21" s="0" t="str">
        <f aca="false">IF(AND(Pricing_Raw!A23="Dishwashers",Pricing_Raw!B23&lt;&gt;"Bosch/Siemens (Own)"),Pricing_Raw!C23,"")</f>
        <v/>
      </c>
      <c r="R21" s="0" t="str">
        <f aca="false">IF(AND(Pricing_Raw!A23="Washing Machines",Pricing_Raw!B23&lt;&gt;"Bosch/Siemens (Own)"),Pricing_Raw!C23,"")</f>
        <v/>
      </c>
      <c r="S21" s="0" t="str">
        <f aca="false">IF(AND(Pricing_Raw!A23="Small Kitchen Appliances",Pricing_Raw!B23&lt;&gt;"Bosch/Siemens (Own)"),Pricing_Raw!C23,"")</f>
        <v/>
      </c>
    </row>
    <row r="22" customFormat="false" ht="15" hidden="false" customHeight="false" outlineLevel="0" collapsed="false">
      <c r="B22" s="0" t="str">
        <f aca="false">Pricing_Raw!A9</f>
        <v>Smart Ovens</v>
      </c>
      <c r="C22" s="0" t="str">
        <f aca="false">Pricing_Raw!B9</f>
        <v>Beko</v>
      </c>
      <c r="D22" s="14" t="n">
        <f aca="false">Pricing_Raw!C9</f>
        <v>843.85</v>
      </c>
      <c r="E22" s="12" t="n">
        <f aca="false">Pricing_Raw!D9</f>
        <v>4.3</v>
      </c>
      <c r="F22" s="12" t="n">
        <f aca="false">Pricing_Raw!E9</f>
        <v>2</v>
      </c>
      <c r="N22" s="0" t="str">
        <f aca="false">IF(AND(Pricing_Raw!A24="Smart Ovens",Pricing_Raw!B24&lt;&gt;"Bosch/Siemens (Own)"),Pricing_Raw!C24,"")</f>
        <v/>
      </c>
      <c r="O22" s="0" t="str">
        <f aca="false">IF(AND(Pricing_Raw!A24="Coffee Systems",Pricing_Raw!B24&lt;&gt;"Bosch/Siemens (Own)"),Pricing_Raw!C24,"")</f>
        <v/>
      </c>
      <c r="P22" s="12" t="n">
        <f aca="false">IF(AND(Pricing_Raw!A24="Cordless Vacuums",Pricing_Raw!B24&lt;&gt;"Bosch/Siemens (Own)"),Pricing_Raw!C24,"")</f>
        <v>466.55</v>
      </c>
      <c r="Q22" s="0" t="str">
        <f aca="false">IF(AND(Pricing_Raw!A24="Dishwashers",Pricing_Raw!B24&lt;&gt;"Bosch/Siemens (Own)"),Pricing_Raw!C24,"")</f>
        <v/>
      </c>
      <c r="R22" s="0" t="str">
        <f aca="false">IF(AND(Pricing_Raw!A24="Washing Machines",Pricing_Raw!B24&lt;&gt;"Bosch/Siemens (Own)"),Pricing_Raw!C24,"")</f>
        <v/>
      </c>
      <c r="S22" s="0" t="str">
        <f aca="false">IF(AND(Pricing_Raw!A24="Small Kitchen Appliances",Pricing_Raw!B24&lt;&gt;"Bosch/Siemens (Own)"),Pricing_Raw!C24,"")</f>
        <v/>
      </c>
    </row>
    <row r="23" customFormat="false" ht="15" hidden="false" customHeight="false" outlineLevel="0" collapsed="false">
      <c r="B23" s="0" t="str">
        <f aca="false">Pricing_Raw!A10</f>
        <v>Smart Ovens</v>
      </c>
      <c r="C23" s="0" t="str">
        <f aca="false">Pricing_Raw!B10</f>
        <v>Samsung</v>
      </c>
      <c r="D23" s="14" t="n">
        <f aca="false">Pricing_Raw!C10</f>
        <v>1080.14</v>
      </c>
      <c r="E23" s="12" t="n">
        <f aca="false">Pricing_Raw!D10</f>
        <v>3.8</v>
      </c>
      <c r="F23" s="12" t="n">
        <f aca="false">Pricing_Raw!E10</f>
        <v>10</v>
      </c>
      <c r="N23" s="0" t="str">
        <f aca="false">IF(AND(Pricing_Raw!A25="Smart Ovens",Pricing_Raw!B25&lt;&gt;"Bosch/Siemens (Own)"),Pricing_Raw!C25,"")</f>
        <v/>
      </c>
      <c r="O23" s="0" t="str">
        <f aca="false">IF(AND(Pricing_Raw!A25="Coffee Systems",Pricing_Raw!B25&lt;&gt;"Bosch/Siemens (Own)"),Pricing_Raw!C25,"")</f>
        <v/>
      </c>
      <c r="P23" s="12" t="n">
        <f aca="false">IF(AND(Pricing_Raw!A25="Cordless Vacuums",Pricing_Raw!B25&lt;&gt;"Bosch/Siemens (Own)"),Pricing_Raw!C25,"")</f>
        <v>341.78</v>
      </c>
      <c r="Q23" s="0" t="str">
        <f aca="false">IF(AND(Pricing_Raw!A25="Dishwashers",Pricing_Raw!B25&lt;&gt;"Bosch/Siemens (Own)"),Pricing_Raw!C25,"")</f>
        <v/>
      </c>
      <c r="R23" s="0" t="str">
        <f aca="false">IF(AND(Pricing_Raw!A25="Washing Machines",Pricing_Raw!B25&lt;&gt;"Bosch/Siemens (Own)"),Pricing_Raw!C25,"")</f>
        <v/>
      </c>
      <c r="S23" s="0" t="str">
        <f aca="false">IF(AND(Pricing_Raw!A25="Small Kitchen Appliances",Pricing_Raw!B25&lt;&gt;"Bosch/Siemens (Own)"),Pricing_Raw!C25,"")</f>
        <v/>
      </c>
    </row>
    <row r="24" customFormat="false" ht="15" hidden="false" customHeight="false" outlineLevel="0" collapsed="false">
      <c r="B24" s="0" t="str">
        <f aca="false">Pricing_Raw!A11</f>
        <v>Smart Ovens</v>
      </c>
      <c r="C24" s="0" t="str">
        <f aca="false">Pricing_Raw!B11</f>
        <v>LG</v>
      </c>
      <c r="D24" s="14" t="n">
        <f aca="false">Pricing_Raw!C11</f>
        <v>969.83</v>
      </c>
      <c r="E24" s="12" t="n">
        <f aca="false">Pricing_Raw!D11</f>
        <v>3.6</v>
      </c>
      <c r="F24" s="12" t="n">
        <f aca="false">Pricing_Raw!E11</f>
        <v>10</v>
      </c>
      <c r="N24" s="0" t="str">
        <f aca="false">IF(AND(Pricing_Raw!A26="Smart Ovens",Pricing_Raw!B26&lt;&gt;"Bosch/Siemens (Own)"),Pricing_Raw!C26,"")</f>
        <v/>
      </c>
      <c r="O24" s="0" t="str">
        <f aca="false">IF(AND(Pricing_Raw!A26="Coffee Systems",Pricing_Raw!B26&lt;&gt;"Bosch/Siemens (Own)"),Pricing_Raw!C26,"")</f>
        <v/>
      </c>
      <c r="P24" s="0" t="str">
        <f aca="false">IF(AND(Pricing_Raw!A26="Cordless Vacuums",Pricing_Raw!B26&lt;&gt;"Bosch/Siemens (Own)"),Pricing_Raw!C26,"")</f>
        <v/>
      </c>
      <c r="Q24" s="0" t="str">
        <f aca="false">IF(AND(Pricing_Raw!A26="Dishwashers",Pricing_Raw!B26&lt;&gt;"Bosch/Siemens (Own)"),Pricing_Raw!C26,"")</f>
        <v/>
      </c>
      <c r="R24" s="0" t="str">
        <f aca="false">IF(AND(Pricing_Raw!A26="Washing Machines",Pricing_Raw!B26&lt;&gt;"Bosch/Siemens (Own)"),Pricing_Raw!C26,"")</f>
        <v/>
      </c>
      <c r="S24" s="0" t="str">
        <f aca="false">IF(AND(Pricing_Raw!A26="Small Kitchen Appliances",Pricing_Raw!B26&lt;&gt;"Bosch/Siemens (Own)"),Pricing_Raw!C26,"")</f>
        <v/>
      </c>
    </row>
    <row r="25" customFormat="false" ht="15" hidden="false" customHeight="false" outlineLevel="0" collapsed="false">
      <c r="B25" s="0" t="str">
        <f aca="false">Pricing_Raw!A12</f>
        <v>Coffee Systems</v>
      </c>
      <c r="C25" s="0" t="str">
        <f aca="false">Pricing_Raw!B12</f>
        <v>Bosch/Siemens (Own)</v>
      </c>
      <c r="D25" s="14" t="n">
        <f aca="false">Pricing_Raw!C12</f>
        <v>549</v>
      </c>
      <c r="E25" s="12" t="n">
        <f aca="false">Pricing_Raw!D12</f>
        <v>4.6</v>
      </c>
      <c r="F25" s="12" t="n">
        <f aca="false">Pricing_Raw!E12</f>
        <v>3</v>
      </c>
      <c r="N25" s="0" t="str">
        <f aca="false">IF(AND(Pricing_Raw!A27="Smart Ovens",Pricing_Raw!B27&lt;&gt;"Bosch/Siemens (Own)"),Pricing_Raw!C27,"")</f>
        <v/>
      </c>
      <c r="O25" s="0" t="str">
        <f aca="false">IF(AND(Pricing_Raw!A27="Coffee Systems",Pricing_Raw!B27&lt;&gt;"Bosch/Siemens (Own)"),Pricing_Raw!C27,"")</f>
        <v/>
      </c>
      <c r="P25" s="0" t="str">
        <f aca="false">IF(AND(Pricing_Raw!A27="Cordless Vacuums",Pricing_Raw!B27&lt;&gt;"Bosch/Siemens (Own)"),Pricing_Raw!C27,"")</f>
        <v/>
      </c>
      <c r="Q25" s="12" t="n">
        <f aca="false">IF(AND(Pricing_Raw!A27="Dishwashers",Pricing_Raw!B27&lt;&gt;"Bosch/Siemens (Own)"),Pricing_Raw!C27,"")</f>
        <v>927.08</v>
      </c>
      <c r="R25" s="0" t="str">
        <f aca="false">IF(AND(Pricing_Raw!A27="Washing Machines",Pricing_Raw!B27&lt;&gt;"Bosch/Siemens (Own)"),Pricing_Raw!C27,"")</f>
        <v/>
      </c>
      <c r="S25" s="0" t="str">
        <f aca="false">IF(AND(Pricing_Raw!A27="Small Kitchen Appliances",Pricing_Raw!B27&lt;&gt;"Bosch/Siemens (Own)"),Pricing_Raw!C27,"")</f>
        <v/>
      </c>
    </row>
    <row r="26" customFormat="false" ht="15" hidden="false" customHeight="false" outlineLevel="0" collapsed="false">
      <c r="B26" s="0" t="str">
        <f aca="false">Pricing_Raw!A13</f>
        <v>Coffee Systems</v>
      </c>
      <c r="C26" s="0" t="str">
        <f aca="false">Pricing_Raw!B13</f>
        <v>Miele</v>
      </c>
      <c r="D26" s="14" t="n">
        <f aca="false">Pricing_Raw!C13</f>
        <v>616.53</v>
      </c>
      <c r="E26" s="12" t="n">
        <f aca="false">Pricing_Raw!D13</f>
        <v>4.7</v>
      </c>
      <c r="F26" s="12" t="n">
        <f aca="false">Pricing_Raw!E13</f>
        <v>2</v>
      </c>
      <c r="N26" s="0" t="str">
        <f aca="false">IF(AND(Pricing_Raw!A28="Smart Ovens",Pricing_Raw!B28&lt;&gt;"Bosch/Siemens (Own)"),Pricing_Raw!C28,"")</f>
        <v/>
      </c>
      <c r="O26" s="0" t="str">
        <f aca="false">IF(AND(Pricing_Raw!A28="Coffee Systems",Pricing_Raw!B28&lt;&gt;"Bosch/Siemens (Own)"),Pricing_Raw!C28,"")</f>
        <v/>
      </c>
      <c r="P26" s="0" t="str">
        <f aca="false">IF(AND(Pricing_Raw!A28="Cordless Vacuums",Pricing_Raw!B28&lt;&gt;"Bosch/Siemens (Own)"),Pricing_Raw!C28,"")</f>
        <v/>
      </c>
      <c r="Q26" s="12" t="n">
        <f aca="false">IF(AND(Pricing_Raw!A28="Dishwashers",Pricing_Raw!B28&lt;&gt;"Bosch/Siemens (Own)"),Pricing_Raw!C28,"")</f>
        <v>737.9</v>
      </c>
      <c r="R26" s="0" t="str">
        <f aca="false">IF(AND(Pricing_Raw!A28="Washing Machines",Pricing_Raw!B28&lt;&gt;"Bosch/Siemens (Own)"),Pricing_Raw!C28,"")</f>
        <v/>
      </c>
      <c r="S26" s="0" t="str">
        <f aca="false">IF(AND(Pricing_Raw!A28="Small Kitchen Appliances",Pricing_Raw!B28&lt;&gt;"Bosch/Siemens (Own)"),Pricing_Raw!C28,"")</f>
        <v/>
      </c>
    </row>
    <row r="27" customFormat="false" ht="15" hidden="false" customHeight="false" outlineLevel="0" collapsed="false">
      <c r="B27" s="0" t="str">
        <f aca="false">Pricing_Raw!A14</f>
        <v>Coffee Systems</v>
      </c>
      <c r="C27" s="0" t="str">
        <f aca="false">Pricing_Raw!B14</f>
        <v>AEG/Electrolux</v>
      </c>
      <c r="D27" s="14" t="n">
        <f aca="false">Pricing_Raw!C14</f>
        <v>672.51</v>
      </c>
      <c r="E27" s="12" t="n">
        <f aca="false">Pricing_Raw!D14</f>
        <v>4.3</v>
      </c>
      <c r="F27" s="12" t="n">
        <f aca="false">Pricing_Raw!E14</f>
        <v>4</v>
      </c>
      <c r="N27" s="0" t="str">
        <f aca="false">IF(AND(Pricing_Raw!A29="Smart Ovens",Pricing_Raw!B29&lt;&gt;"Bosch/Siemens (Own)"),Pricing_Raw!C29,"")</f>
        <v/>
      </c>
      <c r="O27" s="0" t="str">
        <f aca="false">IF(AND(Pricing_Raw!A29="Coffee Systems",Pricing_Raw!B29&lt;&gt;"Bosch/Siemens (Own)"),Pricing_Raw!C29,"")</f>
        <v/>
      </c>
      <c r="P27" s="0" t="str">
        <f aca="false">IF(AND(Pricing_Raw!A29="Cordless Vacuums",Pricing_Raw!B29&lt;&gt;"Bosch/Siemens (Own)"),Pricing_Raw!C29,"")</f>
        <v/>
      </c>
      <c r="Q27" s="12" t="n">
        <f aca="false">IF(AND(Pricing_Raw!A29="Dishwashers",Pricing_Raw!B29&lt;&gt;"Bosch/Siemens (Own)"),Pricing_Raw!C29,"")</f>
        <v>809.75</v>
      </c>
      <c r="R27" s="0" t="str">
        <f aca="false">IF(AND(Pricing_Raw!A29="Washing Machines",Pricing_Raw!B29&lt;&gt;"Bosch/Siemens (Own)"),Pricing_Raw!C29,"")</f>
        <v/>
      </c>
      <c r="S27" s="0" t="str">
        <f aca="false">IF(AND(Pricing_Raw!A29="Small Kitchen Appliances",Pricing_Raw!B29&lt;&gt;"Bosch/Siemens (Own)"),Pricing_Raw!C29,"")</f>
        <v/>
      </c>
    </row>
    <row r="28" customFormat="false" ht="15" hidden="false" customHeight="false" outlineLevel="0" collapsed="false">
      <c r="B28" s="0" t="str">
        <f aca="false">Pricing_Raw!A15</f>
        <v>Coffee Systems</v>
      </c>
      <c r="C28" s="0" t="str">
        <f aca="false">Pricing_Raw!B15</f>
        <v>Philips</v>
      </c>
      <c r="D28" s="14" t="n">
        <f aca="false">Pricing_Raw!C15</f>
        <v>621.41</v>
      </c>
      <c r="E28" s="12" t="n">
        <f aca="false">Pricing_Raw!D15</f>
        <v>4.8</v>
      </c>
      <c r="F28" s="12" t="n">
        <f aca="false">Pricing_Raw!E15</f>
        <v>3</v>
      </c>
      <c r="N28" s="0" t="str">
        <f aca="false">IF(AND(Pricing_Raw!A30="Smart Ovens",Pricing_Raw!B30&lt;&gt;"Bosch/Siemens (Own)"),Pricing_Raw!C30,"")</f>
        <v/>
      </c>
      <c r="O28" s="0" t="str">
        <f aca="false">IF(AND(Pricing_Raw!A30="Coffee Systems",Pricing_Raw!B30&lt;&gt;"Bosch/Siemens (Own)"),Pricing_Raw!C30,"")</f>
        <v/>
      </c>
      <c r="P28" s="0" t="str">
        <f aca="false">IF(AND(Pricing_Raw!A30="Cordless Vacuums",Pricing_Raw!B30&lt;&gt;"Bosch/Siemens (Own)"),Pricing_Raw!C30,"")</f>
        <v/>
      </c>
      <c r="Q28" s="12" t="n">
        <f aca="false">IF(AND(Pricing_Raw!A30="Dishwashers",Pricing_Raw!B30&lt;&gt;"Bosch/Siemens (Own)"),Pricing_Raw!C30,"")</f>
        <v>665.71</v>
      </c>
      <c r="R28" s="0" t="str">
        <f aca="false">IF(AND(Pricing_Raw!A30="Washing Machines",Pricing_Raw!B30&lt;&gt;"Bosch/Siemens (Own)"),Pricing_Raw!C30,"")</f>
        <v/>
      </c>
      <c r="S28" s="0" t="str">
        <f aca="false">IF(AND(Pricing_Raw!A30="Small Kitchen Appliances",Pricing_Raw!B30&lt;&gt;"Bosch/Siemens (Own)"),Pricing_Raw!C30,"")</f>
        <v/>
      </c>
    </row>
    <row r="29" customFormat="false" ht="15" hidden="false" customHeight="false" outlineLevel="0" collapsed="false">
      <c r="B29" s="0" t="str">
        <f aca="false">Pricing_Raw!A16</f>
        <v>Coffee Systems</v>
      </c>
      <c r="C29" s="0" t="str">
        <f aca="false">Pricing_Raw!B16</f>
        <v>Beko</v>
      </c>
      <c r="D29" s="14" t="n">
        <f aca="false">Pricing_Raw!C16</f>
        <v>576.14</v>
      </c>
      <c r="E29" s="12" t="n">
        <f aca="false">Pricing_Raw!D16</f>
        <v>3.8</v>
      </c>
      <c r="F29" s="12" t="n">
        <f aca="false">Pricing_Raw!E16</f>
        <v>3</v>
      </c>
      <c r="N29" s="0" t="str">
        <f aca="false">IF(AND(Pricing_Raw!A31="Smart Ovens",Pricing_Raw!B31&lt;&gt;"Bosch/Siemens (Own)"),Pricing_Raw!C31,"")</f>
        <v/>
      </c>
      <c r="O29" s="0" t="str">
        <f aca="false">IF(AND(Pricing_Raw!A31="Coffee Systems",Pricing_Raw!B31&lt;&gt;"Bosch/Siemens (Own)"),Pricing_Raw!C31,"")</f>
        <v/>
      </c>
      <c r="P29" s="0" t="str">
        <f aca="false">IF(AND(Pricing_Raw!A31="Cordless Vacuums",Pricing_Raw!B31&lt;&gt;"Bosch/Siemens (Own)"),Pricing_Raw!C31,"")</f>
        <v/>
      </c>
      <c r="Q29" s="12" t="n">
        <f aca="false">IF(AND(Pricing_Raw!A31="Dishwashers",Pricing_Raw!B31&lt;&gt;"Bosch/Siemens (Own)"),Pricing_Raw!C31,"")</f>
        <v>617.03</v>
      </c>
      <c r="R29" s="0" t="str">
        <f aca="false">IF(AND(Pricing_Raw!A31="Washing Machines",Pricing_Raw!B31&lt;&gt;"Bosch/Siemens (Own)"),Pricing_Raw!C31,"")</f>
        <v/>
      </c>
      <c r="S29" s="0" t="str">
        <f aca="false">IF(AND(Pricing_Raw!A31="Small Kitchen Appliances",Pricing_Raw!B31&lt;&gt;"Bosch/Siemens (Own)"),Pricing_Raw!C31,"")</f>
        <v/>
      </c>
    </row>
    <row r="30" customFormat="false" ht="15" hidden="false" customHeight="false" outlineLevel="0" collapsed="false">
      <c r="B30" s="0" t="str">
        <f aca="false">Pricing_Raw!A17</f>
        <v>Coffee Systems</v>
      </c>
      <c r="C30" s="0" t="str">
        <f aca="false">Pricing_Raw!B17</f>
        <v>Samsung</v>
      </c>
      <c r="D30" s="14" t="n">
        <f aca="false">Pricing_Raw!C17</f>
        <v>495.44</v>
      </c>
      <c r="E30" s="12" t="n">
        <f aca="false">Pricing_Raw!D17</f>
        <v>4.3</v>
      </c>
      <c r="F30" s="12" t="n">
        <f aca="false">Pricing_Raw!E17</f>
        <v>4</v>
      </c>
      <c r="N30" s="0" t="str">
        <f aca="false">IF(AND(Pricing_Raw!A32="Smart Ovens",Pricing_Raw!B32&lt;&gt;"Bosch/Siemens (Own)"),Pricing_Raw!C32,"")</f>
        <v/>
      </c>
      <c r="O30" s="0" t="str">
        <f aca="false">IF(AND(Pricing_Raw!A32="Coffee Systems",Pricing_Raw!B32&lt;&gt;"Bosch/Siemens (Own)"),Pricing_Raw!C32,"")</f>
        <v/>
      </c>
      <c r="P30" s="0" t="str">
        <f aca="false">IF(AND(Pricing_Raw!A32="Cordless Vacuums",Pricing_Raw!B32&lt;&gt;"Bosch/Siemens (Own)"),Pricing_Raw!C32,"")</f>
        <v/>
      </c>
      <c r="Q30" s="12" t="n">
        <f aca="false">IF(AND(Pricing_Raw!A32="Dishwashers",Pricing_Raw!B32&lt;&gt;"Bosch/Siemens (Own)"),Pricing_Raw!C32,"")</f>
        <v>760.86</v>
      </c>
      <c r="R30" s="0" t="str">
        <f aca="false">IF(AND(Pricing_Raw!A32="Washing Machines",Pricing_Raw!B32&lt;&gt;"Bosch/Siemens (Own)"),Pricing_Raw!C32,"")</f>
        <v/>
      </c>
      <c r="S30" s="0" t="str">
        <f aca="false">IF(AND(Pricing_Raw!A32="Small Kitchen Appliances",Pricing_Raw!B32&lt;&gt;"Bosch/Siemens (Own)"),Pricing_Raw!C32,"")</f>
        <v/>
      </c>
    </row>
    <row r="31" customFormat="false" ht="15" hidden="false" customHeight="false" outlineLevel="0" collapsed="false">
      <c r="B31" s="0" t="str">
        <f aca="false">Pricing_Raw!A18</f>
        <v>Coffee Systems</v>
      </c>
      <c r="C31" s="0" t="str">
        <f aca="false">Pricing_Raw!B18</f>
        <v>LG</v>
      </c>
      <c r="D31" s="14" t="n">
        <f aca="false">Pricing_Raw!C18</f>
        <v>660.66</v>
      </c>
      <c r="E31" s="12" t="n">
        <f aca="false">Pricing_Raw!D18</f>
        <v>4.5</v>
      </c>
      <c r="F31" s="12" t="n">
        <f aca="false">Pricing_Raw!E18</f>
        <v>7</v>
      </c>
      <c r="N31" s="0" t="str">
        <f aca="false">IF(AND(Pricing_Raw!A33="Smart Ovens",Pricing_Raw!B33&lt;&gt;"Bosch/Siemens (Own)"),Pricing_Raw!C33,"")</f>
        <v/>
      </c>
      <c r="O31" s="0" t="str">
        <f aca="false">IF(AND(Pricing_Raw!A33="Coffee Systems",Pricing_Raw!B33&lt;&gt;"Bosch/Siemens (Own)"),Pricing_Raw!C33,"")</f>
        <v/>
      </c>
      <c r="P31" s="0" t="str">
        <f aca="false">IF(AND(Pricing_Raw!A33="Cordless Vacuums",Pricing_Raw!B33&lt;&gt;"Bosch/Siemens (Own)"),Pricing_Raw!C33,"")</f>
        <v/>
      </c>
      <c r="Q31" s="0" t="str">
        <f aca="false">IF(AND(Pricing_Raw!A33="Dishwashers",Pricing_Raw!B33&lt;&gt;"Bosch/Siemens (Own)"),Pricing_Raw!C33,"")</f>
        <v/>
      </c>
      <c r="R31" s="0" t="str">
        <f aca="false">IF(AND(Pricing_Raw!A33="Washing Machines",Pricing_Raw!B33&lt;&gt;"Bosch/Siemens (Own)"),Pricing_Raw!C33,"")</f>
        <v/>
      </c>
      <c r="S31" s="0" t="str">
        <f aca="false">IF(AND(Pricing_Raw!A33="Small Kitchen Appliances",Pricing_Raw!B33&lt;&gt;"Bosch/Siemens (Own)"),Pricing_Raw!C33,"")</f>
        <v/>
      </c>
    </row>
    <row r="32" customFormat="false" ht="15" hidden="false" customHeight="false" outlineLevel="0" collapsed="false">
      <c r="B32" s="0" t="str">
        <f aca="false">Pricing_Raw!A19</f>
        <v>Cordless Vacuums</v>
      </c>
      <c r="C32" s="0" t="str">
        <f aca="false">Pricing_Raw!B19</f>
        <v>Bosch/Siemens (Own)</v>
      </c>
      <c r="D32" s="14" t="n">
        <f aca="false">Pricing_Raw!C19</f>
        <v>379</v>
      </c>
      <c r="E32" s="12" t="n">
        <f aca="false">Pricing_Raw!D19</f>
        <v>4.8</v>
      </c>
      <c r="F32" s="12" t="n">
        <f aca="false">Pricing_Raw!E19</f>
        <v>4</v>
      </c>
      <c r="N32" s="0" t="str">
        <f aca="false">IF(AND(Pricing_Raw!A34="Smart Ovens",Pricing_Raw!B34&lt;&gt;"Bosch/Siemens (Own)"),Pricing_Raw!C34,"")</f>
        <v/>
      </c>
      <c r="O32" s="0" t="str">
        <f aca="false">IF(AND(Pricing_Raw!A34="Coffee Systems",Pricing_Raw!B34&lt;&gt;"Bosch/Siemens (Own)"),Pricing_Raw!C34,"")</f>
        <v/>
      </c>
      <c r="P32" s="0" t="str">
        <f aca="false">IF(AND(Pricing_Raw!A34="Cordless Vacuums",Pricing_Raw!B34&lt;&gt;"Bosch/Siemens (Own)"),Pricing_Raw!C34,"")</f>
        <v/>
      </c>
      <c r="Q32" s="0" t="str">
        <f aca="false">IF(AND(Pricing_Raw!A34="Dishwashers",Pricing_Raw!B34&lt;&gt;"Bosch/Siemens (Own)"),Pricing_Raw!C34,"")</f>
        <v/>
      </c>
      <c r="R32" s="12" t="n">
        <f aca="false">IF(AND(Pricing_Raw!A34="Washing Machines",Pricing_Raw!B34&lt;&gt;"Bosch/Siemens (Own)"),Pricing_Raw!C34,"")</f>
        <v>662.26</v>
      </c>
      <c r="S32" s="0" t="str">
        <f aca="false">IF(AND(Pricing_Raw!A34="Small Kitchen Appliances",Pricing_Raw!B34&lt;&gt;"Bosch/Siemens (Own)"),Pricing_Raw!C34,"")</f>
        <v/>
      </c>
    </row>
    <row r="33" customFormat="false" ht="15" hidden="false" customHeight="false" outlineLevel="0" collapsed="false">
      <c r="B33" s="0" t="str">
        <f aca="false">Pricing_Raw!A20</f>
        <v>Cordless Vacuums</v>
      </c>
      <c r="C33" s="0" t="str">
        <f aca="false">Pricing_Raw!B20</f>
        <v>Miele</v>
      </c>
      <c r="D33" s="14" t="n">
        <f aca="false">Pricing_Raw!C20</f>
        <v>383.87</v>
      </c>
      <c r="E33" s="12" t="n">
        <f aca="false">Pricing_Raw!D20</f>
        <v>4.5</v>
      </c>
      <c r="F33" s="12" t="n">
        <f aca="false">Pricing_Raw!E20</f>
        <v>5</v>
      </c>
      <c r="N33" s="0" t="str">
        <f aca="false">IF(AND(Pricing_Raw!A35="Smart Ovens",Pricing_Raw!B35&lt;&gt;"Bosch/Siemens (Own)"),Pricing_Raw!C35,"")</f>
        <v/>
      </c>
      <c r="O33" s="0" t="str">
        <f aca="false">IF(AND(Pricing_Raw!A35="Coffee Systems",Pricing_Raw!B35&lt;&gt;"Bosch/Siemens (Own)"),Pricing_Raw!C35,"")</f>
        <v/>
      </c>
      <c r="P33" s="0" t="str">
        <f aca="false">IF(AND(Pricing_Raw!A35="Cordless Vacuums",Pricing_Raw!B35&lt;&gt;"Bosch/Siemens (Own)"),Pricing_Raw!C35,"")</f>
        <v/>
      </c>
      <c r="Q33" s="0" t="str">
        <f aca="false">IF(AND(Pricing_Raw!A35="Dishwashers",Pricing_Raw!B35&lt;&gt;"Bosch/Siemens (Own)"),Pricing_Raw!C35,"")</f>
        <v/>
      </c>
      <c r="R33" s="12" t="n">
        <f aca="false">IF(AND(Pricing_Raw!A35="Washing Machines",Pricing_Raw!B35&lt;&gt;"Bosch/Siemens (Own)"),Pricing_Raw!C35,"")</f>
        <v>624.61</v>
      </c>
      <c r="S33" s="0" t="str">
        <f aca="false">IF(AND(Pricing_Raw!A35="Small Kitchen Appliances",Pricing_Raw!B35&lt;&gt;"Bosch/Siemens (Own)"),Pricing_Raw!C35,"")</f>
        <v/>
      </c>
    </row>
    <row r="34" customFormat="false" ht="15" hidden="false" customHeight="false" outlineLevel="0" collapsed="false">
      <c r="B34" s="0" t="str">
        <f aca="false">Pricing_Raw!A21</f>
        <v>Cordless Vacuums</v>
      </c>
      <c r="C34" s="0" t="str">
        <f aca="false">Pricing_Raw!B21</f>
        <v>AEG/Electrolux</v>
      </c>
      <c r="D34" s="14" t="n">
        <f aca="false">Pricing_Raw!C21</f>
        <v>321.81</v>
      </c>
      <c r="E34" s="12" t="n">
        <f aca="false">Pricing_Raw!D21</f>
        <v>4.1</v>
      </c>
      <c r="F34" s="12" t="n">
        <f aca="false">Pricing_Raw!E21</f>
        <v>7</v>
      </c>
      <c r="N34" s="0" t="str">
        <f aca="false">IF(AND(Pricing_Raw!A36="Smart Ovens",Pricing_Raw!B36&lt;&gt;"Bosch/Siemens (Own)"),Pricing_Raw!C36,"")</f>
        <v/>
      </c>
      <c r="O34" s="0" t="str">
        <f aca="false">IF(AND(Pricing_Raw!A36="Coffee Systems",Pricing_Raw!B36&lt;&gt;"Bosch/Siemens (Own)"),Pricing_Raw!C36,"")</f>
        <v/>
      </c>
      <c r="P34" s="0" t="str">
        <f aca="false">IF(AND(Pricing_Raw!A36="Cordless Vacuums",Pricing_Raw!B36&lt;&gt;"Bosch/Siemens (Own)"),Pricing_Raw!C36,"")</f>
        <v/>
      </c>
      <c r="Q34" s="0" t="str">
        <f aca="false">IF(AND(Pricing_Raw!A36="Dishwashers",Pricing_Raw!B36&lt;&gt;"Bosch/Siemens (Own)"),Pricing_Raw!C36,"")</f>
        <v/>
      </c>
      <c r="R34" s="12" t="n">
        <f aca="false">IF(AND(Pricing_Raw!A36="Washing Machines",Pricing_Raw!B36&lt;&gt;"Bosch/Siemens (Own)"),Pricing_Raw!C36,"")</f>
        <v>660.9</v>
      </c>
      <c r="S34" s="0" t="str">
        <f aca="false">IF(AND(Pricing_Raw!A36="Small Kitchen Appliances",Pricing_Raw!B36&lt;&gt;"Bosch/Siemens (Own)"),Pricing_Raw!C36,"")</f>
        <v/>
      </c>
    </row>
    <row r="35" customFormat="false" ht="15" hidden="false" customHeight="false" outlineLevel="0" collapsed="false">
      <c r="B35" s="0" t="str">
        <f aca="false">Pricing_Raw!A22</f>
        <v>Cordless Vacuums</v>
      </c>
      <c r="C35" s="0" t="str">
        <f aca="false">Pricing_Raw!B22</f>
        <v>Philips</v>
      </c>
      <c r="D35" s="14" t="n">
        <f aca="false">Pricing_Raw!C22</f>
        <v>439.67</v>
      </c>
      <c r="E35" s="12" t="n">
        <f aca="false">Pricing_Raw!D22</f>
        <v>3.8</v>
      </c>
      <c r="F35" s="12" t="n">
        <f aca="false">Pricing_Raw!E22</f>
        <v>4</v>
      </c>
      <c r="N35" s="0" t="str">
        <f aca="false">IF(AND(Pricing_Raw!A37="Smart Ovens",Pricing_Raw!B37&lt;&gt;"Bosch/Siemens (Own)"),Pricing_Raw!C37,"")</f>
        <v/>
      </c>
      <c r="O35" s="0" t="str">
        <f aca="false">IF(AND(Pricing_Raw!A37="Coffee Systems",Pricing_Raw!B37&lt;&gt;"Bosch/Siemens (Own)"),Pricing_Raw!C37,"")</f>
        <v/>
      </c>
      <c r="P35" s="0" t="str">
        <f aca="false">IF(AND(Pricing_Raw!A37="Cordless Vacuums",Pricing_Raw!B37&lt;&gt;"Bosch/Siemens (Own)"),Pricing_Raw!C37,"")</f>
        <v/>
      </c>
      <c r="Q35" s="0" t="str">
        <f aca="false">IF(AND(Pricing_Raw!A37="Dishwashers",Pricing_Raw!B37&lt;&gt;"Bosch/Siemens (Own)"),Pricing_Raw!C37,"")</f>
        <v/>
      </c>
      <c r="R35" s="12" t="n">
        <f aca="false">IF(AND(Pricing_Raw!A37="Washing Machines",Pricing_Raw!B37&lt;&gt;"Bosch/Siemens (Own)"),Pricing_Raw!C37,"")</f>
        <v>851.88</v>
      </c>
      <c r="S35" s="0" t="str">
        <f aca="false">IF(AND(Pricing_Raw!A37="Small Kitchen Appliances",Pricing_Raw!B37&lt;&gt;"Bosch/Siemens (Own)"),Pricing_Raw!C37,"")</f>
        <v/>
      </c>
    </row>
    <row r="36" customFormat="false" ht="15" hidden="false" customHeight="false" outlineLevel="0" collapsed="false">
      <c r="B36" s="0" t="str">
        <f aca="false">Pricing_Raw!A23</f>
        <v>Cordless Vacuums</v>
      </c>
      <c r="C36" s="0" t="str">
        <f aca="false">Pricing_Raw!B23</f>
        <v>Beko</v>
      </c>
      <c r="D36" s="14" t="n">
        <f aca="false">Pricing_Raw!C23</f>
        <v>424.32</v>
      </c>
      <c r="E36" s="12" t="n">
        <f aca="false">Pricing_Raw!D23</f>
        <v>3.8</v>
      </c>
      <c r="F36" s="12" t="n">
        <f aca="false">Pricing_Raw!E23</f>
        <v>2</v>
      </c>
      <c r="N36" s="0" t="str">
        <f aca="false">IF(AND(Pricing_Raw!A38="Smart Ovens",Pricing_Raw!B38&lt;&gt;"Bosch/Siemens (Own)"),Pricing_Raw!C38,"")</f>
        <v/>
      </c>
      <c r="O36" s="0" t="str">
        <f aca="false">IF(AND(Pricing_Raw!A38="Coffee Systems",Pricing_Raw!B38&lt;&gt;"Bosch/Siemens (Own)"),Pricing_Raw!C38,"")</f>
        <v/>
      </c>
      <c r="P36" s="0" t="str">
        <f aca="false">IF(AND(Pricing_Raw!A38="Cordless Vacuums",Pricing_Raw!B38&lt;&gt;"Bosch/Siemens (Own)"),Pricing_Raw!C38,"")</f>
        <v/>
      </c>
      <c r="Q36" s="0" t="str">
        <f aca="false">IF(AND(Pricing_Raw!A38="Dishwashers",Pricing_Raw!B38&lt;&gt;"Bosch/Siemens (Own)"),Pricing_Raw!C38,"")</f>
        <v/>
      </c>
      <c r="R36" s="12" t="n">
        <f aca="false">IF(AND(Pricing_Raw!A38="Washing Machines",Pricing_Raw!B38&lt;&gt;"Bosch/Siemens (Own)"),Pricing_Raw!C38,"")</f>
        <v>766.27</v>
      </c>
      <c r="S36" s="0" t="str">
        <f aca="false">IF(AND(Pricing_Raw!A38="Small Kitchen Appliances",Pricing_Raw!B38&lt;&gt;"Bosch/Siemens (Own)"),Pricing_Raw!C38,"")</f>
        <v/>
      </c>
    </row>
    <row r="37" customFormat="false" ht="15" hidden="false" customHeight="false" outlineLevel="0" collapsed="false">
      <c r="B37" s="0" t="str">
        <f aca="false">Pricing_Raw!A24</f>
        <v>Cordless Vacuums</v>
      </c>
      <c r="C37" s="0" t="str">
        <f aca="false">Pricing_Raw!B24</f>
        <v>Samsung</v>
      </c>
      <c r="D37" s="14" t="n">
        <f aca="false">Pricing_Raw!C24</f>
        <v>466.55</v>
      </c>
      <c r="E37" s="12" t="n">
        <f aca="false">Pricing_Raw!D24</f>
        <v>3.7</v>
      </c>
      <c r="F37" s="12" t="n">
        <f aca="false">Pricing_Raw!E24</f>
        <v>10</v>
      </c>
      <c r="N37" s="0" t="str">
        <f aca="false">IF(AND(Pricing_Raw!A39="Smart Ovens",Pricing_Raw!B39&lt;&gt;"Bosch/Siemens (Own)"),Pricing_Raw!C39,"")</f>
        <v/>
      </c>
      <c r="O37" s="0" t="str">
        <f aca="false">IF(AND(Pricing_Raw!A39="Coffee Systems",Pricing_Raw!B39&lt;&gt;"Bosch/Siemens (Own)"),Pricing_Raw!C39,"")</f>
        <v/>
      </c>
      <c r="P37" s="0" t="str">
        <f aca="false">IF(AND(Pricing_Raw!A39="Cordless Vacuums",Pricing_Raw!B39&lt;&gt;"Bosch/Siemens (Own)"),Pricing_Raw!C39,"")</f>
        <v/>
      </c>
      <c r="Q37" s="0" t="str">
        <f aca="false">IF(AND(Pricing_Raw!A39="Dishwashers",Pricing_Raw!B39&lt;&gt;"Bosch/Siemens (Own)"),Pricing_Raw!C39,"")</f>
        <v/>
      </c>
      <c r="R37" s="12" t="n">
        <f aca="false">IF(AND(Pricing_Raw!A39="Washing Machines",Pricing_Raw!B39&lt;&gt;"Bosch/Siemens (Own)"),Pricing_Raw!C39,"")</f>
        <v>733.86</v>
      </c>
      <c r="S37" s="0" t="str">
        <f aca="false">IF(AND(Pricing_Raw!A39="Small Kitchen Appliances",Pricing_Raw!B39&lt;&gt;"Bosch/Siemens (Own)"),Pricing_Raw!C39,"")</f>
        <v/>
      </c>
    </row>
    <row r="38" customFormat="false" ht="15" hidden="false" customHeight="false" outlineLevel="0" collapsed="false">
      <c r="B38" s="0" t="str">
        <f aca="false">Pricing_Raw!A25</f>
        <v>Cordless Vacuums</v>
      </c>
      <c r="C38" s="0" t="str">
        <f aca="false">Pricing_Raw!B25</f>
        <v>LG</v>
      </c>
      <c r="D38" s="14" t="n">
        <f aca="false">Pricing_Raw!C25</f>
        <v>341.78</v>
      </c>
      <c r="E38" s="12" t="n">
        <f aca="false">Pricing_Raw!D25</f>
        <v>4.6</v>
      </c>
      <c r="F38" s="12" t="n">
        <f aca="false">Pricing_Raw!E25</f>
        <v>5</v>
      </c>
      <c r="N38" s="0" t="str">
        <f aca="false">IF(AND(Pricing_Raw!A40="Smart Ovens",Pricing_Raw!B40&lt;&gt;"Bosch/Siemens (Own)"),Pricing_Raw!C40,"")</f>
        <v/>
      </c>
      <c r="O38" s="0" t="str">
        <f aca="false">IF(AND(Pricing_Raw!A40="Coffee Systems",Pricing_Raw!B40&lt;&gt;"Bosch/Siemens (Own)"),Pricing_Raw!C40,"")</f>
        <v/>
      </c>
      <c r="P38" s="0" t="str">
        <f aca="false">IF(AND(Pricing_Raw!A40="Cordless Vacuums",Pricing_Raw!B40&lt;&gt;"Bosch/Siemens (Own)"),Pricing_Raw!C40,"")</f>
        <v/>
      </c>
      <c r="Q38" s="0" t="str">
        <f aca="false">IF(AND(Pricing_Raw!A40="Dishwashers",Pricing_Raw!B40&lt;&gt;"Bosch/Siemens (Own)"),Pricing_Raw!C40,"")</f>
        <v/>
      </c>
      <c r="R38" s="0" t="str">
        <f aca="false">IF(AND(Pricing_Raw!A40="Washing Machines",Pricing_Raw!B40&lt;&gt;"Bosch/Siemens (Own)"),Pricing_Raw!C40,"")</f>
        <v/>
      </c>
      <c r="S38" s="0" t="str">
        <f aca="false">IF(AND(Pricing_Raw!A40="Small Kitchen Appliances",Pricing_Raw!B40&lt;&gt;"Bosch/Siemens (Own)"),Pricing_Raw!C40,"")</f>
        <v/>
      </c>
    </row>
    <row r="39" customFormat="false" ht="15" hidden="false" customHeight="false" outlineLevel="0" collapsed="false">
      <c r="B39" s="0" t="str">
        <f aca="false">Pricing_Raw!A26</f>
        <v>Dishwashers</v>
      </c>
      <c r="C39" s="0" t="str">
        <f aca="false">Pricing_Raw!B26</f>
        <v>Bosch/Siemens (Own)</v>
      </c>
      <c r="D39" s="14" t="n">
        <f aca="false">Pricing_Raw!C26</f>
        <v>749</v>
      </c>
      <c r="E39" s="12" t="n">
        <f aca="false">Pricing_Raw!D26</f>
        <v>4.4</v>
      </c>
      <c r="F39" s="12" t="n">
        <f aca="false">Pricing_Raw!E26</f>
        <v>7</v>
      </c>
      <c r="N39" s="0" t="str">
        <f aca="false">IF(AND(Pricing_Raw!A41="Smart Ovens",Pricing_Raw!B41&lt;&gt;"Bosch/Siemens (Own)"),Pricing_Raw!C41,"")</f>
        <v/>
      </c>
      <c r="O39" s="0" t="str">
        <f aca="false">IF(AND(Pricing_Raw!A41="Coffee Systems",Pricing_Raw!B41&lt;&gt;"Bosch/Siemens (Own)"),Pricing_Raw!C41,"")</f>
        <v/>
      </c>
      <c r="P39" s="0" t="str">
        <f aca="false">IF(AND(Pricing_Raw!A41="Cordless Vacuums",Pricing_Raw!B41&lt;&gt;"Bosch/Siemens (Own)"),Pricing_Raw!C41,"")</f>
        <v/>
      </c>
      <c r="Q39" s="0" t="str">
        <f aca="false">IF(AND(Pricing_Raw!A41="Dishwashers",Pricing_Raw!B41&lt;&gt;"Bosch/Siemens (Own)"),Pricing_Raw!C41,"")</f>
        <v/>
      </c>
      <c r="R39" s="0" t="str">
        <f aca="false">IF(AND(Pricing_Raw!A41="Washing Machines",Pricing_Raw!B41&lt;&gt;"Bosch/Siemens (Own)"),Pricing_Raw!C41,"")</f>
        <v/>
      </c>
      <c r="S39" s="12" t="n">
        <f aca="false">IF(AND(Pricing_Raw!A41="Small Kitchen Appliances",Pricing_Raw!B41&lt;&gt;"Bosch/Siemens (Own)"),Pricing_Raw!C41,"")</f>
        <v>123.78</v>
      </c>
    </row>
    <row r="40" customFormat="false" ht="15" hidden="false" customHeight="false" outlineLevel="0" collapsed="false">
      <c r="B40" s="0" t="str">
        <f aca="false">Pricing_Raw!A27</f>
        <v>Dishwashers</v>
      </c>
      <c r="C40" s="0" t="str">
        <f aca="false">Pricing_Raw!B27</f>
        <v>Miele</v>
      </c>
      <c r="D40" s="14" t="n">
        <f aca="false">Pricing_Raw!C27</f>
        <v>927.08</v>
      </c>
      <c r="E40" s="12" t="n">
        <f aca="false">Pricing_Raw!D27</f>
        <v>3.8</v>
      </c>
      <c r="F40" s="12" t="n">
        <f aca="false">Pricing_Raw!E27</f>
        <v>7</v>
      </c>
      <c r="N40" s="0" t="str">
        <f aca="false">IF(AND(Pricing_Raw!A42="Smart Ovens",Pricing_Raw!B42&lt;&gt;"Bosch/Siemens (Own)"),Pricing_Raw!C42,"")</f>
        <v/>
      </c>
      <c r="O40" s="0" t="str">
        <f aca="false">IF(AND(Pricing_Raw!A42="Coffee Systems",Pricing_Raw!B42&lt;&gt;"Bosch/Siemens (Own)"),Pricing_Raw!C42,"")</f>
        <v/>
      </c>
      <c r="P40" s="0" t="str">
        <f aca="false">IF(AND(Pricing_Raw!A42="Cordless Vacuums",Pricing_Raw!B42&lt;&gt;"Bosch/Siemens (Own)"),Pricing_Raw!C42,"")</f>
        <v/>
      </c>
      <c r="Q40" s="0" t="str">
        <f aca="false">IF(AND(Pricing_Raw!A42="Dishwashers",Pricing_Raw!B42&lt;&gt;"Bosch/Siemens (Own)"),Pricing_Raw!C42,"")</f>
        <v/>
      </c>
      <c r="R40" s="0" t="str">
        <f aca="false">IF(AND(Pricing_Raw!A42="Washing Machines",Pricing_Raw!B42&lt;&gt;"Bosch/Siemens (Own)"),Pricing_Raw!C42,"")</f>
        <v/>
      </c>
      <c r="S40" s="12" t="n">
        <f aca="false">IF(AND(Pricing_Raw!A42="Small Kitchen Appliances",Pricing_Raw!B42&lt;&gt;"Bosch/Siemens (Own)"),Pricing_Raw!C42,"")</f>
        <v>120.43</v>
      </c>
    </row>
    <row r="41" customFormat="false" ht="15" hidden="false" customHeight="false" outlineLevel="0" collapsed="false">
      <c r="B41" s="0" t="str">
        <f aca="false">Pricing_Raw!A28</f>
        <v>Dishwashers</v>
      </c>
      <c r="C41" s="0" t="str">
        <f aca="false">Pricing_Raw!B28</f>
        <v>AEG/Electrolux</v>
      </c>
      <c r="D41" s="14" t="n">
        <f aca="false">Pricing_Raw!C28</f>
        <v>737.9</v>
      </c>
      <c r="E41" s="12" t="n">
        <f aca="false">Pricing_Raw!D28</f>
        <v>4.5</v>
      </c>
      <c r="F41" s="12" t="n">
        <f aca="false">Pricing_Raw!E28</f>
        <v>5</v>
      </c>
      <c r="N41" s="0" t="str">
        <f aca="false">IF(AND(Pricing_Raw!A43="Smart Ovens",Pricing_Raw!B43&lt;&gt;"Bosch/Siemens (Own)"),Pricing_Raw!C43,"")</f>
        <v/>
      </c>
      <c r="O41" s="0" t="str">
        <f aca="false">IF(AND(Pricing_Raw!A43="Coffee Systems",Pricing_Raw!B43&lt;&gt;"Bosch/Siemens (Own)"),Pricing_Raw!C43,"")</f>
        <v/>
      </c>
      <c r="P41" s="0" t="str">
        <f aca="false">IF(AND(Pricing_Raw!A43="Cordless Vacuums",Pricing_Raw!B43&lt;&gt;"Bosch/Siemens (Own)"),Pricing_Raw!C43,"")</f>
        <v/>
      </c>
      <c r="Q41" s="0" t="str">
        <f aca="false">IF(AND(Pricing_Raw!A43="Dishwashers",Pricing_Raw!B43&lt;&gt;"Bosch/Siemens (Own)"),Pricing_Raw!C43,"")</f>
        <v/>
      </c>
      <c r="R41" s="0" t="str">
        <f aca="false">IF(AND(Pricing_Raw!A43="Washing Machines",Pricing_Raw!B43&lt;&gt;"Bosch/Siemens (Own)"),Pricing_Raw!C43,"")</f>
        <v/>
      </c>
      <c r="S41" s="12" t="n">
        <f aca="false">IF(AND(Pricing_Raw!A43="Small Kitchen Appliances",Pricing_Raw!B43&lt;&gt;"Bosch/Siemens (Own)"),Pricing_Raw!C43,"")</f>
        <v>122.14</v>
      </c>
    </row>
    <row r="42" customFormat="false" ht="15" hidden="false" customHeight="false" outlineLevel="0" collapsed="false">
      <c r="B42" s="0" t="str">
        <f aca="false">Pricing_Raw!A29</f>
        <v>Dishwashers</v>
      </c>
      <c r="C42" s="0" t="str">
        <f aca="false">Pricing_Raw!B29</f>
        <v>Philips</v>
      </c>
      <c r="D42" s="14" t="n">
        <f aca="false">Pricing_Raw!C29</f>
        <v>809.75</v>
      </c>
      <c r="E42" s="12" t="n">
        <f aca="false">Pricing_Raw!D29</f>
        <v>3.8</v>
      </c>
      <c r="F42" s="12" t="n">
        <f aca="false">Pricing_Raw!E29</f>
        <v>2</v>
      </c>
      <c r="N42" s="0" t="str">
        <f aca="false">IF(AND(Pricing_Raw!A44="Smart Ovens",Pricing_Raw!B44&lt;&gt;"Bosch/Siemens (Own)"),Pricing_Raw!C44,"")</f>
        <v/>
      </c>
      <c r="O42" s="0" t="str">
        <f aca="false">IF(AND(Pricing_Raw!A44="Coffee Systems",Pricing_Raw!B44&lt;&gt;"Bosch/Siemens (Own)"),Pricing_Raw!C44,"")</f>
        <v/>
      </c>
      <c r="P42" s="0" t="str">
        <f aca="false">IF(AND(Pricing_Raw!A44="Cordless Vacuums",Pricing_Raw!B44&lt;&gt;"Bosch/Siemens (Own)"),Pricing_Raw!C44,"")</f>
        <v/>
      </c>
      <c r="Q42" s="0" t="str">
        <f aca="false">IF(AND(Pricing_Raw!A44="Dishwashers",Pricing_Raw!B44&lt;&gt;"Bosch/Siemens (Own)"),Pricing_Raw!C44,"")</f>
        <v/>
      </c>
      <c r="R42" s="0" t="str">
        <f aca="false">IF(AND(Pricing_Raw!A44="Washing Machines",Pricing_Raw!B44&lt;&gt;"Bosch/Siemens (Own)"),Pricing_Raw!C44,"")</f>
        <v/>
      </c>
      <c r="S42" s="12" t="n">
        <f aca="false">IF(AND(Pricing_Raw!A44="Small Kitchen Appliances",Pricing_Raw!B44&lt;&gt;"Bosch/Siemens (Own)"),Pricing_Raw!C44,"")</f>
        <v>151.04</v>
      </c>
    </row>
    <row r="43" customFormat="false" ht="15" hidden="false" customHeight="false" outlineLevel="0" collapsed="false">
      <c r="B43" s="0" t="str">
        <f aca="false">Pricing_Raw!A30</f>
        <v>Dishwashers</v>
      </c>
      <c r="C43" s="0" t="str">
        <f aca="false">Pricing_Raw!B30</f>
        <v>Beko</v>
      </c>
      <c r="D43" s="14" t="n">
        <f aca="false">Pricing_Raw!C30</f>
        <v>665.71</v>
      </c>
      <c r="E43" s="12" t="n">
        <f aca="false">Pricing_Raw!D30</f>
        <v>3.9</v>
      </c>
      <c r="F43" s="12" t="n">
        <f aca="false">Pricing_Raw!E30</f>
        <v>10</v>
      </c>
      <c r="N43" s="0" t="str">
        <f aca="false">IF(AND(Pricing_Raw!A45="Smart Ovens",Pricing_Raw!B45&lt;&gt;"Bosch/Siemens (Own)"),Pricing_Raw!C45,"")</f>
        <v/>
      </c>
      <c r="O43" s="0" t="str">
        <f aca="false">IF(AND(Pricing_Raw!A45="Coffee Systems",Pricing_Raw!B45&lt;&gt;"Bosch/Siemens (Own)"),Pricing_Raw!C45,"")</f>
        <v/>
      </c>
      <c r="P43" s="0" t="str">
        <f aca="false">IF(AND(Pricing_Raw!A45="Cordless Vacuums",Pricing_Raw!B45&lt;&gt;"Bosch/Siemens (Own)"),Pricing_Raw!C45,"")</f>
        <v/>
      </c>
      <c r="Q43" s="0" t="str">
        <f aca="false">IF(AND(Pricing_Raw!A45="Dishwashers",Pricing_Raw!B45&lt;&gt;"Bosch/Siemens (Own)"),Pricing_Raw!C45,"")</f>
        <v/>
      </c>
      <c r="R43" s="0" t="str">
        <f aca="false">IF(AND(Pricing_Raw!A45="Washing Machines",Pricing_Raw!B45&lt;&gt;"Bosch/Siemens (Own)"),Pricing_Raw!C45,"")</f>
        <v/>
      </c>
      <c r="S43" s="12" t="n">
        <f aca="false">IF(AND(Pricing_Raw!A45="Small Kitchen Appliances",Pricing_Raw!B45&lt;&gt;"Bosch/Siemens (Own)"),Pricing_Raw!C45,"")</f>
        <v>146.3</v>
      </c>
    </row>
    <row r="44" customFormat="false" ht="15" hidden="false" customHeight="false" outlineLevel="0" collapsed="false">
      <c r="B44" s="0" t="str">
        <f aca="false">Pricing_Raw!A31</f>
        <v>Dishwashers</v>
      </c>
      <c r="C44" s="0" t="str">
        <f aca="false">Pricing_Raw!B31</f>
        <v>Samsung</v>
      </c>
      <c r="D44" s="14" t="n">
        <f aca="false">Pricing_Raw!C31</f>
        <v>617.03</v>
      </c>
      <c r="E44" s="12" t="n">
        <f aca="false">Pricing_Raw!D31</f>
        <v>4.7</v>
      </c>
      <c r="F44" s="12" t="n">
        <f aca="false">Pricing_Raw!E31</f>
        <v>7</v>
      </c>
      <c r="N44" s="0" t="str">
        <f aca="false">IF(AND(Pricing_Raw!A46="Smart Ovens",Pricing_Raw!B46&lt;&gt;"Bosch/Siemens (Own)"),Pricing_Raw!C46,"")</f>
        <v/>
      </c>
      <c r="O44" s="0" t="str">
        <f aca="false">IF(AND(Pricing_Raw!A46="Coffee Systems",Pricing_Raw!B46&lt;&gt;"Bosch/Siemens (Own)"),Pricing_Raw!C46,"")</f>
        <v/>
      </c>
      <c r="P44" s="0" t="str">
        <f aca="false">IF(AND(Pricing_Raw!A46="Cordless Vacuums",Pricing_Raw!B46&lt;&gt;"Bosch/Siemens (Own)"),Pricing_Raw!C46,"")</f>
        <v/>
      </c>
      <c r="Q44" s="0" t="str">
        <f aca="false">IF(AND(Pricing_Raw!A46="Dishwashers",Pricing_Raw!B46&lt;&gt;"Bosch/Siemens (Own)"),Pricing_Raw!C46,"")</f>
        <v/>
      </c>
      <c r="R44" s="0" t="str">
        <f aca="false">IF(AND(Pricing_Raw!A46="Washing Machines",Pricing_Raw!B46&lt;&gt;"Bosch/Siemens (Own)"),Pricing_Raw!C46,"")</f>
        <v/>
      </c>
      <c r="S44" s="12" t="n">
        <f aca="false">IF(AND(Pricing_Raw!A46="Small Kitchen Appliances",Pricing_Raw!B46&lt;&gt;"Bosch/Siemens (Own)"),Pricing_Raw!C46,"")</f>
        <v>159.67</v>
      </c>
    </row>
    <row r="45" customFormat="false" ht="15" hidden="false" customHeight="false" outlineLevel="0" collapsed="false">
      <c r="B45" s="0" t="str">
        <f aca="false">Pricing_Raw!A32</f>
        <v>Dishwashers</v>
      </c>
      <c r="C45" s="0" t="str">
        <f aca="false">Pricing_Raw!B32</f>
        <v>LG</v>
      </c>
      <c r="D45" s="14" t="n">
        <f aca="false">Pricing_Raw!C32</f>
        <v>760.86</v>
      </c>
      <c r="E45" s="12" t="n">
        <f aca="false">Pricing_Raw!D32</f>
        <v>4.4</v>
      </c>
      <c r="F45" s="12" t="n">
        <f aca="false">Pricing_Raw!E32</f>
        <v>7</v>
      </c>
    </row>
    <row r="46" customFormat="false" ht="15" hidden="false" customHeight="false" outlineLevel="0" collapsed="false">
      <c r="B46" s="0" t="str">
        <f aca="false">Pricing_Raw!A33</f>
        <v>Washing Machines</v>
      </c>
      <c r="C46" s="0" t="str">
        <f aca="false">Pricing_Raw!B33</f>
        <v>Bosch/Siemens (Own)</v>
      </c>
      <c r="D46" s="14" t="n">
        <f aca="false">Pricing_Raw!C33</f>
        <v>699</v>
      </c>
      <c r="E46" s="12" t="n">
        <f aca="false">Pricing_Raw!D33</f>
        <v>3.9</v>
      </c>
      <c r="F46" s="12" t="n">
        <f aca="false">Pricing_Raw!E33</f>
        <v>3</v>
      </c>
    </row>
    <row r="47" customFormat="false" ht="15" hidden="false" customHeight="false" outlineLevel="0" collapsed="false">
      <c r="B47" s="0" t="str">
        <f aca="false">Pricing_Raw!A34</f>
        <v>Washing Machines</v>
      </c>
      <c r="C47" s="0" t="str">
        <f aca="false">Pricing_Raw!B34</f>
        <v>Miele</v>
      </c>
      <c r="D47" s="14" t="n">
        <f aca="false">Pricing_Raw!C34</f>
        <v>662.26</v>
      </c>
      <c r="E47" s="12" t="n">
        <f aca="false">Pricing_Raw!D34</f>
        <v>3.9</v>
      </c>
      <c r="F47" s="12" t="n">
        <f aca="false">Pricing_Raw!E34</f>
        <v>2</v>
      </c>
    </row>
    <row r="48" customFormat="false" ht="15" hidden="false" customHeight="false" outlineLevel="0" collapsed="false">
      <c r="B48" s="0" t="str">
        <f aca="false">Pricing_Raw!A35</f>
        <v>Washing Machines</v>
      </c>
      <c r="C48" s="0" t="str">
        <f aca="false">Pricing_Raw!B35</f>
        <v>AEG/Electrolux</v>
      </c>
      <c r="D48" s="14" t="n">
        <f aca="false">Pricing_Raw!C35</f>
        <v>624.61</v>
      </c>
      <c r="E48" s="12" t="n">
        <f aca="false">Pricing_Raw!D35</f>
        <v>3.7</v>
      </c>
      <c r="F48" s="12" t="n">
        <f aca="false">Pricing_Raw!E35</f>
        <v>3</v>
      </c>
    </row>
    <row r="49" customFormat="false" ht="15" hidden="false" customHeight="false" outlineLevel="0" collapsed="false">
      <c r="B49" s="0" t="str">
        <f aca="false">Pricing_Raw!A36</f>
        <v>Washing Machines</v>
      </c>
      <c r="C49" s="0" t="str">
        <f aca="false">Pricing_Raw!B36</f>
        <v>Philips</v>
      </c>
      <c r="D49" s="14" t="n">
        <f aca="false">Pricing_Raw!C36</f>
        <v>660.9</v>
      </c>
      <c r="E49" s="12" t="n">
        <f aca="false">Pricing_Raw!D36</f>
        <v>4.4</v>
      </c>
      <c r="F49" s="12" t="n">
        <f aca="false">Pricing_Raw!E36</f>
        <v>4</v>
      </c>
    </row>
    <row r="50" customFormat="false" ht="15" hidden="false" customHeight="false" outlineLevel="0" collapsed="false">
      <c r="B50" s="0" t="str">
        <f aca="false">Pricing_Raw!A37</f>
        <v>Washing Machines</v>
      </c>
      <c r="C50" s="0" t="str">
        <f aca="false">Pricing_Raw!B37</f>
        <v>Beko</v>
      </c>
      <c r="D50" s="14" t="n">
        <f aca="false">Pricing_Raw!C37</f>
        <v>851.88</v>
      </c>
      <c r="E50" s="12" t="n">
        <f aca="false">Pricing_Raw!D37</f>
        <v>3.9</v>
      </c>
      <c r="F50" s="12" t="n">
        <f aca="false">Pricing_Raw!E37</f>
        <v>2</v>
      </c>
    </row>
    <row r="51" customFormat="false" ht="15" hidden="false" customHeight="false" outlineLevel="0" collapsed="false">
      <c r="B51" s="0" t="str">
        <f aca="false">Pricing_Raw!A38</f>
        <v>Washing Machines</v>
      </c>
      <c r="C51" s="0" t="str">
        <f aca="false">Pricing_Raw!B38</f>
        <v>Samsung</v>
      </c>
      <c r="D51" s="14" t="n">
        <f aca="false">Pricing_Raw!C38</f>
        <v>766.27</v>
      </c>
      <c r="E51" s="12" t="n">
        <f aca="false">Pricing_Raw!D38</f>
        <v>3.9</v>
      </c>
      <c r="F51" s="12" t="n">
        <f aca="false">Pricing_Raw!E38</f>
        <v>3</v>
      </c>
    </row>
    <row r="52" customFormat="false" ht="15" hidden="false" customHeight="false" outlineLevel="0" collapsed="false">
      <c r="B52" s="0" t="str">
        <f aca="false">Pricing_Raw!A39</f>
        <v>Washing Machines</v>
      </c>
      <c r="C52" s="0" t="str">
        <f aca="false">Pricing_Raw!B39</f>
        <v>LG</v>
      </c>
      <c r="D52" s="14" t="n">
        <f aca="false">Pricing_Raw!C39</f>
        <v>733.86</v>
      </c>
      <c r="E52" s="12" t="n">
        <f aca="false">Pricing_Raw!D39</f>
        <v>3.6</v>
      </c>
      <c r="F52" s="12" t="n">
        <f aca="false">Pricing_Raw!E39</f>
        <v>4</v>
      </c>
    </row>
    <row r="53" customFormat="false" ht="15" hidden="false" customHeight="false" outlineLevel="0" collapsed="false">
      <c r="B53" s="0" t="str">
        <f aca="false">Pricing_Raw!A40</f>
        <v>Small Kitchen Appliances</v>
      </c>
      <c r="C53" s="0" t="str">
        <f aca="false">Pricing_Raw!B40</f>
        <v>Bosch/Siemens (Own)</v>
      </c>
      <c r="D53" s="14" t="n">
        <f aca="false">Pricing_Raw!C40</f>
        <v>129</v>
      </c>
      <c r="E53" s="12" t="n">
        <f aca="false">Pricing_Raw!D40</f>
        <v>4.4</v>
      </c>
      <c r="F53" s="12" t="n">
        <f aca="false">Pricing_Raw!E40</f>
        <v>4</v>
      </c>
    </row>
    <row r="54" customFormat="false" ht="15" hidden="false" customHeight="false" outlineLevel="0" collapsed="false">
      <c r="B54" s="0" t="str">
        <f aca="false">Pricing_Raw!A41</f>
        <v>Small Kitchen Appliances</v>
      </c>
      <c r="C54" s="0" t="str">
        <f aca="false">Pricing_Raw!B41</f>
        <v>Miele</v>
      </c>
      <c r="D54" s="14" t="n">
        <f aca="false">Pricing_Raw!C41</f>
        <v>123.78</v>
      </c>
      <c r="E54" s="12" t="n">
        <f aca="false">Pricing_Raw!D41</f>
        <v>4.7</v>
      </c>
      <c r="F54" s="12" t="n">
        <f aca="false">Pricing_Raw!E41</f>
        <v>7</v>
      </c>
    </row>
    <row r="55" customFormat="false" ht="15" hidden="false" customHeight="false" outlineLevel="0" collapsed="false">
      <c r="B55" s="0" t="str">
        <f aca="false">Pricing_Raw!A42</f>
        <v>Small Kitchen Appliances</v>
      </c>
      <c r="C55" s="0" t="str">
        <f aca="false">Pricing_Raw!B42</f>
        <v>AEG/Electrolux</v>
      </c>
      <c r="D55" s="14" t="n">
        <f aca="false">Pricing_Raw!C42</f>
        <v>120.43</v>
      </c>
      <c r="E55" s="12" t="n">
        <f aca="false">Pricing_Raw!D42</f>
        <v>3.8</v>
      </c>
      <c r="F55" s="12" t="n">
        <f aca="false">Pricing_Raw!E42</f>
        <v>7</v>
      </c>
    </row>
    <row r="56" customFormat="false" ht="15" hidden="false" customHeight="false" outlineLevel="0" collapsed="false">
      <c r="B56" s="0" t="str">
        <f aca="false">Pricing_Raw!A43</f>
        <v>Small Kitchen Appliances</v>
      </c>
      <c r="C56" s="0" t="str">
        <f aca="false">Pricing_Raw!B43</f>
        <v>Philips</v>
      </c>
      <c r="D56" s="14" t="n">
        <f aca="false">Pricing_Raw!C43</f>
        <v>122.14</v>
      </c>
      <c r="E56" s="12" t="n">
        <f aca="false">Pricing_Raw!D43</f>
        <v>4.8</v>
      </c>
      <c r="F56" s="12" t="n">
        <f aca="false">Pricing_Raw!E43</f>
        <v>10</v>
      </c>
    </row>
    <row r="57" customFormat="false" ht="15" hidden="false" customHeight="false" outlineLevel="0" collapsed="false">
      <c r="B57" s="0" t="str">
        <f aca="false">Pricing_Raw!A44</f>
        <v>Small Kitchen Appliances</v>
      </c>
      <c r="C57" s="0" t="str">
        <f aca="false">Pricing_Raw!B44</f>
        <v>Beko</v>
      </c>
      <c r="D57" s="14" t="n">
        <f aca="false">Pricing_Raw!C44</f>
        <v>151.04</v>
      </c>
      <c r="E57" s="12" t="n">
        <f aca="false">Pricing_Raw!D44</f>
        <v>4.6</v>
      </c>
      <c r="F57" s="12" t="n">
        <f aca="false">Pricing_Raw!E44</f>
        <v>3</v>
      </c>
    </row>
    <row r="58" customFormat="false" ht="15" hidden="false" customHeight="false" outlineLevel="0" collapsed="false">
      <c r="B58" s="0" t="str">
        <f aca="false">Pricing_Raw!A45</f>
        <v>Small Kitchen Appliances</v>
      </c>
      <c r="C58" s="0" t="str">
        <f aca="false">Pricing_Raw!B45</f>
        <v>Samsung</v>
      </c>
      <c r="D58" s="14" t="n">
        <f aca="false">Pricing_Raw!C45</f>
        <v>146.3</v>
      </c>
      <c r="E58" s="12" t="n">
        <f aca="false">Pricing_Raw!D45</f>
        <v>3.9</v>
      </c>
      <c r="F58" s="12" t="n">
        <f aca="false">Pricing_Raw!E45</f>
        <v>4</v>
      </c>
    </row>
    <row r="59" customFormat="false" ht="15" hidden="false" customHeight="false" outlineLevel="0" collapsed="false">
      <c r="B59" s="0" t="str">
        <f aca="false">Pricing_Raw!A46</f>
        <v>Small Kitchen Appliances</v>
      </c>
      <c r="C59" s="0" t="str">
        <f aca="false">Pricing_Raw!B46</f>
        <v>LG</v>
      </c>
      <c r="D59" s="14" t="n">
        <f aca="false">Pricing_Raw!C46</f>
        <v>159.67</v>
      </c>
      <c r="E59" s="12" t="n">
        <f aca="false">Pricing_Raw!D46</f>
        <v>4.2</v>
      </c>
      <c r="F59" s="12" t="n">
        <f aca="false">Pricing_Raw!E46</f>
        <v>7</v>
      </c>
    </row>
  </sheetData>
  <conditionalFormatting sqref="G7:G12">
    <cfRule type="colorScale" priority="2">
      <colorScale>
        <cfvo type="min" val="0"/>
        <cfvo type="percentile" val="50"/>
        <cfvo type="max" val="0"/>
        <color rgb="FFC00000"/>
        <color rgb="FFFFFFFF"/>
        <color rgb="FF54823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P4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1"/>
  </cols>
  <sheetData>
    <row r="2" customFormat="false" ht="19.7" hidden="false" customHeight="false" outlineLevel="0" collapsed="false">
      <c r="B2" s="1" t="s">
        <v>1472</v>
      </c>
    </row>
    <row r="3" customFormat="false" ht="15" hidden="false" customHeight="false" outlineLevel="0" collapsed="false">
      <c r="B3" s="2" t="s">
        <v>1473</v>
      </c>
    </row>
    <row r="5" customFormat="false" ht="15.75" hidden="false" customHeight="true" outlineLevel="0" collapsed="false">
      <c r="B5" s="19" t="s">
        <v>1474</v>
      </c>
      <c r="C5" s="19"/>
      <c r="D5" s="19"/>
      <c r="F5" s="19" t="s">
        <v>1475</v>
      </c>
      <c r="G5" s="19"/>
      <c r="H5" s="19"/>
      <c r="J5" s="19" t="s">
        <v>1476</v>
      </c>
      <c r="K5" s="19"/>
      <c r="L5" s="19"/>
      <c r="N5" s="19" t="s">
        <v>1477</v>
      </c>
      <c r="O5" s="19"/>
      <c r="P5" s="19"/>
    </row>
    <row r="6" customFormat="false" ht="27.75" hidden="false" customHeight="true" outlineLevel="0" collapsed="false">
      <c r="B6" s="20" t="n">
        <f aca="false">Pipeline_Analysis!D12</f>
        <v>709214.33</v>
      </c>
      <c r="C6" s="20"/>
      <c r="D6" s="20"/>
      <c r="F6" s="20" t="n">
        <f aca="false">SUMIFS(CRM_Clean!K5:K854,CRM_Clean!H5:H854,"Closed Won")</f>
        <v>242160.9785</v>
      </c>
      <c r="G6" s="20"/>
      <c r="H6" s="20"/>
      <c r="J6" s="21" t="n">
        <f aca="false">SUM(CRM_Clean!M5:M854)/(COUNTIF(CRM_Clean!H5:H854,"Closed Won")+COUNTIF(CRM_Clean!H5:H854,"Closed Lost"))</f>
        <v>0.582692307692308</v>
      </c>
      <c r="K6" s="21"/>
      <c r="L6" s="21"/>
      <c r="N6" s="20" t="n">
        <f aca="false">AVERAGEIFS(CRM_Clean!K5:K854,CRM_Clean!H5:H854,"Closed Won")</f>
        <v>799.211150165017</v>
      </c>
      <c r="O6" s="20"/>
      <c r="P6" s="20"/>
    </row>
    <row r="9" customFormat="false" ht="15" hidden="false" customHeight="false" outlineLevel="0" collapsed="false">
      <c r="B9" s="13" t="s">
        <v>1478</v>
      </c>
    </row>
    <row r="27" customFormat="false" ht="15" hidden="false" customHeight="false" outlineLevel="0" collapsed="false">
      <c r="B27" s="13" t="s">
        <v>1479</v>
      </c>
    </row>
    <row r="45" customFormat="false" ht="15" hidden="false" customHeight="false" outlineLevel="0" collapsed="false">
      <c r="B45" s="13" t="s">
        <v>1480</v>
      </c>
    </row>
  </sheetData>
  <mergeCells count="8">
    <mergeCell ref="B5:D5"/>
    <mergeCell ref="F5:H5"/>
    <mergeCell ref="J5:L5"/>
    <mergeCell ref="N5:P5"/>
    <mergeCell ref="B6:D6"/>
    <mergeCell ref="F6:H6"/>
    <mergeCell ref="J6:L6"/>
    <mergeCell ref="N6:P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2026-06-28T10:05:19Z</dcterms:created>
  <dc:creator>openpyxl</dc:creator>
  <dc:description/>
  <dc:language>en-US</dc:language>
  <cp:lastModifiedBy/>
  <dcterms:modified xsi:type="dcterms:W3CDTF">2026-06-28T10:05:25Z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